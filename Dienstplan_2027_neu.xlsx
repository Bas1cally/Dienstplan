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nstplan" sheetId="1" state="visible" r:id="rId1"/>
    <sheet name="Januar" sheetId="2" state="visible" r:id="rId2"/>
    <sheet name="Februar" sheetId="3" state="visible" r:id="rId3"/>
    <sheet name="März" sheetId="4" state="visible" r:id="rId4"/>
    <sheet name="April" sheetId="5" state="visible" r:id="rId5"/>
    <sheet name="Mai" sheetId="6" state="visible" r:id="rId6"/>
    <sheet name="Juni" sheetId="7" state="visible" r:id="rId7"/>
    <sheet name="Juli" sheetId="8" state="visible" r:id="rId8"/>
    <sheet name="August" sheetId="9" state="visible" r:id="rId9"/>
    <sheet name="September" sheetId="10" state="visible" r:id="rId10"/>
    <sheet name="Oktober" sheetId="11" state="visible" r:id="rId11"/>
    <sheet name="November" sheetId="12" state="visible" r:id="rId12"/>
    <sheet name="Dezember" sheetId="13" state="visible" r:id="rId13"/>
    <sheet name="Jahresübersicht" sheetId="14" state="visible" r:id="rId14"/>
    <sheet name="Monatsdetails" sheetId="15" state="visible" r:id="rId15"/>
    <sheet name="Urlaubsübersicht" sheetId="16" state="visible" r:id="rId16"/>
  </sheets>
  <definedNames>
    <definedName name="_xlnm.Print_Area" localSheetId="1">'Januar'!$A$1:$AF$29</definedName>
    <definedName name="_xlnm.Print_Area" localSheetId="2">'Februar'!$A$1:$AC$29</definedName>
    <definedName name="_xlnm.Print_Area" localSheetId="3">'März'!$A$1:$AF$29</definedName>
    <definedName name="_xlnm.Print_Area" localSheetId="4">'April'!$A$1:$AE$29</definedName>
    <definedName name="_xlnm.Print_Area" localSheetId="5">'Mai'!$A$1:$AF$29</definedName>
    <definedName name="_xlnm.Print_Area" localSheetId="6">'Juni'!$A$1:$AE$29</definedName>
    <definedName name="_xlnm.Print_Area" localSheetId="7">'Juli'!$A$1:$AF$29</definedName>
    <definedName name="_xlnm.Print_Area" localSheetId="8">'August'!$A$1:$AF$29</definedName>
    <definedName name="_xlnm.Print_Area" localSheetId="9">'September'!$A$1:$AE$29</definedName>
    <definedName name="_xlnm.Print_Area" localSheetId="10">'Oktober'!$A$1:$AF$29</definedName>
    <definedName name="_xlnm.Print_Area" localSheetId="11">'November'!$A$1:$AE$29</definedName>
    <definedName name="_xlnm.Print_Area" localSheetId="12">'Dezember'!$A$1:$AF$29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8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00000"/>
      <sz val="8"/>
    </font>
    <font>
      <name val="Calibri"/>
      <color rgb="00FFFFFF"/>
      <sz val="8"/>
    </font>
    <font>
      <name val="Calibri"/>
      <b val="1"/>
      <sz val="10"/>
    </font>
    <font>
      <name val="Calibri"/>
      <sz val="8"/>
    </font>
    <font>
      <name val="Calibri"/>
      <i val="1"/>
      <color rgb="00999999"/>
      <sz val="8"/>
    </font>
    <font>
      <name val="Calibri"/>
      <i val="1"/>
      <color rgb="00006100"/>
      <sz val="7"/>
    </font>
    <font>
      <name val="Calibri"/>
      <color rgb="00666666"/>
      <sz val="9"/>
    </font>
    <font>
      <name val="Calibri"/>
      <i val="1"/>
      <color rgb="00FFFFFF"/>
      <sz val="8"/>
    </font>
    <font>
      <name val="Calibri"/>
      <b val="1"/>
      <sz val="9"/>
    </font>
    <font>
      <name val="Calibri"/>
      <b val="1"/>
      <i val="1"/>
      <color rgb="00999999"/>
      <sz val="9"/>
    </font>
    <font>
      <name val="Calibri"/>
      <b val="1"/>
      <sz val="8"/>
    </font>
    <font>
      <name val="Calibri"/>
      <b val="1"/>
      <color rgb="00FF0000"/>
      <sz val="8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92D050"/>
      </patternFill>
    </fill>
    <fill>
      <patternFill patternType="solid">
        <fgColor rgb="0066FFFF"/>
      </patternFill>
    </fill>
    <fill>
      <patternFill patternType="solid">
        <fgColor rgb="00B8CCE4"/>
      </patternFill>
    </fill>
    <fill>
      <patternFill patternType="solid">
        <fgColor rgb="00D6E3BC"/>
      </patternFill>
    </fill>
    <fill>
      <patternFill patternType="solid">
        <fgColor rgb="00D9E2F3"/>
      </patternFill>
    </fill>
  </fills>
  <borders count="18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000000"/>
      </left>
      <right style="thin">
        <color rgb="00B4B4B4"/>
      </right>
      <top style="medium">
        <color rgb="00000000"/>
      </top>
      <bottom style="thin">
        <color rgb="00B4B4B4"/>
      </bottom>
    </border>
    <border>
      <left style="thin">
        <color rgb="00B4B4B4"/>
      </left>
      <right style="thin">
        <color rgb="00B4B4B4"/>
      </right>
      <top style="medium">
        <color rgb="00000000"/>
      </top>
      <bottom style="thin">
        <color rgb="00B4B4B4"/>
      </bottom>
    </border>
    <border>
      <left style="thin">
        <color rgb="00B4B4B4"/>
      </left>
      <right style="medium">
        <color rgb="00000000"/>
      </right>
      <top style="medium">
        <color rgb="00000000"/>
      </top>
      <bottom style="thin">
        <color rgb="00B4B4B4"/>
      </bottom>
    </border>
    <border>
      <left style="medium">
        <color rgb="00000000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 style="medium">
        <color rgb="00000000"/>
      </right>
      <top style="thin">
        <color rgb="00B4B4B4"/>
      </top>
      <bottom style="thin">
        <color rgb="00B4B4B4"/>
      </bottom>
    </border>
    <border>
      <left style="medium">
        <color rgb="00000000"/>
      </left>
      <right style="thin">
        <color rgb="00B4B4B4"/>
      </right>
      <top style="thin">
        <color rgb="00B4B4B4"/>
      </top>
      <bottom style="medium">
        <color rgb="00000000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medium">
        <color rgb="00000000"/>
      </bottom>
    </border>
    <border>
      <left style="thin">
        <color rgb="00B4B4B4"/>
      </left>
      <right style="medium">
        <color rgb="00000000"/>
      </right>
      <top style="thin">
        <color rgb="00B4B4B4"/>
      </top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0" fontId="0" fillId="2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2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/>
    </xf>
    <xf numFmtId="0" fontId="4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6" fillId="6" borderId="13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0" fillId="0" borderId="14" pivotButton="0" quotePrefix="0" xfId="0"/>
    <xf numFmtId="0" fontId="14" fillId="0" borderId="13" applyAlignment="1" pivotButton="0" quotePrefix="0" xfId="0">
      <alignment horizontal="left" vertical="center"/>
    </xf>
    <xf numFmtId="0" fontId="17" fillId="7" borderId="13" applyAlignment="1" pivotButton="0" quotePrefix="0" xfId="0">
      <alignment horizontal="left" vertical="center"/>
    </xf>
    <xf numFmtId="0" fontId="0" fillId="0" borderId="13" pivotButton="0" quotePrefix="0" xfId="0"/>
    <xf numFmtId="0" fontId="16" fillId="8" borderId="13" applyAlignment="1" pivotButton="0" quotePrefix="0" xfId="0">
      <alignment horizontal="left" vertical="center"/>
    </xf>
    <xf numFmtId="0" fontId="10" fillId="0" borderId="13" applyAlignment="1" pivotButton="0" quotePrefix="0" xfId="0">
      <alignment horizontal="center" vertical="center"/>
    </xf>
    <xf numFmtId="0" fontId="16" fillId="9" borderId="13" applyAlignment="1" pivotButton="0" quotePrefix="0" xfId="0">
      <alignment horizontal="left" vertical="center"/>
    </xf>
    <xf numFmtId="0" fontId="17" fillId="0" borderId="13" applyAlignment="1" pivotButton="0" quotePrefix="0" xfId="0">
      <alignment horizontal="left" vertical="center"/>
    </xf>
    <xf numFmtId="0" fontId="10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6" fillId="0" borderId="13" applyAlignment="1" pivotButton="0" quotePrefix="0" xfId="0">
      <alignment horizontal="left" vertical="center"/>
    </xf>
    <xf numFmtId="0" fontId="0" fillId="2" borderId="15" pivotButton="0" quotePrefix="0" xfId="0"/>
    <xf numFmtId="0" fontId="9" fillId="0" borderId="16" applyAlignment="1" pivotButton="0" quotePrefix="0" xfId="0">
      <alignment horizontal="left" vertical="center"/>
    </xf>
    <xf numFmtId="0" fontId="4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18" fillId="3" borderId="2" applyAlignment="1" pivotButton="0" quotePrefix="0" xfId="0">
      <alignment horizontal="left" vertical="center"/>
    </xf>
    <xf numFmtId="0" fontId="18" fillId="3" borderId="3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8" fillId="10" borderId="7" applyAlignment="1" pivotButton="0" quotePrefix="0" xfId="0">
      <alignment horizontal="left" vertical="center"/>
    </xf>
    <xf numFmtId="0" fontId="8" fillId="10" borderId="8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0" fontId="14" fillId="0" borderId="0" pivotButton="0" quotePrefix="0" xfId="0"/>
    <xf numFmtId="0" fontId="19" fillId="0" borderId="6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left" vertical="center"/>
    </xf>
    <xf numFmtId="0" fontId="19" fillId="0" borderId="9" applyAlignment="1" pivotButton="0" quotePrefix="0" xfId="0">
      <alignment horizontal="center" vertical="center"/>
    </xf>
    <xf numFmtId="0" fontId="14" fillId="10" borderId="7" applyAlignment="1" pivotButton="0" quotePrefix="0" xfId="0">
      <alignment horizontal="left" vertical="center"/>
    </xf>
    <xf numFmtId="0" fontId="14" fillId="10" borderId="8" applyAlignment="1" pivotButton="0" quotePrefix="0" xfId="0">
      <alignment horizontal="center" vertical="center"/>
    </xf>
    <xf numFmtId="0" fontId="14" fillId="10" borderId="9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0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dxfs count="11">
    <dxf>
      <font>
        <color rgb="00000000"/>
      </font>
      <fill>
        <patternFill patternType="solid">
          <fgColor rgb="0092D050"/>
        </patternFill>
      </fill>
    </dxf>
    <dxf>
      <font>
        <color rgb="00FF0000"/>
      </font>
      <fill>
        <patternFill patternType="solid">
          <fgColor rgb="0066FFFF"/>
        </patternFill>
      </fill>
    </dxf>
    <dxf>
      <font>
        <color rgb="00000000"/>
      </font>
      <fill>
        <patternFill patternType="solid">
          <fgColor rgb="00B8CCE4"/>
        </patternFill>
      </fill>
    </dxf>
    <dxf>
      <font>
        <color rgb="00000000"/>
      </font>
      <fill>
        <patternFill patternType="solid">
          <fgColor rgb="00D6E3BC"/>
        </patternFill>
      </fill>
    </dxf>
    <dxf>
      <font>
        <color rgb="00FF0000"/>
      </font>
      <fill>
        <patternFill patternType="solid">
          <fgColor rgb="00FFFFFF"/>
        </patternFill>
      </fill>
    </dxf>
    <dxf>
      <font>
        <name val="Calibri"/>
        <b val="1"/>
        <color rgb="009C0006"/>
        <sz val="7"/>
      </font>
      <fill>
        <patternFill patternType="solid">
          <fgColor rgb="00FFC7CE"/>
        </patternFill>
      </fill>
    </dxf>
    <dxf>
      <font>
        <name val="Calibri"/>
        <color rgb="00FF0000"/>
        <sz val="9"/>
      </font>
    </dxf>
    <dxf>
      <font>
        <name val="Calibri"/>
        <color rgb="00008000"/>
        <sz val="9"/>
      </font>
    </dxf>
    <dxf>
      <font>
        <b val="1"/>
        <color rgb="00FF0000"/>
      </font>
      <fill>
        <patternFill patternType="solid">
          <fgColor rgb="00FFC7CE"/>
        </patternFill>
      </fill>
    </dxf>
    <dxf>
      <font>
        <b val="1"/>
        <color rgb="009C0006"/>
      </font>
      <fill>
        <patternFill patternType="solid">
          <fgColor rgb="00FFFF00"/>
        </patternFill>
      </fill>
    </dxf>
    <dxf>
      <font>
        <b val="1"/>
        <color rgb="00008000"/>
      </font>
      <fill>
        <patternFill patternType="solid">
          <f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Emanuel Siebert</author>
  </authors>
  <commentList>
    <comment ref="B5" authorId="0" shapeId="0">
      <text>
        <t>Neujahr</t>
      </text>
    </comment>
    <comment ref="G5" authorId="0" shapeId="0">
      <text>
        <t>Hl. 3 Könige</t>
      </text>
    </comment>
    <comment ref="AA43" authorId="0" shapeId="0">
      <text>
        <t>Karfreitag</t>
      </text>
    </comment>
    <comment ref="AD43" authorId="0" shapeId="0">
      <text>
        <t>Ostermontag</t>
      </text>
    </comment>
    <comment ref="B81" authorId="0" shapeId="0">
      <text>
        <t>Tag d. Arbeit</t>
      </text>
    </comment>
    <comment ref="G81" authorId="0" shapeId="0">
      <text>
        <t>Chr. Himmelf.</t>
      </text>
    </comment>
    <comment ref="R81" authorId="0" shapeId="0">
      <text>
        <t>Pfingstmontag</t>
      </text>
    </comment>
    <comment ref="AB81" authorId="0" shapeId="0">
      <text>
        <t>Fronleichnam</t>
      </text>
    </comment>
    <comment ref="P137" authorId="0" shapeId="0">
      <text>
        <t>Mariä Himmelf.</t>
      </text>
    </comment>
    <comment ref="D175" authorId="0" shapeId="0">
      <text>
        <t>Tag d. Einheit</t>
      </text>
    </comment>
    <comment ref="B193" authorId="0" shapeId="0">
      <text>
        <t>Allerheiligen</t>
      </text>
    </comment>
    <comment ref="Z212" authorId="0" shapeId="0">
      <text>
        <t>1. Weihnacht</t>
      </text>
    </comment>
    <comment ref="AA212" authorId="0" shapeId="0">
      <text>
        <t>2. Weihnacht</t>
      </text>
    </comment>
  </commentList>
</comments>
</file>

<file path=xl/comments/comment2.xml><?xml version="1.0" encoding="utf-8"?>
<comments xmlns="http://schemas.openxmlformats.org/spreadsheetml/2006/main">
  <authors>
    <author>Emanuel Siebert</author>
  </authors>
  <commentList>
    <comment ref="B3" authorId="0" shapeId="0">
      <text>
        <t>Neujahr</t>
      </text>
    </comment>
    <comment ref="G3" authorId="0" shapeId="0">
      <text>
        <t>Hl. 3 Könige</t>
      </text>
    </comment>
  </commentList>
</comments>
</file>

<file path=xl/comments/comment3.xml><?xml version="1.0" encoding="utf-8"?>
<comments xmlns="http://schemas.openxmlformats.org/spreadsheetml/2006/main">
  <authors>
    <author>Emanuel Siebert</author>
  </authors>
  <commentList>
    <comment ref="AA3" authorId="0" shapeId="0">
      <text>
        <t>Karfreitag</t>
      </text>
    </comment>
    <comment ref="AD3" authorId="0" shapeId="0">
      <text>
        <t>Ostermontag</t>
      </text>
    </comment>
  </commentList>
</comments>
</file>

<file path=xl/comments/comment4.xml><?xml version="1.0" encoding="utf-8"?>
<comments xmlns="http://schemas.openxmlformats.org/spreadsheetml/2006/main">
  <authors>
    <author>Emanuel Siebert</author>
  </authors>
  <commentList>
    <comment ref="B3" authorId="0" shapeId="0">
      <text>
        <t>Tag d. Arbeit</t>
      </text>
    </comment>
    <comment ref="G3" authorId="0" shapeId="0">
      <text>
        <t>Chr. Himmelf.</t>
      </text>
    </comment>
    <comment ref="R3" authorId="0" shapeId="0">
      <text>
        <t>Pfingstmontag</t>
      </text>
    </comment>
    <comment ref="AB3" authorId="0" shapeId="0">
      <text>
        <t>Fronleichnam</t>
      </text>
    </comment>
  </commentList>
</comments>
</file>

<file path=xl/comments/comment5.xml><?xml version="1.0" encoding="utf-8"?>
<comments xmlns="http://schemas.openxmlformats.org/spreadsheetml/2006/main">
  <authors>
    <author>Emanuel Siebert</author>
  </authors>
  <commentList>
    <comment ref="P3" authorId="0" shapeId="0">
      <text>
        <t>Mariä Himmelf.</t>
      </text>
    </comment>
  </commentList>
</comments>
</file>

<file path=xl/comments/comment6.xml><?xml version="1.0" encoding="utf-8"?>
<comments xmlns="http://schemas.openxmlformats.org/spreadsheetml/2006/main">
  <authors>
    <author>Emanuel Siebert</author>
  </authors>
  <commentList>
    <comment ref="D3" authorId="0" shapeId="0">
      <text>
        <t>Tag d. Einheit</t>
      </text>
    </comment>
  </commentList>
</comments>
</file>

<file path=xl/comments/comment7.xml><?xml version="1.0" encoding="utf-8"?>
<comments xmlns="http://schemas.openxmlformats.org/spreadsheetml/2006/main">
  <authors>
    <author>Emanuel Siebert</author>
  </authors>
  <commentList>
    <comment ref="B3" authorId="0" shapeId="0">
      <text>
        <t>Allerheiligen</t>
      </text>
    </comment>
  </commentList>
</comments>
</file>

<file path=xl/comments/comment8.xml><?xml version="1.0" encoding="utf-8"?>
<comments xmlns="http://schemas.openxmlformats.org/spreadsheetml/2006/main">
  <authors>
    <author>Emanuel Siebert</author>
  </authors>
  <commentList>
    <comment ref="Z3" authorId="0" shapeId="0">
      <text>
        <t>1. Weihnacht</t>
      </text>
    </comment>
    <comment ref="AA3" authorId="0" shapeId="0">
      <text>
        <t>2. Weihnacht</t>
      </text>
    </comment>
  </commentList>
</comments>
</file>

<file path=xl/comments/comment9.xml><?xml version="1.0" encoding="utf-8"?>
<comments xmlns="http://schemas.openxmlformats.org/spreadsheetml/2006/main">
  <authors>
    <author>Dienstplan</author>
  </authors>
  <commentList>
    <comment ref="AB13" authorId="0" shapeId="0">
      <text>
        <t>Verwendet individuelle IRTAZ des Mitarbeiters</t>
      </text>
    </comment>
    <comment ref="AB14" authorId="0" shapeId="0">
      <text>
        <t>Verwendet individuelle IRTAZ des Mitarbeiters</t>
      </text>
    </comment>
    <comment ref="AB16" authorId="0" shapeId="0">
      <text>
        <t>Verwendet individuelle IRTAZ des Mitarbeiters</t>
      </text>
    </comment>
    <comment ref="AB17" authorId="0" shapeId="0">
      <text>
        <t>Verwendet individuelle IRTAZ des Mitarbeiters</t>
      </text>
    </comment>
    <comment ref="AB18" authorId="0" shapeId="0">
      <text>
        <t>Verwendet individuelle IRTAZ des Mitarbeiters</t>
      </text>
    </comment>
    <comment ref="AB19" authorId="0" shapeId="0">
      <text>
        <t>Verwendet individuelle IRTAZ des Mitarbeiters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4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</cols>
  <sheetData>
    <row r="1">
      <c r="A1" s="1" t="inlineStr">
        <is>
          <t>Dienstplan 2027</t>
        </is>
      </c>
    </row>
    <row r="3" ht="20" customHeight="1">
      <c r="A3" s="2" t="inlineStr">
        <is>
          <t>Januar</t>
        </is>
      </c>
    </row>
    <row r="4" ht="15" customHeight="1">
      <c r="A4" s="3" t="inlineStr">
        <is>
          <t>KW</t>
        </is>
      </c>
      <c r="B4" s="4" t="n">
        <v>53</v>
      </c>
      <c r="C4" s="5" t="n"/>
      <c r="D4" s="5" t="n"/>
      <c r="E4" s="6" t="n">
        <v>1</v>
      </c>
      <c r="F4" s="7" t="n"/>
      <c r="G4" s="5" t="n"/>
      <c r="H4" s="7" t="n"/>
      <c r="I4" s="7" t="n"/>
      <c r="J4" s="5" t="n"/>
      <c r="K4" s="5" t="n"/>
      <c r="L4" s="6" t="n">
        <v>2</v>
      </c>
      <c r="M4" s="7" t="n"/>
      <c r="N4" s="7" t="n"/>
      <c r="O4" s="7" t="n"/>
      <c r="P4" s="7" t="n"/>
      <c r="Q4" s="5" t="n"/>
      <c r="R4" s="5" t="n"/>
      <c r="S4" s="6" t="n">
        <v>3</v>
      </c>
      <c r="T4" s="7" t="n"/>
      <c r="U4" s="7" t="n"/>
      <c r="V4" s="7" t="n"/>
      <c r="W4" s="7" t="n"/>
      <c r="X4" s="5" t="n"/>
      <c r="Y4" s="5" t="n"/>
      <c r="Z4" s="6" t="n">
        <v>4</v>
      </c>
      <c r="AA4" s="7" t="n"/>
      <c r="AB4" s="7" t="n"/>
      <c r="AC4" s="7" t="n"/>
      <c r="AD4" s="7" t="n"/>
      <c r="AE4" s="5" t="n"/>
      <c r="AF4" s="8" t="n"/>
    </row>
    <row r="5" ht="18" customHeight="1">
      <c r="A5" s="9" t="inlineStr">
        <is>
          <t>Tag</t>
        </is>
      </c>
      <c r="B5" s="10" t="n">
        <v>1</v>
      </c>
      <c r="C5" s="10" t="n">
        <v>2</v>
      </c>
      <c r="D5" s="10" t="n">
        <v>3</v>
      </c>
      <c r="E5" s="11" t="n">
        <v>4</v>
      </c>
      <c r="F5" s="11" t="n">
        <v>5</v>
      </c>
      <c r="G5" s="10" t="n">
        <v>6</v>
      </c>
      <c r="H5" s="11" t="n">
        <v>7</v>
      </c>
      <c r="I5" s="11" t="n">
        <v>8</v>
      </c>
      <c r="J5" s="10" t="n">
        <v>9</v>
      </c>
      <c r="K5" s="10" t="n">
        <v>10</v>
      </c>
      <c r="L5" s="11" t="n">
        <v>11</v>
      </c>
      <c r="M5" s="11" t="n">
        <v>12</v>
      </c>
      <c r="N5" s="11" t="n">
        <v>13</v>
      </c>
      <c r="O5" s="11" t="n">
        <v>14</v>
      </c>
      <c r="P5" s="11" t="n">
        <v>15</v>
      </c>
      <c r="Q5" s="10" t="n">
        <v>16</v>
      </c>
      <c r="R5" s="10" t="n">
        <v>17</v>
      </c>
      <c r="S5" s="11" t="n">
        <v>18</v>
      </c>
      <c r="T5" s="11" t="n">
        <v>19</v>
      </c>
      <c r="U5" s="11" t="n">
        <v>20</v>
      </c>
      <c r="V5" s="11" t="n">
        <v>21</v>
      </c>
      <c r="W5" s="11" t="n">
        <v>22</v>
      </c>
      <c r="X5" s="10" t="n">
        <v>23</v>
      </c>
      <c r="Y5" s="10" t="n">
        <v>24</v>
      </c>
      <c r="Z5" s="11" t="n">
        <v>25</v>
      </c>
      <c r="AA5" s="11" t="n">
        <v>26</v>
      </c>
      <c r="AB5" s="11" t="n">
        <v>27</v>
      </c>
      <c r="AC5" s="11" t="n">
        <v>28</v>
      </c>
      <c r="AD5" s="11" t="n">
        <v>29</v>
      </c>
      <c r="AE5" s="10" t="n">
        <v>30</v>
      </c>
      <c r="AF5" s="12" t="n">
        <v>31</v>
      </c>
    </row>
    <row r="6" ht="18" customHeight="1">
      <c r="A6" s="9" t="inlineStr">
        <is>
          <t>WT</t>
        </is>
      </c>
      <c r="B6" s="13" t="inlineStr">
        <is>
          <t>Fr</t>
        </is>
      </c>
      <c r="C6" s="13" t="inlineStr">
        <is>
          <t>Sa</t>
        </is>
      </c>
      <c r="D6" s="13" t="inlineStr">
        <is>
          <t>So</t>
        </is>
      </c>
      <c r="E6" s="14" t="inlineStr">
        <is>
          <t>Mo</t>
        </is>
      </c>
      <c r="F6" s="14" t="inlineStr">
        <is>
          <t>Di</t>
        </is>
      </c>
      <c r="G6" s="13" t="inlineStr">
        <is>
          <t>Mi</t>
        </is>
      </c>
      <c r="H6" s="14" t="inlineStr">
        <is>
          <t>Do</t>
        </is>
      </c>
      <c r="I6" s="14" t="inlineStr">
        <is>
          <t>Fr</t>
        </is>
      </c>
      <c r="J6" s="13" t="inlineStr">
        <is>
          <t>Sa</t>
        </is>
      </c>
      <c r="K6" s="13" t="inlineStr">
        <is>
          <t>So</t>
        </is>
      </c>
      <c r="L6" s="14" t="inlineStr">
        <is>
          <t>Mo</t>
        </is>
      </c>
      <c r="M6" s="14" t="inlineStr">
        <is>
          <t>Di</t>
        </is>
      </c>
      <c r="N6" s="14" t="inlineStr">
        <is>
          <t>Mi</t>
        </is>
      </c>
      <c r="O6" s="14" t="inlineStr">
        <is>
          <t>Do</t>
        </is>
      </c>
      <c r="P6" s="14" t="inlineStr">
        <is>
          <t>Fr</t>
        </is>
      </c>
      <c r="Q6" s="13" t="inlineStr">
        <is>
          <t>Sa</t>
        </is>
      </c>
      <c r="R6" s="13" t="inlineStr">
        <is>
          <t>So</t>
        </is>
      </c>
      <c r="S6" s="14" t="inlineStr">
        <is>
          <t>Mo</t>
        </is>
      </c>
      <c r="T6" s="14" t="inlineStr">
        <is>
          <t>Di</t>
        </is>
      </c>
      <c r="U6" s="14" t="inlineStr">
        <is>
          <t>Mi</t>
        </is>
      </c>
      <c r="V6" s="14" t="inlineStr">
        <is>
          <t>Do</t>
        </is>
      </c>
      <c r="W6" s="14" t="inlineStr">
        <is>
          <t>Fr</t>
        </is>
      </c>
      <c r="X6" s="13" t="inlineStr">
        <is>
          <t>Sa</t>
        </is>
      </c>
      <c r="Y6" s="13" t="inlineStr">
        <is>
          <t>So</t>
        </is>
      </c>
      <c r="Z6" s="14" t="inlineStr">
        <is>
          <t>Mo</t>
        </is>
      </c>
      <c r="AA6" s="14" t="inlineStr">
        <is>
          <t>Di</t>
        </is>
      </c>
      <c r="AB6" s="14" t="inlineStr">
        <is>
          <t>Mi</t>
        </is>
      </c>
      <c r="AC6" s="14" t="inlineStr">
        <is>
          <t>Do</t>
        </is>
      </c>
      <c r="AD6" s="14" t="inlineStr">
        <is>
          <t>Fr</t>
        </is>
      </c>
      <c r="AE6" s="13" t="inlineStr">
        <is>
          <t>Sa</t>
        </is>
      </c>
      <c r="AF6" s="15" t="inlineStr">
        <is>
          <t>So</t>
        </is>
      </c>
    </row>
    <row r="7" ht="16" customHeight="1">
      <c r="A7" s="16" t="inlineStr">
        <is>
          <t>Breig</t>
        </is>
      </c>
      <c r="B7" s="17" t="n"/>
      <c r="C7" s="17" t="n"/>
      <c r="D7" s="17" t="n"/>
      <c r="E7" s="18" t="n"/>
      <c r="F7" s="18" t="n"/>
      <c r="G7" s="17" t="n"/>
      <c r="H7" s="18" t="n"/>
      <c r="I7" s="18" t="n"/>
      <c r="J7" s="17" t="n"/>
      <c r="K7" s="17" t="n"/>
      <c r="L7" s="18" t="n"/>
      <c r="M7" s="18" t="n"/>
      <c r="N7" s="18" t="n"/>
      <c r="O7" s="18" t="n"/>
      <c r="P7" s="18" t="n"/>
      <c r="Q7" s="17" t="n"/>
      <c r="R7" s="17" t="n"/>
      <c r="S7" s="18" t="n"/>
      <c r="T7" s="18" t="n"/>
      <c r="U7" s="18" t="n"/>
      <c r="V7" s="18" t="n"/>
      <c r="W7" s="18" t="n"/>
      <c r="X7" s="17" t="n"/>
      <c r="Y7" s="17" t="n"/>
      <c r="Z7" s="18" t="n"/>
      <c r="AA7" s="18" t="n"/>
      <c r="AB7" s="18" t="n"/>
      <c r="AC7" s="18" t="n"/>
      <c r="AD7" s="18" t="n"/>
      <c r="AE7" s="17" t="n"/>
      <c r="AF7" s="19" t="n"/>
    </row>
    <row r="8" ht="16" customHeight="1">
      <c r="A8" s="16" t="inlineStr">
        <is>
          <t>Siebert</t>
        </is>
      </c>
      <c r="B8" s="17" t="n"/>
      <c r="C8" s="17" t="n"/>
      <c r="D8" s="17" t="n"/>
      <c r="E8" s="20" t="n"/>
      <c r="F8" s="20" t="n"/>
      <c r="G8" s="17" t="n"/>
      <c r="H8" s="20" t="n"/>
      <c r="I8" s="20" t="n"/>
      <c r="J8" s="17" t="n"/>
      <c r="K8" s="17" t="n"/>
      <c r="L8" s="20" t="n"/>
      <c r="M8" s="20" t="n"/>
      <c r="N8" s="20" t="n"/>
      <c r="O8" s="20" t="n"/>
      <c r="P8" s="20" t="n"/>
      <c r="Q8" s="17" t="n"/>
      <c r="R8" s="17" t="n"/>
      <c r="S8" s="20" t="n"/>
      <c r="T8" s="20" t="n"/>
      <c r="U8" s="20" t="n"/>
      <c r="V8" s="20" t="n"/>
      <c r="W8" s="20" t="n"/>
      <c r="X8" s="17" t="n"/>
      <c r="Y8" s="17" t="n"/>
      <c r="Z8" s="20" t="n"/>
      <c r="AA8" s="20" t="n"/>
      <c r="AB8" s="20" t="n"/>
      <c r="AC8" s="20" t="n"/>
      <c r="AD8" s="20" t="n"/>
      <c r="AE8" s="17" t="n"/>
      <c r="AF8" s="19" t="n"/>
    </row>
    <row r="9" ht="16" customHeight="1">
      <c r="A9" s="16" t="inlineStr">
        <is>
          <t>Jochim</t>
        </is>
      </c>
      <c r="B9" s="17" t="n"/>
      <c r="C9" s="17" t="n"/>
      <c r="D9" s="17" t="n"/>
      <c r="E9" s="18" t="n"/>
      <c r="F9" s="18" t="n"/>
      <c r="G9" s="17" t="n"/>
      <c r="H9" s="18" t="n"/>
      <c r="I9" s="18" t="n"/>
      <c r="J9" s="17" t="n"/>
      <c r="K9" s="17" t="n"/>
      <c r="L9" s="18" t="n"/>
      <c r="M9" s="18" t="n"/>
      <c r="N9" s="18" t="n"/>
      <c r="O9" s="18" t="n"/>
      <c r="P9" s="18" t="n"/>
      <c r="Q9" s="17" t="n"/>
      <c r="R9" s="17" t="n"/>
      <c r="S9" s="18" t="n"/>
      <c r="T9" s="18" t="n"/>
      <c r="U9" s="18" t="n"/>
      <c r="V9" s="18" t="n"/>
      <c r="W9" s="18" t="n"/>
      <c r="X9" s="17" t="n"/>
      <c r="Y9" s="17" t="n"/>
      <c r="Z9" s="18" t="n"/>
      <c r="AA9" s="18" t="n"/>
      <c r="AB9" s="18" t="n"/>
      <c r="AC9" s="18" t="n"/>
      <c r="AD9" s="18" t="n"/>
      <c r="AE9" s="17" t="n"/>
      <c r="AF9" s="19" t="n"/>
    </row>
    <row r="10" ht="16" customHeight="1">
      <c r="A10" s="16" t="inlineStr">
        <is>
          <t>Wunsch</t>
        </is>
      </c>
      <c r="B10" s="17" t="n"/>
      <c r="C10" s="17" t="n"/>
      <c r="D10" s="17" t="n"/>
      <c r="E10" s="20" t="n"/>
      <c r="F10" s="20" t="n"/>
      <c r="G10" s="17" t="n"/>
      <c r="H10" s="20" t="n"/>
      <c r="I10" s="20" t="n"/>
      <c r="J10" s="17" t="n"/>
      <c r="K10" s="17" t="n"/>
      <c r="L10" s="20" t="n"/>
      <c r="M10" s="20" t="n"/>
      <c r="N10" s="20" t="n"/>
      <c r="O10" s="20" t="n"/>
      <c r="P10" s="20" t="n"/>
      <c r="Q10" s="17" t="n"/>
      <c r="R10" s="17" t="n"/>
      <c r="S10" s="20" t="n"/>
      <c r="T10" s="20" t="n"/>
      <c r="U10" s="20" t="n"/>
      <c r="V10" s="20" t="n"/>
      <c r="W10" s="20" t="n"/>
      <c r="X10" s="17" t="n"/>
      <c r="Y10" s="17" t="n"/>
      <c r="Z10" s="20" t="n"/>
      <c r="AA10" s="20" t="n"/>
      <c r="AB10" s="20" t="n"/>
      <c r="AC10" s="20" t="n"/>
      <c r="AD10" s="20" t="n"/>
      <c r="AE10" s="17" t="n"/>
      <c r="AF10" s="19" t="n"/>
    </row>
    <row r="11" ht="16" customHeight="1">
      <c r="A11" s="16" t="inlineStr">
        <is>
          <t>Göpfrich</t>
        </is>
      </c>
      <c r="B11" s="17" t="n"/>
      <c r="C11" s="17" t="n"/>
      <c r="D11" s="17" t="n"/>
      <c r="E11" s="18" t="n"/>
      <c r="F11" s="18" t="n"/>
      <c r="G11" s="17" t="n"/>
      <c r="H11" s="18" t="n"/>
      <c r="I11" s="18" t="n"/>
      <c r="J11" s="17" t="n"/>
      <c r="K11" s="17" t="n"/>
      <c r="L11" s="18" t="n"/>
      <c r="M11" s="18" t="n"/>
      <c r="N11" s="18" t="n"/>
      <c r="O11" s="18" t="n"/>
      <c r="P11" s="18" t="n"/>
      <c r="Q11" s="17" t="n"/>
      <c r="R11" s="17" t="n"/>
      <c r="S11" s="18" t="n"/>
      <c r="T11" s="18" t="n"/>
      <c r="U11" s="18" t="n"/>
      <c r="V11" s="18" t="n"/>
      <c r="W11" s="18" t="n"/>
      <c r="X11" s="17" t="n"/>
      <c r="Y11" s="17" t="n"/>
      <c r="Z11" s="18" t="n"/>
      <c r="AA11" s="18" t="n"/>
      <c r="AB11" s="18" t="n"/>
      <c r="AC11" s="18" t="n"/>
      <c r="AD11" s="18" t="n"/>
      <c r="AE11" s="17" t="n"/>
      <c r="AF11" s="19" t="n"/>
    </row>
    <row r="12" ht="16" customHeight="1">
      <c r="A12" s="16" t="inlineStr">
        <is>
          <t>Zeller</t>
        </is>
      </c>
      <c r="B12" s="17" t="n"/>
      <c r="C12" s="17" t="n"/>
      <c r="D12" s="17" t="n"/>
      <c r="E12" s="20" t="n"/>
      <c r="F12" s="20" t="n"/>
      <c r="G12" s="17" t="n"/>
      <c r="H12" s="20" t="n"/>
      <c r="I12" s="20" t="n"/>
      <c r="J12" s="17" t="n"/>
      <c r="K12" s="17" t="n"/>
      <c r="L12" s="20" t="n"/>
      <c r="M12" s="20" t="n"/>
      <c r="N12" s="20" t="n"/>
      <c r="O12" s="20" t="n"/>
      <c r="P12" s="20" t="n"/>
      <c r="Q12" s="17" t="n"/>
      <c r="R12" s="17" t="n"/>
      <c r="S12" s="20" t="n"/>
      <c r="T12" s="20" t="n"/>
      <c r="U12" s="20" t="n"/>
      <c r="V12" s="20" t="n"/>
      <c r="W12" s="20" t="n"/>
      <c r="X12" s="17" t="n"/>
      <c r="Y12" s="17" t="n"/>
      <c r="Z12" s="20" t="n"/>
      <c r="AA12" s="20" t="n"/>
      <c r="AB12" s="20" t="n"/>
      <c r="AC12" s="20" t="n"/>
      <c r="AD12" s="20" t="n"/>
      <c r="AE12" s="17" t="n"/>
      <c r="AF12" s="19" t="n"/>
    </row>
    <row r="13" ht="16" customHeight="1">
      <c r="A13" s="16" t="inlineStr">
        <is>
          <t>Behrendt</t>
        </is>
      </c>
      <c r="B13" s="17" t="n"/>
      <c r="C13" s="17" t="n"/>
      <c r="D13" s="17" t="n"/>
      <c r="E13" s="18" t="n"/>
      <c r="F13" s="18" t="n"/>
      <c r="G13" s="17" t="n"/>
      <c r="H13" s="18" t="n"/>
      <c r="I13" s="18" t="n"/>
      <c r="J13" s="17" t="n"/>
      <c r="K13" s="17" t="n"/>
      <c r="L13" s="18" t="n"/>
      <c r="M13" s="18" t="n"/>
      <c r="N13" s="18" t="n"/>
      <c r="O13" s="18" t="n"/>
      <c r="P13" s="18" t="n"/>
      <c r="Q13" s="17" t="n"/>
      <c r="R13" s="17" t="n"/>
      <c r="S13" s="18" t="n"/>
      <c r="T13" s="18" t="n"/>
      <c r="U13" s="18" t="n"/>
      <c r="V13" s="18" t="n"/>
      <c r="W13" s="18" t="n"/>
      <c r="X13" s="17" t="n"/>
      <c r="Y13" s="17" t="n"/>
      <c r="Z13" s="18" t="n"/>
      <c r="AA13" s="18" t="n"/>
      <c r="AB13" s="18" t="n"/>
      <c r="AC13" s="18" t="n"/>
      <c r="AD13" s="18" t="n"/>
      <c r="AE13" s="17" t="n"/>
      <c r="AF13" s="19" t="n"/>
    </row>
    <row r="14" ht="16" customHeight="1">
      <c r="A14" s="16" t="inlineStr">
        <is>
          <t>Krempl</t>
        </is>
      </c>
      <c r="B14" s="17" t="n"/>
      <c r="C14" s="17" t="n"/>
      <c r="D14" s="17" t="n"/>
      <c r="E14" s="20" t="n"/>
      <c r="F14" s="20" t="n"/>
      <c r="G14" s="17" t="n"/>
      <c r="H14" s="20" t="n"/>
      <c r="I14" s="20" t="n"/>
      <c r="J14" s="17" t="n"/>
      <c r="K14" s="17" t="n"/>
      <c r="L14" s="20" t="n"/>
      <c r="M14" s="20" t="n"/>
      <c r="N14" s="20" t="n"/>
      <c r="O14" s="20" t="n"/>
      <c r="P14" s="20" t="n"/>
      <c r="Q14" s="17" t="n"/>
      <c r="R14" s="17" t="n"/>
      <c r="S14" s="20" t="n"/>
      <c r="T14" s="20" t="n"/>
      <c r="U14" s="20" t="n"/>
      <c r="V14" s="20" t="n"/>
      <c r="W14" s="20" t="n"/>
      <c r="X14" s="17" t="n"/>
      <c r="Y14" s="17" t="n"/>
      <c r="Z14" s="20" t="n"/>
      <c r="AA14" s="20" t="n"/>
      <c r="AB14" s="20" t="n"/>
      <c r="AC14" s="20" t="n"/>
      <c r="AD14" s="20" t="n"/>
      <c r="AE14" s="17" t="n"/>
      <c r="AF14" s="19" t="n"/>
    </row>
    <row r="15" ht="16" customHeight="1">
      <c r="A15" s="16" t="inlineStr">
        <is>
          <t>Putschler</t>
        </is>
      </c>
      <c r="B15" s="17" t="n"/>
      <c r="C15" s="17" t="n"/>
      <c r="D15" s="17" t="n"/>
      <c r="E15" s="18" t="n"/>
      <c r="F15" s="18" t="n"/>
      <c r="G15" s="17" t="n"/>
      <c r="H15" s="18" t="n"/>
      <c r="I15" s="18" t="n"/>
      <c r="J15" s="17" t="n"/>
      <c r="K15" s="17" t="n"/>
      <c r="L15" s="18" t="n"/>
      <c r="M15" s="18" t="n"/>
      <c r="N15" s="18" t="n"/>
      <c r="O15" s="18" t="n"/>
      <c r="P15" s="18" t="n"/>
      <c r="Q15" s="17" t="n"/>
      <c r="R15" s="17" t="n"/>
      <c r="S15" s="18" t="n"/>
      <c r="T15" s="18" t="n"/>
      <c r="U15" s="18" t="n"/>
      <c r="V15" s="18" t="n"/>
      <c r="W15" s="18" t="n"/>
      <c r="X15" s="17" t="n"/>
      <c r="Y15" s="17" t="n"/>
      <c r="Z15" s="18" t="n"/>
      <c r="AA15" s="18" t="n"/>
      <c r="AB15" s="18" t="n"/>
      <c r="AC15" s="18" t="n"/>
      <c r="AD15" s="18" t="n"/>
      <c r="AE15" s="17" t="n"/>
      <c r="AF15" s="19" t="n"/>
    </row>
    <row r="16" ht="16" customHeight="1">
      <c r="A16" s="16" t="inlineStr">
        <is>
          <t>Kunz</t>
        </is>
      </c>
      <c r="B16" s="17" t="n"/>
      <c r="C16" s="17" t="n"/>
      <c r="D16" s="17" t="n"/>
      <c r="E16" s="20" t="n"/>
      <c r="F16" s="20" t="n"/>
      <c r="G16" s="17" t="n"/>
      <c r="H16" s="20" t="n"/>
      <c r="I16" s="20" t="n"/>
      <c r="J16" s="17" t="n"/>
      <c r="K16" s="17" t="n"/>
      <c r="L16" s="20" t="n"/>
      <c r="M16" s="20" t="n"/>
      <c r="N16" s="20" t="n"/>
      <c r="O16" s="20" t="n"/>
      <c r="P16" s="20" t="n"/>
      <c r="Q16" s="17" t="n"/>
      <c r="R16" s="17" t="n"/>
      <c r="S16" s="20" t="n"/>
      <c r="T16" s="20" t="n"/>
      <c r="U16" s="20" t="n"/>
      <c r="V16" s="20" t="n"/>
      <c r="W16" s="20" t="n"/>
      <c r="X16" s="17" t="n"/>
      <c r="Y16" s="17" t="n"/>
      <c r="Z16" s="20" t="n"/>
      <c r="AA16" s="20" t="n"/>
      <c r="AB16" s="20" t="n"/>
      <c r="AC16" s="20" t="n"/>
      <c r="AD16" s="20" t="n"/>
      <c r="AE16" s="17" t="n"/>
      <c r="AF16" s="19" t="n"/>
    </row>
    <row r="17" ht="16" customHeight="1">
      <c r="A17" s="16" t="inlineStr">
        <is>
          <t>Schmidt</t>
        </is>
      </c>
      <c r="B17" s="17" t="n"/>
      <c r="C17" s="17" t="n"/>
      <c r="D17" s="17" t="n"/>
      <c r="E17" s="18" t="n"/>
      <c r="F17" s="18" t="n"/>
      <c r="G17" s="17" t="n"/>
      <c r="H17" s="18" t="n"/>
      <c r="I17" s="18" t="n"/>
      <c r="J17" s="17" t="n"/>
      <c r="K17" s="17" t="n"/>
      <c r="L17" s="18" t="n"/>
      <c r="M17" s="18" t="n"/>
      <c r="N17" s="18" t="n"/>
      <c r="O17" s="18" t="n"/>
      <c r="P17" s="18" t="n"/>
      <c r="Q17" s="17" t="n"/>
      <c r="R17" s="17" t="n"/>
      <c r="S17" s="18" t="n"/>
      <c r="T17" s="18" t="n"/>
      <c r="U17" s="18" t="n"/>
      <c r="V17" s="18" t="n"/>
      <c r="W17" s="18" t="n"/>
      <c r="X17" s="17" t="n"/>
      <c r="Y17" s="17" t="n"/>
      <c r="Z17" s="18" t="n"/>
      <c r="AA17" s="18" t="n"/>
      <c r="AB17" s="18" t="n"/>
      <c r="AC17" s="18" t="n"/>
      <c r="AD17" s="18" t="n"/>
      <c r="AE17" s="17" t="n"/>
      <c r="AF17" s="19" t="n"/>
    </row>
    <row r="18" ht="16" customHeight="1">
      <c r="A18" s="16" t="inlineStr">
        <is>
          <t>Radimersky</t>
        </is>
      </c>
      <c r="B18" s="17" t="n"/>
      <c r="C18" s="17" t="n"/>
      <c r="D18" s="17" t="n"/>
      <c r="E18" s="20" t="n"/>
      <c r="F18" s="20" t="n"/>
      <c r="G18" s="17" t="n"/>
      <c r="H18" s="20" t="n"/>
      <c r="I18" s="20" t="n"/>
      <c r="J18" s="17" t="n"/>
      <c r="K18" s="17" t="n"/>
      <c r="L18" s="20" t="n"/>
      <c r="M18" s="20" t="n"/>
      <c r="N18" s="20" t="n"/>
      <c r="O18" s="20" t="n"/>
      <c r="P18" s="20" t="n"/>
      <c r="Q18" s="17" t="n"/>
      <c r="R18" s="17" t="n"/>
      <c r="S18" s="20" t="n"/>
      <c r="T18" s="20" t="n"/>
      <c r="U18" s="20" t="n"/>
      <c r="V18" s="20" t="n"/>
      <c r="W18" s="20" t="n"/>
      <c r="X18" s="17" t="n"/>
      <c r="Y18" s="17" t="n"/>
      <c r="Z18" s="20" t="n"/>
      <c r="AA18" s="20" t="n"/>
      <c r="AB18" s="20" t="n"/>
      <c r="AC18" s="20" t="n"/>
      <c r="AD18" s="20" t="n"/>
      <c r="AE18" s="17" t="n"/>
      <c r="AF18" s="19" t="n"/>
    </row>
    <row r="19" ht="15" customHeight="1">
      <c r="A19" s="21" t="inlineStr">
        <is>
          <t>Besetzung</t>
        </is>
      </c>
      <c r="B19" s="22" t="n"/>
      <c r="C19" s="22" t="n"/>
      <c r="D19" s="22" t="n"/>
      <c r="E19" s="23">
        <f>IF(AND(COUNTIF(E7:E18,"FI")&gt;0,COUNTIF(E7:E18,"SI")&gt;0,COUNTIF(E7:E18,"NI")&gt;0),"","!")</f>
        <v/>
      </c>
      <c r="F19" s="23">
        <f>IF(AND(COUNTIF(F7:F18,"FI")&gt;0,COUNTIF(F7:F18,"SI")&gt;0,COUNTIF(F7:F18,"NI")&gt;0),"","!")</f>
        <v/>
      </c>
      <c r="G19" s="22" t="n"/>
      <c r="H19" s="23">
        <f>IF(AND(COUNTIF(H7:H18,"FI")&gt;0,COUNTIF(H7:H18,"SI")&gt;0,COUNTIF(H7:H18,"NI")&gt;0),"","!")</f>
        <v/>
      </c>
      <c r="I19" s="23">
        <f>IF(AND(COUNTIF(I7:I18,"FI")&gt;0,COUNTIF(I7:I18,"SI")&gt;0),"","!")</f>
        <v/>
      </c>
      <c r="J19" s="22" t="n"/>
      <c r="K19" s="22" t="n"/>
      <c r="L19" s="23">
        <f>IF(AND(COUNTIF(L7:L18,"FI")&gt;0,COUNTIF(L7:L18,"SI")&gt;0,COUNTIF(L7:L18,"NI")&gt;0),"","!")</f>
        <v/>
      </c>
      <c r="M19" s="23">
        <f>IF(AND(COUNTIF(M7:M18,"FI")&gt;0,COUNTIF(M7:M18,"SI")&gt;0,COUNTIF(M7:M18,"NI")&gt;0),"","!")</f>
        <v/>
      </c>
      <c r="N19" s="23">
        <f>IF(AND(COUNTIF(N7:N18,"FI")&gt;0,COUNTIF(N7:N18,"SI")&gt;0,COUNTIF(N7:N18,"NI")&gt;0),"","!")</f>
        <v/>
      </c>
      <c r="O19" s="23">
        <f>IF(AND(COUNTIF(O7:O18,"FI")&gt;0,COUNTIF(O7:O18,"SI")&gt;0,COUNTIF(O7:O18,"NI")&gt;0),"","!")</f>
        <v/>
      </c>
      <c r="P19" s="23">
        <f>IF(AND(COUNTIF(P7:P18,"FI")&gt;0,COUNTIF(P7:P18,"SI")&gt;0),"","!")</f>
        <v/>
      </c>
      <c r="Q19" s="22" t="n"/>
      <c r="R19" s="22" t="n"/>
      <c r="S19" s="23">
        <f>IF(AND(COUNTIF(S7:S18,"FI")&gt;0,COUNTIF(S7:S18,"SI")&gt;0,COUNTIF(S7:S18,"NI")&gt;0),"","!")</f>
        <v/>
      </c>
      <c r="T19" s="23">
        <f>IF(AND(COUNTIF(T7:T18,"FI")&gt;0,COUNTIF(T7:T18,"SI")&gt;0,COUNTIF(T7:T18,"NI")&gt;0),"","!")</f>
        <v/>
      </c>
      <c r="U19" s="23">
        <f>IF(AND(COUNTIF(U7:U18,"FI")&gt;0,COUNTIF(U7:U18,"SI")&gt;0,COUNTIF(U7:U18,"NI")&gt;0),"","!")</f>
        <v/>
      </c>
      <c r="V19" s="23">
        <f>IF(AND(COUNTIF(V7:V18,"FI")&gt;0,COUNTIF(V7:V18,"SI")&gt;0,COUNTIF(V7:V18,"NI")&gt;0),"","!")</f>
        <v/>
      </c>
      <c r="W19" s="23">
        <f>IF(AND(COUNTIF(W7:W18,"FI")&gt;0,COUNTIF(W7:W18,"SI")&gt;0),"","!")</f>
        <v/>
      </c>
      <c r="X19" s="22" t="n"/>
      <c r="Y19" s="22" t="n"/>
      <c r="Z19" s="23">
        <f>IF(AND(COUNTIF(Z7:Z18,"FI")&gt;0,COUNTIF(Z7:Z18,"SI")&gt;0,COUNTIF(Z7:Z18,"NI")&gt;0),"","!")</f>
        <v/>
      </c>
      <c r="AA19" s="23">
        <f>IF(AND(COUNTIF(AA7:AA18,"FI")&gt;0,COUNTIF(AA7:AA18,"SI")&gt;0,COUNTIF(AA7:AA18,"NI")&gt;0),"","!")</f>
        <v/>
      </c>
      <c r="AB19" s="23">
        <f>IF(AND(COUNTIF(AB7:AB18,"FI")&gt;0,COUNTIF(AB7:AB18,"SI")&gt;0,COUNTIF(AB7:AB18,"NI")&gt;0),"","!")</f>
        <v/>
      </c>
      <c r="AC19" s="23">
        <f>IF(AND(COUNTIF(AC7:AC18,"FI")&gt;0,COUNTIF(AC7:AC18,"SI")&gt;0,COUNTIF(AC7:AC18,"NI")&gt;0),"","!")</f>
        <v/>
      </c>
      <c r="AD19" s="23">
        <f>IF(AND(COUNTIF(AD7:AD18,"FI")&gt;0,COUNTIF(AD7:AD18,"SI")&gt;0),"","!")</f>
        <v/>
      </c>
      <c r="AE19" s="22" t="n"/>
      <c r="AF19" s="24" t="n"/>
    </row>
    <row r="21">
      <c r="P21" s="25" t="inlineStr">
        <is>
          <t>Faschingsferien</t>
        </is>
      </c>
    </row>
    <row r="22" ht="20" customHeight="1">
      <c r="A22" s="2" t="inlineStr">
        <is>
          <t>Februar</t>
        </is>
      </c>
    </row>
    <row r="23" ht="15" customHeight="1">
      <c r="A23" s="3" t="inlineStr">
        <is>
          <t>KW</t>
        </is>
      </c>
      <c r="B23" s="6" t="n">
        <v>5</v>
      </c>
      <c r="C23" s="7" t="n"/>
      <c r="D23" s="7" t="n"/>
      <c r="E23" s="7" t="n"/>
      <c r="F23" s="7" t="n"/>
      <c r="G23" s="5" t="n"/>
      <c r="H23" s="5" t="n"/>
      <c r="I23" s="6" t="n">
        <v>6</v>
      </c>
      <c r="J23" s="7" t="n"/>
      <c r="K23" s="7" t="n"/>
      <c r="L23" s="7" t="n"/>
      <c r="M23" s="7" t="n"/>
      <c r="N23" s="5" t="n"/>
      <c r="O23" s="5" t="n"/>
      <c r="P23" s="6" t="n">
        <v>7</v>
      </c>
      <c r="Q23" s="7" t="n"/>
      <c r="R23" s="7" t="n"/>
      <c r="S23" s="7" t="n"/>
      <c r="T23" s="7" t="n"/>
      <c r="U23" s="5" t="n"/>
      <c r="V23" s="5" t="n"/>
      <c r="W23" s="6" t="n">
        <v>8</v>
      </c>
      <c r="X23" s="7" t="n"/>
      <c r="Y23" s="7" t="n"/>
      <c r="Z23" s="7" t="n"/>
      <c r="AA23" s="7" t="n"/>
      <c r="AB23" s="5" t="n"/>
      <c r="AC23" s="8" t="n"/>
    </row>
    <row r="24" ht="18" customHeight="1">
      <c r="A24" s="9" t="inlineStr">
        <is>
          <t>Tag</t>
        </is>
      </c>
      <c r="B24" s="11" t="n">
        <v>1</v>
      </c>
      <c r="C24" s="11" t="n">
        <v>2</v>
      </c>
      <c r="D24" s="11" t="n">
        <v>3</v>
      </c>
      <c r="E24" s="11" t="n">
        <v>4</v>
      </c>
      <c r="F24" s="11" t="n">
        <v>5</v>
      </c>
      <c r="G24" s="10" t="n">
        <v>6</v>
      </c>
      <c r="H24" s="10" t="n">
        <v>7</v>
      </c>
      <c r="I24" s="11" t="n">
        <v>8</v>
      </c>
      <c r="J24" s="11" t="n">
        <v>9</v>
      </c>
      <c r="K24" s="11" t="n">
        <v>10</v>
      </c>
      <c r="L24" s="11" t="n">
        <v>11</v>
      </c>
      <c r="M24" s="11" t="n">
        <v>12</v>
      </c>
      <c r="N24" s="10" t="n">
        <v>13</v>
      </c>
      <c r="O24" s="10" t="n">
        <v>14</v>
      </c>
      <c r="P24" s="11" t="n">
        <v>15</v>
      </c>
      <c r="Q24" s="11" t="n">
        <v>16</v>
      </c>
      <c r="R24" s="11" t="n">
        <v>17</v>
      </c>
      <c r="S24" s="11" t="n">
        <v>18</v>
      </c>
      <c r="T24" s="11" t="n">
        <v>19</v>
      </c>
      <c r="U24" s="10" t="n">
        <v>20</v>
      </c>
      <c r="V24" s="10" t="n">
        <v>21</v>
      </c>
      <c r="W24" s="11" t="n">
        <v>22</v>
      </c>
      <c r="X24" s="11" t="n">
        <v>23</v>
      </c>
      <c r="Y24" s="11" t="n">
        <v>24</v>
      </c>
      <c r="Z24" s="11" t="n">
        <v>25</v>
      </c>
      <c r="AA24" s="11" t="n">
        <v>26</v>
      </c>
      <c r="AB24" s="10" t="n">
        <v>27</v>
      </c>
      <c r="AC24" s="12" t="n">
        <v>28</v>
      </c>
    </row>
    <row r="25" ht="18" customHeight="1">
      <c r="A25" s="9" t="inlineStr">
        <is>
          <t>WT</t>
        </is>
      </c>
      <c r="B25" s="14" t="inlineStr">
        <is>
          <t>Mo</t>
        </is>
      </c>
      <c r="C25" s="14" t="inlineStr">
        <is>
          <t>Di</t>
        </is>
      </c>
      <c r="D25" s="14" t="inlineStr">
        <is>
          <t>Mi</t>
        </is>
      </c>
      <c r="E25" s="14" t="inlineStr">
        <is>
          <t>Do</t>
        </is>
      </c>
      <c r="F25" s="14" t="inlineStr">
        <is>
          <t>Fr</t>
        </is>
      </c>
      <c r="G25" s="13" t="inlineStr">
        <is>
          <t>Sa</t>
        </is>
      </c>
      <c r="H25" s="13" t="inlineStr">
        <is>
          <t>So</t>
        </is>
      </c>
      <c r="I25" s="14" t="inlineStr">
        <is>
          <t>Mo</t>
        </is>
      </c>
      <c r="J25" s="14" t="inlineStr">
        <is>
          <t>Di</t>
        </is>
      </c>
      <c r="K25" s="14" t="inlineStr">
        <is>
          <t>Mi</t>
        </is>
      </c>
      <c r="L25" s="14" t="inlineStr">
        <is>
          <t>Do</t>
        </is>
      </c>
      <c r="M25" s="14" t="inlineStr">
        <is>
          <t>Fr</t>
        </is>
      </c>
      <c r="N25" s="13" t="inlineStr">
        <is>
          <t>Sa</t>
        </is>
      </c>
      <c r="O25" s="13" t="inlineStr">
        <is>
          <t>So</t>
        </is>
      </c>
      <c r="P25" s="14" t="inlineStr">
        <is>
          <t>Mo</t>
        </is>
      </c>
      <c r="Q25" s="14" t="inlineStr">
        <is>
          <t>Di</t>
        </is>
      </c>
      <c r="R25" s="14" t="inlineStr">
        <is>
          <t>Mi</t>
        </is>
      </c>
      <c r="S25" s="14" t="inlineStr">
        <is>
          <t>Do</t>
        </is>
      </c>
      <c r="T25" s="14" t="inlineStr">
        <is>
          <t>Fr</t>
        </is>
      </c>
      <c r="U25" s="13" t="inlineStr">
        <is>
          <t>Sa</t>
        </is>
      </c>
      <c r="V25" s="13" t="inlineStr">
        <is>
          <t>So</t>
        </is>
      </c>
      <c r="W25" s="14" t="inlineStr">
        <is>
          <t>Mo</t>
        </is>
      </c>
      <c r="X25" s="14" t="inlineStr">
        <is>
          <t>Di</t>
        </is>
      </c>
      <c r="Y25" s="14" t="inlineStr">
        <is>
          <t>Mi</t>
        </is>
      </c>
      <c r="Z25" s="14" t="inlineStr">
        <is>
          <t>Do</t>
        </is>
      </c>
      <c r="AA25" s="14" t="inlineStr">
        <is>
          <t>Fr</t>
        </is>
      </c>
      <c r="AB25" s="13" t="inlineStr">
        <is>
          <t>Sa</t>
        </is>
      </c>
      <c r="AC25" s="15" t="inlineStr">
        <is>
          <t>So</t>
        </is>
      </c>
    </row>
    <row r="26" ht="16" customHeight="1">
      <c r="A26" s="16" t="inlineStr">
        <is>
          <t>Breig</t>
        </is>
      </c>
      <c r="B26" s="18" t="n"/>
      <c r="C26" s="18" t="n"/>
      <c r="D26" s="18" t="n"/>
      <c r="E26" s="18" t="n"/>
      <c r="F26" s="18" t="n"/>
      <c r="G26" s="17" t="n"/>
      <c r="H26" s="17" t="n"/>
      <c r="I26" s="18" t="n"/>
      <c r="J26" s="18" t="n"/>
      <c r="K26" s="18" t="n"/>
      <c r="L26" s="18" t="n"/>
      <c r="M26" s="18" t="n"/>
      <c r="N26" s="17" t="n"/>
      <c r="O26" s="17" t="n"/>
      <c r="P26" s="18" t="n"/>
      <c r="Q26" s="18" t="n"/>
      <c r="R26" s="18" t="n"/>
      <c r="S26" s="18" t="n"/>
      <c r="T26" s="18" t="n"/>
      <c r="U26" s="17" t="n"/>
      <c r="V26" s="17" t="n"/>
      <c r="W26" s="18" t="n"/>
      <c r="X26" s="18" t="n"/>
      <c r="Y26" s="18" t="n"/>
      <c r="Z26" s="18" t="n"/>
      <c r="AA26" s="18" t="n"/>
      <c r="AB26" s="17" t="n"/>
      <c r="AC26" s="19" t="n"/>
    </row>
    <row r="27" ht="16" customHeight="1">
      <c r="A27" s="16" t="inlineStr">
        <is>
          <t>Siebert</t>
        </is>
      </c>
      <c r="B27" s="20" t="n"/>
      <c r="C27" s="20" t="n"/>
      <c r="D27" s="20" t="n"/>
      <c r="E27" s="20" t="n"/>
      <c r="F27" s="20" t="n"/>
      <c r="G27" s="17" t="n"/>
      <c r="H27" s="17" t="n"/>
      <c r="I27" s="20" t="n"/>
      <c r="J27" s="20" t="n"/>
      <c r="K27" s="20" t="n"/>
      <c r="L27" s="20" t="n"/>
      <c r="M27" s="20" t="n"/>
      <c r="N27" s="17" t="n"/>
      <c r="O27" s="17" t="n"/>
      <c r="P27" s="20" t="n"/>
      <c r="Q27" s="20" t="n"/>
      <c r="R27" s="20" t="n"/>
      <c r="S27" s="20" t="n"/>
      <c r="T27" s="20" t="n"/>
      <c r="U27" s="17" t="n"/>
      <c r="V27" s="17" t="n"/>
      <c r="W27" s="20" t="n"/>
      <c r="X27" s="20" t="n"/>
      <c r="Y27" s="20" t="n"/>
      <c r="Z27" s="20" t="n"/>
      <c r="AA27" s="20" t="n"/>
      <c r="AB27" s="17" t="n"/>
      <c r="AC27" s="19" t="n"/>
    </row>
    <row r="28" ht="16" customHeight="1">
      <c r="A28" s="16" t="inlineStr">
        <is>
          <t>Jochim</t>
        </is>
      </c>
      <c r="B28" s="18" t="n"/>
      <c r="C28" s="18" t="n"/>
      <c r="D28" s="18" t="n"/>
      <c r="E28" s="18" t="n"/>
      <c r="F28" s="18" t="n"/>
      <c r="G28" s="17" t="n"/>
      <c r="H28" s="17" t="n"/>
      <c r="I28" s="18" t="n"/>
      <c r="J28" s="18" t="n"/>
      <c r="K28" s="18" t="n"/>
      <c r="L28" s="18" t="n"/>
      <c r="M28" s="18" t="n"/>
      <c r="N28" s="17" t="n"/>
      <c r="O28" s="17" t="n"/>
      <c r="P28" s="18" t="n"/>
      <c r="Q28" s="18" t="n"/>
      <c r="R28" s="18" t="n"/>
      <c r="S28" s="18" t="n"/>
      <c r="T28" s="18" t="n"/>
      <c r="U28" s="17" t="n"/>
      <c r="V28" s="17" t="n"/>
      <c r="W28" s="18" t="n"/>
      <c r="X28" s="18" t="n"/>
      <c r="Y28" s="18" t="n"/>
      <c r="Z28" s="18" t="n"/>
      <c r="AA28" s="18" t="n"/>
      <c r="AB28" s="17" t="n"/>
      <c r="AC28" s="19" t="n"/>
    </row>
    <row r="29" ht="16" customHeight="1">
      <c r="A29" s="16" t="inlineStr">
        <is>
          <t>Wunsch</t>
        </is>
      </c>
      <c r="B29" s="20" t="n"/>
      <c r="C29" s="20" t="n"/>
      <c r="D29" s="20" t="n"/>
      <c r="E29" s="20" t="n"/>
      <c r="F29" s="20" t="n"/>
      <c r="G29" s="17" t="n"/>
      <c r="H29" s="17" t="n"/>
      <c r="I29" s="20" t="n"/>
      <c r="J29" s="20" t="n"/>
      <c r="K29" s="20" t="n"/>
      <c r="L29" s="20" t="n"/>
      <c r="M29" s="20" t="n"/>
      <c r="N29" s="17" t="n"/>
      <c r="O29" s="17" t="n"/>
      <c r="P29" s="20" t="n"/>
      <c r="Q29" s="20" t="n"/>
      <c r="R29" s="20" t="n"/>
      <c r="S29" s="20" t="n"/>
      <c r="T29" s="20" t="n"/>
      <c r="U29" s="17" t="n"/>
      <c r="V29" s="17" t="n"/>
      <c r="W29" s="20" t="n"/>
      <c r="X29" s="20" t="n"/>
      <c r="Y29" s="20" t="n"/>
      <c r="Z29" s="20" t="n"/>
      <c r="AA29" s="20" t="n"/>
      <c r="AB29" s="17" t="n"/>
      <c r="AC29" s="19" t="n"/>
    </row>
    <row r="30" ht="16" customHeight="1">
      <c r="A30" s="16" t="inlineStr">
        <is>
          <t>Göpfrich</t>
        </is>
      </c>
      <c r="B30" s="18" t="n"/>
      <c r="C30" s="18" t="n"/>
      <c r="D30" s="18" t="n"/>
      <c r="E30" s="18" t="n"/>
      <c r="F30" s="18" t="n"/>
      <c r="G30" s="17" t="n"/>
      <c r="H30" s="17" t="n"/>
      <c r="I30" s="18" t="n"/>
      <c r="J30" s="18" t="n"/>
      <c r="K30" s="18" t="n"/>
      <c r="L30" s="18" t="n"/>
      <c r="M30" s="18" t="n"/>
      <c r="N30" s="17" t="n"/>
      <c r="O30" s="17" t="n"/>
      <c r="P30" s="18" t="n"/>
      <c r="Q30" s="18" t="n"/>
      <c r="R30" s="18" t="n"/>
      <c r="S30" s="18" t="n"/>
      <c r="T30" s="18" t="n"/>
      <c r="U30" s="17" t="n"/>
      <c r="V30" s="17" t="n"/>
      <c r="W30" s="18" t="n"/>
      <c r="X30" s="18" t="n"/>
      <c r="Y30" s="18" t="n"/>
      <c r="Z30" s="18" t="n"/>
      <c r="AA30" s="18" t="n"/>
      <c r="AB30" s="17" t="n"/>
      <c r="AC30" s="19" t="n"/>
    </row>
    <row r="31" ht="16" customHeight="1">
      <c r="A31" s="16" t="inlineStr">
        <is>
          <t>Zeller</t>
        </is>
      </c>
      <c r="B31" s="20" t="n"/>
      <c r="C31" s="20" t="n"/>
      <c r="D31" s="20" t="n"/>
      <c r="E31" s="20" t="n"/>
      <c r="F31" s="20" t="n"/>
      <c r="G31" s="17" t="n"/>
      <c r="H31" s="17" t="n"/>
      <c r="I31" s="20" t="n"/>
      <c r="J31" s="20" t="n"/>
      <c r="K31" s="20" t="n"/>
      <c r="L31" s="20" t="n"/>
      <c r="M31" s="20" t="n"/>
      <c r="N31" s="17" t="n"/>
      <c r="O31" s="17" t="n"/>
      <c r="P31" s="20" t="n"/>
      <c r="Q31" s="20" t="n"/>
      <c r="R31" s="20" t="n"/>
      <c r="S31" s="20" t="n"/>
      <c r="T31" s="20" t="n"/>
      <c r="U31" s="17" t="n"/>
      <c r="V31" s="17" t="n"/>
      <c r="W31" s="20" t="n"/>
      <c r="X31" s="20" t="n"/>
      <c r="Y31" s="20" t="n"/>
      <c r="Z31" s="20" t="n"/>
      <c r="AA31" s="20" t="n"/>
      <c r="AB31" s="17" t="n"/>
      <c r="AC31" s="19" t="n"/>
    </row>
    <row r="32" ht="16" customHeight="1">
      <c r="A32" s="16" t="inlineStr">
        <is>
          <t>Behrendt</t>
        </is>
      </c>
      <c r="B32" s="18" t="n"/>
      <c r="C32" s="18" t="n"/>
      <c r="D32" s="18" t="n"/>
      <c r="E32" s="18" t="n"/>
      <c r="F32" s="18" t="n"/>
      <c r="G32" s="17" t="n"/>
      <c r="H32" s="17" t="n"/>
      <c r="I32" s="18" t="n"/>
      <c r="J32" s="18" t="n"/>
      <c r="K32" s="18" t="n"/>
      <c r="L32" s="18" t="n"/>
      <c r="M32" s="18" t="n"/>
      <c r="N32" s="17" t="n"/>
      <c r="O32" s="17" t="n"/>
      <c r="P32" s="18" t="n"/>
      <c r="Q32" s="18" t="n"/>
      <c r="R32" s="18" t="n"/>
      <c r="S32" s="18" t="n"/>
      <c r="T32" s="18" t="n"/>
      <c r="U32" s="17" t="n"/>
      <c r="V32" s="17" t="n"/>
      <c r="W32" s="18" t="n"/>
      <c r="X32" s="18" t="n"/>
      <c r="Y32" s="18" t="n"/>
      <c r="Z32" s="18" t="n"/>
      <c r="AA32" s="18" t="n"/>
      <c r="AB32" s="17" t="n"/>
      <c r="AC32" s="19" t="n"/>
    </row>
    <row r="33" ht="16" customHeight="1">
      <c r="A33" s="16" t="inlineStr">
        <is>
          <t>Krempl</t>
        </is>
      </c>
      <c r="B33" s="20" t="n"/>
      <c r="C33" s="20" t="n"/>
      <c r="D33" s="20" t="n"/>
      <c r="E33" s="20" t="n"/>
      <c r="F33" s="20" t="n"/>
      <c r="G33" s="17" t="n"/>
      <c r="H33" s="17" t="n"/>
      <c r="I33" s="20" t="n"/>
      <c r="J33" s="20" t="n"/>
      <c r="K33" s="20" t="n"/>
      <c r="L33" s="20" t="n"/>
      <c r="M33" s="20" t="n"/>
      <c r="N33" s="17" t="n"/>
      <c r="O33" s="17" t="n"/>
      <c r="P33" s="20" t="n"/>
      <c r="Q33" s="20" t="n"/>
      <c r="R33" s="20" t="n"/>
      <c r="S33" s="20" t="n"/>
      <c r="T33" s="20" t="n"/>
      <c r="U33" s="17" t="n"/>
      <c r="V33" s="17" t="n"/>
      <c r="W33" s="20" t="n"/>
      <c r="X33" s="20" t="n"/>
      <c r="Y33" s="20" t="n"/>
      <c r="Z33" s="20" t="n"/>
      <c r="AA33" s="20" t="n"/>
      <c r="AB33" s="17" t="n"/>
      <c r="AC33" s="19" t="n"/>
    </row>
    <row r="34" ht="16" customHeight="1">
      <c r="A34" s="16" t="inlineStr">
        <is>
          <t>Putschler</t>
        </is>
      </c>
      <c r="B34" s="18" t="n"/>
      <c r="C34" s="18" t="n"/>
      <c r="D34" s="18" t="n"/>
      <c r="E34" s="18" t="n"/>
      <c r="F34" s="18" t="n"/>
      <c r="G34" s="17" t="n"/>
      <c r="H34" s="17" t="n"/>
      <c r="I34" s="18" t="n"/>
      <c r="J34" s="18" t="n"/>
      <c r="K34" s="18" t="n"/>
      <c r="L34" s="18" t="n"/>
      <c r="M34" s="18" t="n"/>
      <c r="N34" s="17" t="n"/>
      <c r="O34" s="17" t="n"/>
      <c r="P34" s="18" t="n"/>
      <c r="Q34" s="18" t="n"/>
      <c r="R34" s="18" t="n"/>
      <c r="S34" s="18" t="n"/>
      <c r="T34" s="18" t="n"/>
      <c r="U34" s="17" t="n"/>
      <c r="V34" s="17" t="n"/>
      <c r="W34" s="18" t="n"/>
      <c r="X34" s="18" t="n"/>
      <c r="Y34" s="18" t="n"/>
      <c r="Z34" s="18" t="n"/>
      <c r="AA34" s="18" t="n"/>
      <c r="AB34" s="17" t="n"/>
      <c r="AC34" s="19" t="n"/>
    </row>
    <row r="35" ht="16" customHeight="1">
      <c r="A35" s="16" t="inlineStr">
        <is>
          <t>Kunz</t>
        </is>
      </c>
      <c r="B35" s="20" t="n"/>
      <c r="C35" s="20" t="n"/>
      <c r="D35" s="20" t="n"/>
      <c r="E35" s="20" t="n"/>
      <c r="F35" s="20" t="n"/>
      <c r="G35" s="17" t="n"/>
      <c r="H35" s="17" t="n"/>
      <c r="I35" s="20" t="n"/>
      <c r="J35" s="20" t="n"/>
      <c r="K35" s="20" t="n"/>
      <c r="L35" s="20" t="n"/>
      <c r="M35" s="20" t="n"/>
      <c r="N35" s="17" t="n"/>
      <c r="O35" s="17" t="n"/>
      <c r="P35" s="20" t="n"/>
      <c r="Q35" s="20" t="n"/>
      <c r="R35" s="20" t="n"/>
      <c r="S35" s="20" t="n"/>
      <c r="T35" s="20" t="n"/>
      <c r="U35" s="17" t="n"/>
      <c r="V35" s="17" t="n"/>
      <c r="W35" s="20" t="n"/>
      <c r="X35" s="20" t="n"/>
      <c r="Y35" s="20" t="n"/>
      <c r="Z35" s="20" t="n"/>
      <c r="AA35" s="20" t="n"/>
      <c r="AB35" s="17" t="n"/>
      <c r="AC35" s="19" t="n"/>
    </row>
    <row r="36" ht="16" customHeight="1">
      <c r="A36" s="16" t="inlineStr">
        <is>
          <t>Schmidt</t>
        </is>
      </c>
      <c r="B36" s="18" t="n"/>
      <c r="C36" s="18" t="n"/>
      <c r="D36" s="18" t="n"/>
      <c r="E36" s="18" t="n"/>
      <c r="F36" s="18" t="n"/>
      <c r="G36" s="17" t="n"/>
      <c r="H36" s="17" t="n"/>
      <c r="I36" s="18" t="n"/>
      <c r="J36" s="18" t="n"/>
      <c r="K36" s="18" t="n"/>
      <c r="L36" s="18" t="n"/>
      <c r="M36" s="18" t="n"/>
      <c r="N36" s="17" t="n"/>
      <c r="O36" s="17" t="n"/>
      <c r="P36" s="18" t="n"/>
      <c r="Q36" s="18" t="n"/>
      <c r="R36" s="18" t="n"/>
      <c r="S36" s="18" t="n"/>
      <c r="T36" s="18" t="n"/>
      <c r="U36" s="17" t="n"/>
      <c r="V36" s="17" t="n"/>
      <c r="W36" s="18" t="n"/>
      <c r="X36" s="18" t="n"/>
      <c r="Y36" s="18" t="n"/>
      <c r="Z36" s="18" t="n"/>
      <c r="AA36" s="18" t="n"/>
      <c r="AB36" s="17" t="n"/>
      <c r="AC36" s="19" t="n"/>
    </row>
    <row r="37" ht="16" customHeight="1">
      <c r="A37" s="16" t="inlineStr">
        <is>
          <t>Radimersky</t>
        </is>
      </c>
      <c r="B37" s="20" t="n"/>
      <c r="C37" s="20" t="n"/>
      <c r="D37" s="20" t="n"/>
      <c r="E37" s="20" t="n"/>
      <c r="F37" s="20" t="n"/>
      <c r="G37" s="17" t="n"/>
      <c r="H37" s="17" t="n"/>
      <c r="I37" s="20" t="n"/>
      <c r="J37" s="20" t="n"/>
      <c r="K37" s="20" t="n"/>
      <c r="L37" s="20" t="n"/>
      <c r="M37" s="20" t="n"/>
      <c r="N37" s="17" t="n"/>
      <c r="O37" s="17" t="n"/>
      <c r="P37" s="20" t="n"/>
      <c r="Q37" s="20" t="n"/>
      <c r="R37" s="20" t="n"/>
      <c r="S37" s="20" t="n"/>
      <c r="T37" s="20" t="n"/>
      <c r="U37" s="17" t="n"/>
      <c r="V37" s="17" t="n"/>
      <c r="W37" s="20" t="n"/>
      <c r="X37" s="20" t="n"/>
      <c r="Y37" s="20" t="n"/>
      <c r="Z37" s="20" t="n"/>
      <c r="AA37" s="20" t="n"/>
      <c r="AB37" s="17" t="n"/>
      <c r="AC37" s="19" t="n"/>
    </row>
    <row r="38" ht="15" customHeight="1">
      <c r="A38" s="21" t="inlineStr">
        <is>
          <t>Besetzung</t>
        </is>
      </c>
      <c r="B38" s="23">
        <f>IF(AND(COUNTIF(B26:B37,"FI")&gt;0,COUNTIF(B26:B37,"SI")&gt;0,COUNTIF(B26:B37,"NI")&gt;0),"","!")</f>
        <v/>
      </c>
      <c r="C38" s="23">
        <f>IF(AND(COUNTIF(C26:C37,"FI")&gt;0,COUNTIF(C26:C37,"SI")&gt;0,COUNTIF(C26:C37,"NI")&gt;0),"","!")</f>
        <v/>
      </c>
      <c r="D38" s="23">
        <f>IF(AND(COUNTIF(D26:D37,"FI")&gt;0,COUNTIF(D26:D37,"SI")&gt;0,COUNTIF(D26:D37,"NI")&gt;0),"","!")</f>
        <v/>
      </c>
      <c r="E38" s="23">
        <f>IF(AND(COUNTIF(E26:E37,"FI")&gt;0,COUNTIF(E26:E37,"SI")&gt;0,COUNTIF(E26:E37,"NI")&gt;0),"","!")</f>
        <v/>
      </c>
      <c r="F38" s="23">
        <f>IF(AND(COUNTIF(F26:F37,"FI")&gt;0,COUNTIF(F26:F37,"SI")&gt;0),"","!")</f>
        <v/>
      </c>
      <c r="G38" s="22" t="n"/>
      <c r="H38" s="22" t="n"/>
      <c r="I38" s="23">
        <f>IF(AND(COUNTIF(I26:I37,"FI")&gt;0,COUNTIF(I26:I37,"SI")&gt;0,COUNTIF(I26:I37,"NI")&gt;0),"","!")</f>
        <v/>
      </c>
      <c r="J38" s="23">
        <f>IF(AND(COUNTIF(J26:J37,"FI")&gt;0,COUNTIF(J26:J37,"SI")&gt;0,COUNTIF(J26:J37,"NI")&gt;0),"","!")</f>
        <v/>
      </c>
      <c r="K38" s="23">
        <f>IF(AND(COUNTIF(K26:K37,"FI")&gt;0,COUNTIF(K26:K37,"SI")&gt;0,COUNTIF(K26:K37,"NI")&gt;0),"","!")</f>
        <v/>
      </c>
      <c r="L38" s="23">
        <f>IF(AND(COUNTIF(L26:L37,"FI")&gt;0,COUNTIF(L26:L37,"SI")&gt;0,COUNTIF(L26:L37,"NI")&gt;0),"","!")</f>
        <v/>
      </c>
      <c r="M38" s="23">
        <f>IF(AND(COUNTIF(M26:M37,"FI")&gt;0,COUNTIF(M26:M37,"SI")&gt;0),"","!")</f>
        <v/>
      </c>
      <c r="N38" s="22" t="n"/>
      <c r="O38" s="22" t="n"/>
      <c r="P38" s="23">
        <f>IF(AND(COUNTIF(P26:P37,"FI")&gt;0,COUNTIF(P26:P37,"SI")&gt;0,COUNTIF(P26:P37,"NI")&gt;0),"","!")</f>
        <v/>
      </c>
      <c r="Q38" s="23">
        <f>IF(AND(COUNTIF(Q26:Q37,"FI")&gt;0,COUNTIF(Q26:Q37,"SI")&gt;0,COUNTIF(Q26:Q37,"NI")&gt;0),"","!")</f>
        <v/>
      </c>
      <c r="R38" s="23">
        <f>IF(AND(COUNTIF(R26:R37,"FI")&gt;0,COUNTIF(R26:R37,"SI")&gt;0,COUNTIF(R26:R37,"NI")&gt;0),"","!")</f>
        <v/>
      </c>
      <c r="S38" s="23">
        <f>IF(AND(COUNTIF(S26:S37,"FI")&gt;0,COUNTIF(S26:S37,"SI")&gt;0,COUNTIF(S26:S37,"NI")&gt;0),"","!")</f>
        <v/>
      </c>
      <c r="T38" s="23">
        <f>IF(AND(COUNTIF(T26:T37,"FI")&gt;0,COUNTIF(T26:T37,"SI")&gt;0),"","!")</f>
        <v/>
      </c>
      <c r="U38" s="22" t="n"/>
      <c r="V38" s="22" t="n"/>
      <c r="W38" s="23">
        <f>IF(AND(COUNTIF(W26:W37,"FI")&gt;0,COUNTIF(W26:W37,"SI")&gt;0,COUNTIF(W26:W37,"NI")&gt;0),"","!")</f>
        <v/>
      </c>
      <c r="X38" s="23">
        <f>IF(AND(COUNTIF(X26:X37,"FI")&gt;0,COUNTIF(X26:X37,"SI")&gt;0,COUNTIF(X26:X37,"NI")&gt;0),"","!")</f>
        <v/>
      </c>
      <c r="Y38" s="23">
        <f>IF(AND(COUNTIF(Y26:Y37,"FI")&gt;0,COUNTIF(Y26:Y37,"SI")&gt;0,COUNTIF(Y26:Y37,"NI")&gt;0),"","!")</f>
        <v/>
      </c>
      <c r="Z38" s="23">
        <f>IF(AND(COUNTIF(Z26:Z37,"FI")&gt;0,COUNTIF(Z26:Z37,"SI")&gt;0,COUNTIF(Z26:Z37,"NI")&gt;0),"","!")</f>
        <v/>
      </c>
      <c r="AA38" s="23">
        <f>IF(AND(COUNTIF(AA26:AA37,"FI")&gt;0,COUNTIF(AA26:AA37,"SI")&gt;0),"","!")</f>
        <v/>
      </c>
      <c r="AB38" s="22" t="n"/>
      <c r="AC38" s="24" t="n"/>
    </row>
    <row r="40">
      <c r="AB40" s="25" t="inlineStr">
        <is>
          <t>Osterferien</t>
        </is>
      </c>
    </row>
    <row r="41" ht="20" customHeight="1">
      <c r="A41" s="2" t="inlineStr">
        <is>
          <t>März</t>
        </is>
      </c>
    </row>
    <row r="42" ht="15" customHeight="1">
      <c r="A42" s="3" t="inlineStr">
        <is>
          <t>KW</t>
        </is>
      </c>
      <c r="B42" s="6" t="n">
        <v>9</v>
      </c>
      <c r="C42" s="7" t="n"/>
      <c r="D42" s="7" t="n"/>
      <c r="E42" s="7" t="n"/>
      <c r="F42" s="7" t="n"/>
      <c r="G42" s="5" t="n"/>
      <c r="H42" s="5" t="n"/>
      <c r="I42" s="6" t="n">
        <v>10</v>
      </c>
      <c r="J42" s="7" t="n"/>
      <c r="K42" s="7" t="n"/>
      <c r="L42" s="7" t="n"/>
      <c r="M42" s="7" t="n"/>
      <c r="N42" s="5" t="n"/>
      <c r="O42" s="5" t="n"/>
      <c r="P42" s="6" t="n">
        <v>11</v>
      </c>
      <c r="Q42" s="7" t="n"/>
      <c r="R42" s="7" t="n"/>
      <c r="S42" s="7" t="n"/>
      <c r="T42" s="7" t="n"/>
      <c r="U42" s="5" t="n"/>
      <c r="V42" s="5" t="n"/>
      <c r="W42" s="6" t="n">
        <v>12</v>
      </c>
      <c r="X42" s="7" t="n"/>
      <c r="Y42" s="7" t="n"/>
      <c r="Z42" s="7" t="n"/>
      <c r="AA42" s="5" t="n"/>
      <c r="AB42" s="5" t="n"/>
      <c r="AC42" s="5" t="n"/>
      <c r="AD42" s="4" t="n">
        <v>13</v>
      </c>
      <c r="AE42" s="7" t="n"/>
      <c r="AF42" s="26" t="n"/>
    </row>
    <row r="43" ht="18" customHeight="1">
      <c r="A43" s="9" t="inlineStr">
        <is>
          <t>Tag</t>
        </is>
      </c>
      <c r="B43" s="11" t="n">
        <v>1</v>
      </c>
      <c r="C43" s="11" t="n">
        <v>2</v>
      </c>
      <c r="D43" s="11" t="n">
        <v>3</v>
      </c>
      <c r="E43" s="11" t="n">
        <v>4</v>
      </c>
      <c r="F43" s="11" t="n">
        <v>5</v>
      </c>
      <c r="G43" s="10" t="n">
        <v>6</v>
      </c>
      <c r="H43" s="10" t="n">
        <v>7</v>
      </c>
      <c r="I43" s="11" t="n">
        <v>8</v>
      </c>
      <c r="J43" s="11" t="n">
        <v>9</v>
      </c>
      <c r="K43" s="11" t="n">
        <v>10</v>
      </c>
      <c r="L43" s="11" t="n">
        <v>11</v>
      </c>
      <c r="M43" s="11" t="n">
        <v>12</v>
      </c>
      <c r="N43" s="10" t="n">
        <v>13</v>
      </c>
      <c r="O43" s="10" t="n">
        <v>14</v>
      </c>
      <c r="P43" s="11" t="n">
        <v>15</v>
      </c>
      <c r="Q43" s="11" t="n">
        <v>16</v>
      </c>
      <c r="R43" s="11" t="n">
        <v>17</v>
      </c>
      <c r="S43" s="11" t="n">
        <v>18</v>
      </c>
      <c r="T43" s="11" t="n">
        <v>19</v>
      </c>
      <c r="U43" s="10" t="n">
        <v>20</v>
      </c>
      <c r="V43" s="10" t="n">
        <v>21</v>
      </c>
      <c r="W43" s="11" t="n">
        <v>22</v>
      </c>
      <c r="X43" s="11" t="n">
        <v>23</v>
      </c>
      <c r="Y43" s="11" t="n">
        <v>24</v>
      </c>
      <c r="Z43" s="11" t="n">
        <v>25</v>
      </c>
      <c r="AA43" s="10" t="n">
        <v>26</v>
      </c>
      <c r="AB43" s="10" t="n">
        <v>27</v>
      </c>
      <c r="AC43" s="10" t="n">
        <v>28</v>
      </c>
      <c r="AD43" s="10" t="n">
        <v>29</v>
      </c>
      <c r="AE43" s="11" t="n">
        <v>30</v>
      </c>
      <c r="AF43" s="27" t="n">
        <v>31</v>
      </c>
    </row>
    <row r="44" ht="18" customHeight="1">
      <c r="A44" s="9" t="inlineStr">
        <is>
          <t>WT</t>
        </is>
      </c>
      <c r="B44" s="14" t="inlineStr">
        <is>
          <t>Mo</t>
        </is>
      </c>
      <c r="C44" s="14" t="inlineStr">
        <is>
          <t>Di</t>
        </is>
      </c>
      <c r="D44" s="14" t="inlineStr">
        <is>
          <t>Mi</t>
        </is>
      </c>
      <c r="E44" s="14" t="inlineStr">
        <is>
          <t>Do</t>
        </is>
      </c>
      <c r="F44" s="14" t="inlineStr">
        <is>
          <t>Fr</t>
        </is>
      </c>
      <c r="G44" s="13" t="inlineStr">
        <is>
          <t>Sa</t>
        </is>
      </c>
      <c r="H44" s="13" t="inlineStr">
        <is>
          <t>So</t>
        </is>
      </c>
      <c r="I44" s="14" t="inlineStr">
        <is>
          <t>Mo</t>
        </is>
      </c>
      <c r="J44" s="14" t="inlineStr">
        <is>
          <t>Di</t>
        </is>
      </c>
      <c r="K44" s="14" t="inlineStr">
        <is>
          <t>Mi</t>
        </is>
      </c>
      <c r="L44" s="14" t="inlineStr">
        <is>
          <t>Do</t>
        </is>
      </c>
      <c r="M44" s="14" t="inlineStr">
        <is>
          <t>Fr</t>
        </is>
      </c>
      <c r="N44" s="13" t="inlineStr">
        <is>
          <t>Sa</t>
        </is>
      </c>
      <c r="O44" s="13" t="inlineStr">
        <is>
          <t>So</t>
        </is>
      </c>
      <c r="P44" s="14" t="inlineStr">
        <is>
          <t>Mo</t>
        </is>
      </c>
      <c r="Q44" s="14" t="inlineStr">
        <is>
          <t>Di</t>
        </is>
      </c>
      <c r="R44" s="14" t="inlineStr">
        <is>
          <t>Mi</t>
        </is>
      </c>
      <c r="S44" s="14" t="inlineStr">
        <is>
          <t>Do</t>
        </is>
      </c>
      <c r="T44" s="14" t="inlineStr">
        <is>
          <t>Fr</t>
        </is>
      </c>
      <c r="U44" s="13" t="inlineStr">
        <is>
          <t>Sa</t>
        </is>
      </c>
      <c r="V44" s="13" t="inlineStr">
        <is>
          <t>So</t>
        </is>
      </c>
      <c r="W44" s="14" t="inlineStr">
        <is>
          <t>Mo</t>
        </is>
      </c>
      <c r="X44" s="14" t="inlineStr">
        <is>
          <t>Di</t>
        </is>
      </c>
      <c r="Y44" s="14" t="inlineStr">
        <is>
          <t>Mi</t>
        </is>
      </c>
      <c r="Z44" s="14" t="inlineStr">
        <is>
          <t>Do</t>
        </is>
      </c>
      <c r="AA44" s="13" t="inlineStr">
        <is>
          <t>Fr</t>
        </is>
      </c>
      <c r="AB44" s="13" t="inlineStr">
        <is>
          <t>Sa</t>
        </is>
      </c>
      <c r="AC44" s="13" t="inlineStr">
        <is>
          <t>So</t>
        </is>
      </c>
      <c r="AD44" s="13" t="inlineStr">
        <is>
          <t>Mo</t>
        </is>
      </c>
      <c r="AE44" s="14" t="inlineStr">
        <is>
          <t>Di</t>
        </is>
      </c>
      <c r="AF44" s="28" t="inlineStr">
        <is>
          <t>Mi</t>
        </is>
      </c>
    </row>
    <row r="45" ht="16" customHeight="1">
      <c r="A45" s="16" t="inlineStr">
        <is>
          <t>Breig</t>
        </is>
      </c>
      <c r="B45" s="18" t="n"/>
      <c r="C45" s="18" t="n"/>
      <c r="D45" s="18" t="n"/>
      <c r="E45" s="18" t="n"/>
      <c r="F45" s="18" t="n"/>
      <c r="G45" s="17" t="n"/>
      <c r="H45" s="17" t="n"/>
      <c r="I45" s="18" t="n"/>
      <c r="J45" s="18" t="n"/>
      <c r="K45" s="18" t="n"/>
      <c r="L45" s="18" t="n"/>
      <c r="M45" s="18" t="n"/>
      <c r="N45" s="17" t="n"/>
      <c r="O45" s="17" t="n"/>
      <c r="P45" s="18" t="n"/>
      <c r="Q45" s="18" t="n"/>
      <c r="R45" s="18" t="n"/>
      <c r="S45" s="18" t="n"/>
      <c r="T45" s="18" t="n"/>
      <c r="U45" s="17" t="n"/>
      <c r="V45" s="17" t="n"/>
      <c r="W45" s="18" t="n"/>
      <c r="X45" s="18" t="n"/>
      <c r="Y45" s="18" t="n"/>
      <c r="Z45" s="18" t="n"/>
      <c r="AA45" s="17" t="n"/>
      <c r="AB45" s="17" t="n"/>
      <c r="AC45" s="17" t="n"/>
      <c r="AD45" s="17" t="n"/>
      <c r="AE45" s="18" t="n"/>
      <c r="AF45" s="29" t="n"/>
    </row>
    <row r="46" ht="16" customHeight="1">
      <c r="A46" s="16" t="inlineStr">
        <is>
          <t>Siebert</t>
        </is>
      </c>
      <c r="B46" s="20" t="n"/>
      <c r="C46" s="20" t="n"/>
      <c r="D46" s="20" t="n"/>
      <c r="E46" s="20" t="n"/>
      <c r="F46" s="20" t="n"/>
      <c r="G46" s="17" t="n"/>
      <c r="H46" s="17" t="n"/>
      <c r="I46" s="20" t="n"/>
      <c r="J46" s="20" t="n"/>
      <c r="K46" s="20" t="n"/>
      <c r="L46" s="20" t="n"/>
      <c r="M46" s="20" t="n"/>
      <c r="N46" s="17" t="n"/>
      <c r="O46" s="17" t="n"/>
      <c r="P46" s="20" t="n"/>
      <c r="Q46" s="20" t="n"/>
      <c r="R46" s="20" t="n"/>
      <c r="S46" s="20" t="n"/>
      <c r="T46" s="20" t="n"/>
      <c r="U46" s="17" t="n"/>
      <c r="V46" s="17" t="n"/>
      <c r="W46" s="20" t="n"/>
      <c r="X46" s="20" t="n"/>
      <c r="Y46" s="20" t="n"/>
      <c r="Z46" s="20" t="n"/>
      <c r="AA46" s="17" t="n"/>
      <c r="AB46" s="17" t="n"/>
      <c r="AC46" s="17" t="n"/>
      <c r="AD46" s="17" t="n"/>
      <c r="AE46" s="20" t="n"/>
      <c r="AF46" s="30" t="n"/>
    </row>
    <row r="47" ht="16" customHeight="1">
      <c r="A47" s="16" t="inlineStr">
        <is>
          <t>Jochim</t>
        </is>
      </c>
      <c r="B47" s="18" t="n"/>
      <c r="C47" s="18" t="n"/>
      <c r="D47" s="18" t="n"/>
      <c r="E47" s="18" t="n"/>
      <c r="F47" s="18" t="n"/>
      <c r="G47" s="17" t="n"/>
      <c r="H47" s="17" t="n"/>
      <c r="I47" s="18" t="n"/>
      <c r="J47" s="18" t="n"/>
      <c r="K47" s="18" t="n"/>
      <c r="L47" s="18" t="n"/>
      <c r="M47" s="18" t="n"/>
      <c r="N47" s="17" t="n"/>
      <c r="O47" s="17" t="n"/>
      <c r="P47" s="18" t="n"/>
      <c r="Q47" s="18" t="n"/>
      <c r="R47" s="18" t="n"/>
      <c r="S47" s="18" t="n"/>
      <c r="T47" s="18" t="n"/>
      <c r="U47" s="17" t="n"/>
      <c r="V47" s="17" t="n"/>
      <c r="W47" s="18" t="n"/>
      <c r="X47" s="18" t="n"/>
      <c r="Y47" s="18" t="n"/>
      <c r="Z47" s="18" t="n"/>
      <c r="AA47" s="17" t="n"/>
      <c r="AB47" s="17" t="n"/>
      <c r="AC47" s="17" t="n"/>
      <c r="AD47" s="17" t="n"/>
      <c r="AE47" s="18" t="n"/>
      <c r="AF47" s="29" t="n"/>
    </row>
    <row r="48" ht="16" customHeight="1">
      <c r="A48" s="16" t="inlineStr">
        <is>
          <t>Wunsch</t>
        </is>
      </c>
      <c r="B48" s="20" t="n"/>
      <c r="C48" s="20" t="n"/>
      <c r="D48" s="20" t="n"/>
      <c r="E48" s="20" t="n"/>
      <c r="F48" s="20" t="n"/>
      <c r="G48" s="17" t="n"/>
      <c r="H48" s="17" t="n"/>
      <c r="I48" s="20" t="n"/>
      <c r="J48" s="20" t="n"/>
      <c r="K48" s="20" t="n"/>
      <c r="L48" s="20" t="n"/>
      <c r="M48" s="20" t="n"/>
      <c r="N48" s="17" t="n"/>
      <c r="O48" s="17" t="n"/>
      <c r="P48" s="20" t="n"/>
      <c r="Q48" s="20" t="n"/>
      <c r="R48" s="20" t="n"/>
      <c r="S48" s="20" t="n"/>
      <c r="T48" s="20" t="n"/>
      <c r="U48" s="17" t="n"/>
      <c r="V48" s="17" t="n"/>
      <c r="W48" s="20" t="n"/>
      <c r="X48" s="20" t="n"/>
      <c r="Y48" s="20" t="n"/>
      <c r="Z48" s="20" t="n"/>
      <c r="AA48" s="17" t="n"/>
      <c r="AB48" s="17" t="n"/>
      <c r="AC48" s="17" t="n"/>
      <c r="AD48" s="17" t="n"/>
      <c r="AE48" s="20" t="n"/>
      <c r="AF48" s="30" t="n"/>
    </row>
    <row r="49" ht="16" customHeight="1">
      <c r="A49" s="16" t="inlineStr">
        <is>
          <t>Göpfrich</t>
        </is>
      </c>
      <c r="B49" s="18" t="n"/>
      <c r="C49" s="18" t="n"/>
      <c r="D49" s="18" t="n"/>
      <c r="E49" s="18" t="n"/>
      <c r="F49" s="18" t="n"/>
      <c r="G49" s="17" t="n"/>
      <c r="H49" s="17" t="n"/>
      <c r="I49" s="18" t="n"/>
      <c r="J49" s="18" t="n"/>
      <c r="K49" s="18" t="n"/>
      <c r="L49" s="18" t="n"/>
      <c r="M49" s="18" t="n"/>
      <c r="N49" s="17" t="n"/>
      <c r="O49" s="17" t="n"/>
      <c r="P49" s="18" t="n"/>
      <c r="Q49" s="18" t="n"/>
      <c r="R49" s="18" t="n"/>
      <c r="S49" s="18" t="n"/>
      <c r="T49" s="18" t="n"/>
      <c r="U49" s="17" t="n"/>
      <c r="V49" s="17" t="n"/>
      <c r="W49" s="18" t="n"/>
      <c r="X49" s="18" t="n"/>
      <c r="Y49" s="18" t="n"/>
      <c r="Z49" s="18" t="n"/>
      <c r="AA49" s="17" t="n"/>
      <c r="AB49" s="17" t="n"/>
      <c r="AC49" s="17" t="n"/>
      <c r="AD49" s="17" t="n"/>
      <c r="AE49" s="18" t="n"/>
      <c r="AF49" s="29" t="n"/>
    </row>
    <row r="50" ht="16" customHeight="1">
      <c r="A50" s="16" t="inlineStr">
        <is>
          <t>Zeller</t>
        </is>
      </c>
      <c r="B50" s="20" t="n"/>
      <c r="C50" s="20" t="n"/>
      <c r="D50" s="20" t="n"/>
      <c r="E50" s="20" t="n"/>
      <c r="F50" s="20" t="n"/>
      <c r="G50" s="17" t="n"/>
      <c r="H50" s="17" t="n"/>
      <c r="I50" s="20" t="n"/>
      <c r="J50" s="20" t="n"/>
      <c r="K50" s="20" t="n"/>
      <c r="L50" s="20" t="n"/>
      <c r="M50" s="20" t="n"/>
      <c r="N50" s="17" t="n"/>
      <c r="O50" s="17" t="n"/>
      <c r="P50" s="20" t="n"/>
      <c r="Q50" s="20" t="n"/>
      <c r="R50" s="20" t="n"/>
      <c r="S50" s="20" t="n"/>
      <c r="T50" s="20" t="n"/>
      <c r="U50" s="17" t="n"/>
      <c r="V50" s="17" t="n"/>
      <c r="W50" s="20" t="n"/>
      <c r="X50" s="20" t="n"/>
      <c r="Y50" s="20" t="n"/>
      <c r="Z50" s="20" t="n"/>
      <c r="AA50" s="17" t="n"/>
      <c r="AB50" s="17" t="n"/>
      <c r="AC50" s="17" t="n"/>
      <c r="AD50" s="17" t="n"/>
      <c r="AE50" s="20" t="n"/>
      <c r="AF50" s="30" t="n"/>
    </row>
    <row r="51" ht="16" customHeight="1">
      <c r="A51" s="16" t="inlineStr">
        <is>
          <t>Behrendt</t>
        </is>
      </c>
      <c r="B51" s="18" t="n"/>
      <c r="C51" s="18" t="n"/>
      <c r="D51" s="18" t="n"/>
      <c r="E51" s="18" t="n"/>
      <c r="F51" s="18" t="n"/>
      <c r="G51" s="17" t="n"/>
      <c r="H51" s="17" t="n"/>
      <c r="I51" s="18" t="n"/>
      <c r="J51" s="18" t="n"/>
      <c r="K51" s="18" t="n"/>
      <c r="L51" s="18" t="n"/>
      <c r="M51" s="18" t="n"/>
      <c r="N51" s="17" t="n"/>
      <c r="O51" s="17" t="n"/>
      <c r="P51" s="18" t="n"/>
      <c r="Q51" s="18" t="n"/>
      <c r="R51" s="18" t="n"/>
      <c r="S51" s="18" t="n"/>
      <c r="T51" s="18" t="n"/>
      <c r="U51" s="17" t="n"/>
      <c r="V51" s="17" t="n"/>
      <c r="W51" s="18" t="n"/>
      <c r="X51" s="18" t="n"/>
      <c r="Y51" s="18" t="n"/>
      <c r="Z51" s="18" t="n"/>
      <c r="AA51" s="17" t="n"/>
      <c r="AB51" s="17" t="n"/>
      <c r="AC51" s="17" t="n"/>
      <c r="AD51" s="17" t="n"/>
      <c r="AE51" s="18" t="n"/>
      <c r="AF51" s="29" t="n"/>
    </row>
    <row r="52" ht="16" customHeight="1">
      <c r="A52" s="16" t="inlineStr">
        <is>
          <t>Krempl</t>
        </is>
      </c>
      <c r="B52" s="20" t="n"/>
      <c r="C52" s="20" t="n"/>
      <c r="D52" s="20" t="n"/>
      <c r="E52" s="20" t="n"/>
      <c r="F52" s="20" t="n"/>
      <c r="G52" s="17" t="n"/>
      <c r="H52" s="17" t="n"/>
      <c r="I52" s="20" t="n"/>
      <c r="J52" s="20" t="n"/>
      <c r="K52" s="20" t="n"/>
      <c r="L52" s="20" t="n"/>
      <c r="M52" s="20" t="n"/>
      <c r="N52" s="17" t="n"/>
      <c r="O52" s="17" t="n"/>
      <c r="P52" s="20" t="n"/>
      <c r="Q52" s="20" t="n"/>
      <c r="R52" s="20" t="n"/>
      <c r="S52" s="20" t="n"/>
      <c r="T52" s="20" t="n"/>
      <c r="U52" s="17" t="n"/>
      <c r="V52" s="17" t="n"/>
      <c r="W52" s="20" t="n"/>
      <c r="X52" s="20" t="n"/>
      <c r="Y52" s="20" t="n"/>
      <c r="Z52" s="20" t="n"/>
      <c r="AA52" s="17" t="n"/>
      <c r="AB52" s="17" t="n"/>
      <c r="AC52" s="17" t="n"/>
      <c r="AD52" s="17" t="n"/>
      <c r="AE52" s="20" t="n"/>
      <c r="AF52" s="30" t="n"/>
    </row>
    <row r="53" ht="16" customHeight="1">
      <c r="A53" s="16" t="inlineStr">
        <is>
          <t>Putschler</t>
        </is>
      </c>
      <c r="B53" s="18" t="n"/>
      <c r="C53" s="18" t="n"/>
      <c r="D53" s="18" t="n"/>
      <c r="E53" s="18" t="n"/>
      <c r="F53" s="18" t="n"/>
      <c r="G53" s="17" t="n"/>
      <c r="H53" s="17" t="n"/>
      <c r="I53" s="18" t="n"/>
      <c r="J53" s="18" t="n"/>
      <c r="K53" s="18" t="n"/>
      <c r="L53" s="18" t="n"/>
      <c r="M53" s="18" t="n"/>
      <c r="N53" s="17" t="n"/>
      <c r="O53" s="17" t="n"/>
      <c r="P53" s="18" t="n"/>
      <c r="Q53" s="18" t="n"/>
      <c r="R53" s="18" t="n"/>
      <c r="S53" s="18" t="n"/>
      <c r="T53" s="18" t="n"/>
      <c r="U53" s="17" t="n"/>
      <c r="V53" s="17" t="n"/>
      <c r="W53" s="18" t="n"/>
      <c r="X53" s="18" t="n"/>
      <c r="Y53" s="18" t="n"/>
      <c r="Z53" s="18" t="n"/>
      <c r="AA53" s="17" t="n"/>
      <c r="AB53" s="17" t="n"/>
      <c r="AC53" s="17" t="n"/>
      <c r="AD53" s="17" t="n"/>
      <c r="AE53" s="18" t="n"/>
      <c r="AF53" s="29" t="n"/>
    </row>
    <row r="54" ht="16" customHeight="1">
      <c r="A54" s="16" t="inlineStr">
        <is>
          <t>Kunz</t>
        </is>
      </c>
      <c r="B54" s="20" t="n"/>
      <c r="C54" s="20" t="n"/>
      <c r="D54" s="20" t="n"/>
      <c r="E54" s="20" t="n"/>
      <c r="F54" s="20" t="n"/>
      <c r="G54" s="17" t="n"/>
      <c r="H54" s="17" t="n"/>
      <c r="I54" s="20" t="n"/>
      <c r="J54" s="20" t="n"/>
      <c r="K54" s="20" t="n"/>
      <c r="L54" s="20" t="n"/>
      <c r="M54" s="20" t="n"/>
      <c r="N54" s="17" t="n"/>
      <c r="O54" s="17" t="n"/>
      <c r="P54" s="20" t="n"/>
      <c r="Q54" s="20" t="n"/>
      <c r="R54" s="20" t="n"/>
      <c r="S54" s="20" t="n"/>
      <c r="T54" s="20" t="n"/>
      <c r="U54" s="17" t="n"/>
      <c r="V54" s="17" t="n"/>
      <c r="W54" s="20" t="n"/>
      <c r="X54" s="20" t="n"/>
      <c r="Y54" s="20" t="n"/>
      <c r="Z54" s="20" t="n"/>
      <c r="AA54" s="17" t="n"/>
      <c r="AB54" s="17" t="n"/>
      <c r="AC54" s="17" t="n"/>
      <c r="AD54" s="17" t="n"/>
      <c r="AE54" s="20" t="n"/>
      <c r="AF54" s="30" t="n"/>
    </row>
    <row r="55" ht="16" customHeight="1">
      <c r="A55" s="16" t="inlineStr">
        <is>
          <t>Schmidt</t>
        </is>
      </c>
      <c r="B55" s="18" t="n"/>
      <c r="C55" s="18" t="n"/>
      <c r="D55" s="18" t="n"/>
      <c r="E55" s="18" t="n"/>
      <c r="F55" s="18" t="n"/>
      <c r="G55" s="17" t="n"/>
      <c r="H55" s="17" t="n"/>
      <c r="I55" s="18" t="n"/>
      <c r="J55" s="18" t="n"/>
      <c r="K55" s="18" t="n"/>
      <c r="L55" s="18" t="n"/>
      <c r="M55" s="18" t="n"/>
      <c r="N55" s="17" t="n"/>
      <c r="O55" s="17" t="n"/>
      <c r="P55" s="18" t="n"/>
      <c r="Q55" s="18" t="n"/>
      <c r="R55" s="18" t="n"/>
      <c r="S55" s="18" t="n"/>
      <c r="T55" s="18" t="n"/>
      <c r="U55" s="17" t="n"/>
      <c r="V55" s="17" t="n"/>
      <c r="W55" s="18" t="n"/>
      <c r="X55" s="18" t="n"/>
      <c r="Y55" s="18" t="n"/>
      <c r="Z55" s="18" t="n"/>
      <c r="AA55" s="17" t="n"/>
      <c r="AB55" s="17" t="n"/>
      <c r="AC55" s="17" t="n"/>
      <c r="AD55" s="17" t="n"/>
      <c r="AE55" s="18" t="n"/>
      <c r="AF55" s="29" t="n"/>
    </row>
    <row r="56" ht="16" customHeight="1">
      <c r="A56" s="16" t="inlineStr">
        <is>
          <t>Radimersky</t>
        </is>
      </c>
      <c r="B56" s="20" t="n"/>
      <c r="C56" s="20" t="n"/>
      <c r="D56" s="20" t="n"/>
      <c r="E56" s="20" t="n"/>
      <c r="F56" s="20" t="n"/>
      <c r="G56" s="17" t="n"/>
      <c r="H56" s="17" t="n"/>
      <c r="I56" s="20" t="n"/>
      <c r="J56" s="20" t="n"/>
      <c r="K56" s="20" t="n"/>
      <c r="L56" s="20" t="n"/>
      <c r="M56" s="20" t="n"/>
      <c r="N56" s="17" t="n"/>
      <c r="O56" s="17" t="n"/>
      <c r="P56" s="20" t="n"/>
      <c r="Q56" s="20" t="n"/>
      <c r="R56" s="20" t="n"/>
      <c r="S56" s="20" t="n"/>
      <c r="T56" s="20" t="n"/>
      <c r="U56" s="17" t="n"/>
      <c r="V56" s="17" t="n"/>
      <c r="W56" s="20" t="n"/>
      <c r="X56" s="20" t="n"/>
      <c r="Y56" s="20" t="n"/>
      <c r="Z56" s="20" t="n"/>
      <c r="AA56" s="17" t="n"/>
      <c r="AB56" s="17" t="n"/>
      <c r="AC56" s="17" t="n"/>
      <c r="AD56" s="17" t="n"/>
      <c r="AE56" s="20" t="n"/>
      <c r="AF56" s="30" t="n"/>
    </row>
    <row r="57" ht="15" customHeight="1">
      <c r="A57" s="21" t="inlineStr">
        <is>
          <t>Besetzung</t>
        </is>
      </c>
      <c r="B57" s="23">
        <f>IF(AND(COUNTIF(B45:B56,"FI")&gt;0,COUNTIF(B45:B56,"SI")&gt;0,COUNTIF(B45:B56,"NI")&gt;0),"","!")</f>
        <v/>
      </c>
      <c r="C57" s="23">
        <f>IF(AND(COUNTIF(C45:C56,"FI")&gt;0,COUNTIF(C45:C56,"SI")&gt;0,COUNTIF(C45:C56,"NI")&gt;0),"","!")</f>
        <v/>
      </c>
      <c r="D57" s="23">
        <f>IF(AND(COUNTIF(D45:D56,"FI")&gt;0,COUNTIF(D45:D56,"SI")&gt;0,COUNTIF(D45:D56,"NI")&gt;0),"","!")</f>
        <v/>
      </c>
      <c r="E57" s="23">
        <f>IF(AND(COUNTIF(E45:E56,"FI")&gt;0,COUNTIF(E45:E56,"SI")&gt;0,COUNTIF(E45:E56,"NI")&gt;0),"","!")</f>
        <v/>
      </c>
      <c r="F57" s="23">
        <f>IF(AND(COUNTIF(F45:F56,"FI")&gt;0,COUNTIF(F45:F56,"SI")&gt;0),"","!")</f>
        <v/>
      </c>
      <c r="G57" s="22" t="n"/>
      <c r="H57" s="22" t="n"/>
      <c r="I57" s="23">
        <f>IF(AND(COUNTIF(I45:I56,"FI")&gt;0,COUNTIF(I45:I56,"SI")&gt;0,COUNTIF(I45:I56,"NI")&gt;0),"","!")</f>
        <v/>
      </c>
      <c r="J57" s="23">
        <f>IF(AND(COUNTIF(J45:J56,"FI")&gt;0,COUNTIF(J45:J56,"SI")&gt;0,COUNTIF(J45:J56,"NI")&gt;0),"","!")</f>
        <v/>
      </c>
      <c r="K57" s="23">
        <f>IF(AND(COUNTIF(K45:K56,"FI")&gt;0,COUNTIF(K45:K56,"SI")&gt;0,COUNTIF(K45:K56,"NI")&gt;0),"","!")</f>
        <v/>
      </c>
      <c r="L57" s="23">
        <f>IF(AND(COUNTIF(L45:L56,"FI")&gt;0,COUNTIF(L45:L56,"SI")&gt;0,COUNTIF(L45:L56,"NI")&gt;0),"","!")</f>
        <v/>
      </c>
      <c r="M57" s="23">
        <f>IF(AND(COUNTIF(M45:M56,"FI")&gt;0,COUNTIF(M45:M56,"SI")&gt;0),"","!")</f>
        <v/>
      </c>
      <c r="N57" s="22" t="n"/>
      <c r="O57" s="22" t="n"/>
      <c r="P57" s="23">
        <f>IF(AND(COUNTIF(P45:P56,"FI")&gt;0,COUNTIF(P45:P56,"SI")&gt;0,COUNTIF(P45:P56,"NI")&gt;0),"","!")</f>
        <v/>
      </c>
      <c r="Q57" s="23">
        <f>IF(AND(COUNTIF(Q45:Q56,"FI")&gt;0,COUNTIF(Q45:Q56,"SI")&gt;0,COUNTIF(Q45:Q56,"NI")&gt;0),"","!")</f>
        <v/>
      </c>
      <c r="R57" s="23">
        <f>IF(AND(COUNTIF(R45:R56,"FI")&gt;0,COUNTIF(R45:R56,"SI")&gt;0,COUNTIF(R45:R56,"NI")&gt;0),"","!")</f>
        <v/>
      </c>
      <c r="S57" s="23">
        <f>IF(AND(COUNTIF(S45:S56,"FI")&gt;0,COUNTIF(S45:S56,"SI")&gt;0,COUNTIF(S45:S56,"NI")&gt;0),"","!")</f>
        <v/>
      </c>
      <c r="T57" s="23">
        <f>IF(AND(COUNTIF(T45:T56,"FI")&gt;0,COUNTIF(T45:T56,"SI")&gt;0),"","!")</f>
        <v/>
      </c>
      <c r="U57" s="22" t="n"/>
      <c r="V57" s="22" t="n"/>
      <c r="W57" s="23">
        <f>IF(AND(COUNTIF(W45:W56,"FI")&gt;0,COUNTIF(W45:W56,"SI")&gt;0,COUNTIF(W45:W56,"NI")&gt;0),"","!")</f>
        <v/>
      </c>
      <c r="X57" s="23">
        <f>IF(AND(COUNTIF(X45:X56,"FI")&gt;0,COUNTIF(X45:X56,"SI")&gt;0,COUNTIF(X45:X56,"NI")&gt;0),"","!")</f>
        <v/>
      </c>
      <c r="Y57" s="23">
        <f>IF(AND(COUNTIF(Y45:Y56,"FI")&gt;0,COUNTIF(Y45:Y56,"SI")&gt;0,COUNTIF(Y45:Y56,"NI")&gt;0),"","!")</f>
        <v/>
      </c>
      <c r="Z57" s="23">
        <f>IF(AND(COUNTIF(Z45:Z56,"FI")&gt;0,COUNTIF(Z45:Z56,"SI")&gt;0,COUNTIF(Z45:Z56,"NI")&gt;0),"","!")</f>
        <v/>
      </c>
      <c r="AA57" s="22" t="n"/>
      <c r="AB57" s="22" t="n"/>
      <c r="AC57" s="22" t="n"/>
      <c r="AD57" s="22" t="n"/>
      <c r="AE57" s="23">
        <f>IF(AND(COUNTIF(AE45:AE56,"FI")&gt;0,COUNTIF(AE45:AE56,"SI")&gt;0,COUNTIF(AE45:AE56,"NI")&gt;0),"","!")</f>
        <v/>
      </c>
      <c r="AF57" s="31">
        <f>IF(AND(COUNTIF(AF45:AF56,"FI")&gt;0,COUNTIF(AF45:AF56,"SI")&gt;0,COUNTIF(AF45:AF56,"NI")&gt;0),"","!")</f>
        <v/>
      </c>
    </row>
    <row r="59">
      <c r="B59" s="25" t="inlineStr">
        <is>
          <t>Osterferien</t>
        </is>
      </c>
    </row>
    <row r="60" ht="20" customHeight="1">
      <c r="A60" s="2" t="inlineStr">
        <is>
          <t>April</t>
        </is>
      </c>
    </row>
    <row r="61" ht="15" customHeight="1">
      <c r="A61" s="3" t="inlineStr">
        <is>
          <t>KW</t>
        </is>
      </c>
      <c r="B61" s="6" t="n">
        <v>13</v>
      </c>
      <c r="C61" s="7" t="n"/>
      <c r="D61" s="5" t="n"/>
      <c r="E61" s="5" t="n"/>
      <c r="F61" s="6" t="n">
        <v>14</v>
      </c>
      <c r="G61" s="7" t="n"/>
      <c r="H61" s="7" t="n"/>
      <c r="I61" s="7" t="n"/>
      <c r="J61" s="7" t="n"/>
      <c r="K61" s="5" t="n"/>
      <c r="L61" s="5" t="n"/>
      <c r="M61" s="6" t="n">
        <v>15</v>
      </c>
      <c r="N61" s="7" t="n"/>
      <c r="O61" s="7" t="n"/>
      <c r="P61" s="7" t="n"/>
      <c r="Q61" s="7" t="n"/>
      <c r="R61" s="5" t="n"/>
      <c r="S61" s="5" t="n"/>
      <c r="T61" s="6" t="n">
        <v>16</v>
      </c>
      <c r="U61" s="7" t="n"/>
      <c r="V61" s="7" t="n"/>
      <c r="W61" s="7" t="n"/>
      <c r="X61" s="7" t="n"/>
      <c r="Y61" s="5" t="n"/>
      <c r="Z61" s="5" t="n"/>
      <c r="AA61" s="6" t="n">
        <v>17</v>
      </c>
      <c r="AB61" s="7" t="n"/>
      <c r="AC61" s="7" t="n"/>
      <c r="AD61" s="7" t="n"/>
      <c r="AE61" s="26" t="n"/>
    </row>
    <row r="62" ht="18" customHeight="1">
      <c r="A62" s="9" t="inlineStr">
        <is>
          <t>Tag</t>
        </is>
      </c>
      <c r="B62" s="11" t="n">
        <v>1</v>
      </c>
      <c r="C62" s="11" t="n">
        <v>2</v>
      </c>
      <c r="D62" s="10" t="n">
        <v>3</v>
      </c>
      <c r="E62" s="10" t="n">
        <v>4</v>
      </c>
      <c r="F62" s="11" t="n">
        <v>5</v>
      </c>
      <c r="G62" s="11" t="n">
        <v>6</v>
      </c>
      <c r="H62" s="11" t="n">
        <v>7</v>
      </c>
      <c r="I62" s="11" t="n">
        <v>8</v>
      </c>
      <c r="J62" s="11" t="n">
        <v>9</v>
      </c>
      <c r="K62" s="10" t="n">
        <v>10</v>
      </c>
      <c r="L62" s="10" t="n">
        <v>11</v>
      </c>
      <c r="M62" s="11" t="n">
        <v>12</v>
      </c>
      <c r="N62" s="11" t="n">
        <v>13</v>
      </c>
      <c r="O62" s="11" t="n">
        <v>14</v>
      </c>
      <c r="P62" s="11" t="n">
        <v>15</v>
      </c>
      <c r="Q62" s="11" t="n">
        <v>16</v>
      </c>
      <c r="R62" s="10" t="n">
        <v>17</v>
      </c>
      <c r="S62" s="10" t="n">
        <v>18</v>
      </c>
      <c r="T62" s="11" t="n">
        <v>19</v>
      </c>
      <c r="U62" s="11" t="n">
        <v>20</v>
      </c>
      <c r="V62" s="11" t="n">
        <v>21</v>
      </c>
      <c r="W62" s="11" t="n">
        <v>22</v>
      </c>
      <c r="X62" s="11" t="n">
        <v>23</v>
      </c>
      <c r="Y62" s="10" t="n">
        <v>24</v>
      </c>
      <c r="Z62" s="10" t="n">
        <v>25</v>
      </c>
      <c r="AA62" s="11" t="n">
        <v>26</v>
      </c>
      <c r="AB62" s="11" t="n">
        <v>27</v>
      </c>
      <c r="AC62" s="11" t="n">
        <v>28</v>
      </c>
      <c r="AD62" s="11" t="n">
        <v>29</v>
      </c>
      <c r="AE62" s="27" t="n">
        <v>30</v>
      </c>
    </row>
    <row r="63" ht="18" customHeight="1">
      <c r="A63" s="9" t="inlineStr">
        <is>
          <t>WT</t>
        </is>
      </c>
      <c r="B63" s="14" t="inlineStr">
        <is>
          <t>Do</t>
        </is>
      </c>
      <c r="C63" s="14" t="inlineStr">
        <is>
          <t>Fr</t>
        </is>
      </c>
      <c r="D63" s="13" t="inlineStr">
        <is>
          <t>Sa</t>
        </is>
      </c>
      <c r="E63" s="13" t="inlineStr">
        <is>
          <t>So</t>
        </is>
      </c>
      <c r="F63" s="14" t="inlineStr">
        <is>
          <t>Mo</t>
        </is>
      </c>
      <c r="G63" s="14" t="inlineStr">
        <is>
          <t>Di</t>
        </is>
      </c>
      <c r="H63" s="14" t="inlineStr">
        <is>
          <t>Mi</t>
        </is>
      </c>
      <c r="I63" s="14" t="inlineStr">
        <is>
          <t>Do</t>
        </is>
      </c>
      <c r="J63" s="14" t="inlineStr">
        <is>
          <t>Fr</t>
        </is>
      </c>
      <c r="K63" s="13" t="inlineStr">
        <is>
          <t>Sa</t>
        </is>
      </c>
      <c r="L63" s="13" t="inlineStr">
        <is>
          <t>So</t>
        </is>
      </c>
      <c r="M63" s="14" t="inlineStr">
        <is>
          <t>Mo</t>
        </is>
      </c>
      <c r="N63" s="14" t="inlineStr">
        <is>
          <t>Di</t>
        </is>
      </c>
      <c r="O63" s="14" t="inlineStr">
        <is>
          <t>Mi</t>
        </is>
      </c>
      <c r="P63" s="14" t="inlineStr">
        <is>
          <t>Do</t>
        </is>
      </c>
      <c r="Q63" s="14" t="inlineStr">
        <is>
          <t>Fr</t>
        </is>
      </c>
      <c r="R63" s="13" t="inlineStr">
        <is>
          <t>Sa</t>
        </is>
      </c>
      <c r="S63" s="13" t="inlineStr">
        <is>
          <t>So</t>
        </is>
      </c>
      <c r="T63" s="14" t="inlineStr">
        <is>
          <t>Mo</t>
        </is>
      </c>
      <c r="U63" s="14" t="inlineStr">
        <is>
          <t>Di</t>
        </is>
      </c>
      <c r="V63" s="14" t="inlineStr">
        <is>
          <t>Mi</t>
        </is>
      </c>
      <c r="W63" s="14" t="inlineStr">
        <is>
          <t>Do</t>
        </is>
      </c>
      <c r="X63" s="14" t="inlineStr">
        <is>
          <t>Fr</t>
        </is>
      </c>
      <c r="Y63" s="13" t="inlineStr">
        <is>
          <t>Sa</t>
        </is>
      </c>
      <c r="Z63" s="13" t="inlineStr">
        <is>
          <t>So</t>
        </is>
      </c>
      <c r="AA63" s="14" t="inlineStr">
        <is>
          <t>Mo</t>
        </is>
      </c>
      <c r="AB63" s="14" t="inlineStr">
        <is>
          <t>Di</t>
        </is>
      </c>
      <c r="AC63" s="14" t="inlineStr">
        <is>
          <t>Mi</t>
        </is>
      </c>
      <c r="AD63" s="14" t="inlineStr">
        <is>
          <t>Do</t>
        </is>
      </c>
      <c r="AE63" s="28" t="inlineStr">
        <is>
          <t>Fr</t>
        </is>
      </c>
    </row>
    <row r="64" ht="16" customHeight="1">
      <c r="A64" s="16" t="inlineStr">
        <is>
          <t>Breig</t>
        </is>
      </c>
      <c r="B64" s="18" t="n"/>
      <c r="C64" s="18" t="n"/>
      <c r="D64" s="17" t="n"/>
      <c r="E64" s="17" t="n"/>
      <c r="F64" s="18" t="n"/>
      <c r="G64" s="18" t="n"/>
      <c r="H64" s="18" t="n"/>
      <c r="I64" s="18" t="n"/>
      <c r="J64" s="18" t="n"/>
      <c r="K64" s="17" t="n"/>
      <c r="L64" s="17" t="n"/>
      <c r="M64" s="18" t="n"/>
      <c r="N64" s="18" t="n"/>
      <c r="O64" s="18" t="n"/>
      <c r="P64" s="18" t="n"/>
      <c r="Q64" s="18" t="n"/>
      <c r="R64" s="17" t="n"/>
      <c r="S64" s="17" t="n"/>
      <c r="T64" s="18" t="n"/>
      <c r="U64" s="18" t="n"/>
      <c r="V64" s="18" t="n"/>
      <c r="W64" s="18" t="n"/>
      <c r="X64" s="18" t="n"/>
      <c r="Y64" s="17" t="n"/>
      <c r="Z64" s="17" t="n"/>
      <c r="AA64" s="18" t="n"/>
      <c r="AB64" s="18" t="n"/>
      <c r="AC64" s="18" t="n"/>
      <c r="AD64" s="18" t="n"/>
      <c r="AE64" s="29" t="n"/>
    </row>
    <row r="65" ht="16" customHeight="1">
      <c r="A65" s="16" t="inlineStr">
        <is>
          <t>Siebert</t>
        </is>
      </c>
      <c r="B65" s="20" t="n"/>
      <c r="C65" s="20" t="n"/>
      <c r="D65" s="17" t="n"/>
      <c r="E65" s="17" t="n"/>
      <c r="F65" s="20" t="n"/>
      <c r="G65" s="20" t="n"/>
      <c r="H65" s="20" t="n"/>
      <c r="I65" s="20" t="n"/>
      <c r="J65" s="20" t="n"/>
      <c r="K65" s="17" t="n"/>
      <c r="L65" s="17" t="n"/>
      <c r="M65" s="20" t="n"/>
      <c r="N65" s="20" t="n"/>
      <c r="O65" s="20" t="n"/>
      <c r="P65" s="20" t="n"/>
      <c r="Q65" s="20" t="n"/>
      <c r="R65" s="17" t="n"/>
      <c r="S65" s="17" t="n"/>
      <c r="T65" s="20" t="n"/>
      <c r="U65" s="20" t="n"/>
      <c r="V65" s="20" t="n"/>
      <c r="W65" s="20" t="n"/>
      <c r="X65" s="20" t="n"/>
      <c r="Y65" s="17" t="n"/>
      <c r="Z65" s="17" t="n"/>
      <c r="AA65" s="20" t="n"/>
      <c r="AB65" s="20" t="n"/>
      <c r="AC65" s="20" t="n"/>
      <c r="AD65" s="20" t="n"/>
      <c r="AE65" s="30" t="n"/>
    </row>
    <row r="66" ht="16" customHeight="1">
      <c r="A66" s="16" t="inlineStr">
        <is>
          <t>Jochim</t>
        </is>
      </c>
      <c r="B66" s="18" t="n"/>
      <c r="C66" s="18" t="n"/>
      <c r="D66" s="17" t="n"/>
      <c r="E66" s="17" t="n"/>
      <c r="F66" s="18" t="n"/>
      <c r="G66" s="18" t="n"/>
      <c r="H66" s="18" t="n"/>
      <c r="I66" s="18" t="n"/>
      <c r="J66" s="18" t="n"/>
      <c r="K66" s="17" t="n"/>
      <c r="L66" s="17" t="n"/>
      <c r="M66" s="18" t="n"/>
      <c r="N66" s="18" t="n"/>
      <c r="O66" s="18" t="n"/>
      <c r="P66" s="18" t="n"/>
      <c r="Q66" s="18" t="n"/>
      <c r="R66" s="17" t="n"/>
      <c r="S66" s="17" t="n"/>
      <c r="T66" s="18" t="n"/>
      <c r="U66" s="18" t="n"/>
      <c r="V66" s="18" t="n"/>
      <c r="W66" s="18" t="n"/>
      <c r="X66" s="18" t="n"/>
      <c r="Y66" s="17" t="n"/>
      <c r="Z66" s="17" t="n"/>
      <c r="AA66" s="18" t="n"/>
      <c r="AB66" s="18" t="n"/>
      <c r="AC66" s="18" t="n"/>
      <c r="AD66" s="18" t="n"/>
      <c r="AE66" s="29" t="n"/>
    </row>
    <row r="67" ht="16" customHeight="1">
      <c r="A67" s="16" t="inlineStr">
        <is>
          <t>Wunsch</t>
        </is>
      </c>
      <c r="B67" s="20" t="n"/>
      <c r="C67" s="20" t="n"/>
      <c r="D67" s="17" t="n"/>
      <c r="E67" s="17" t="n"/>
      <c r="F67" s="20" t="n"/>
      <c r="G67" s="20" t="n"/>
      <c r="H67" s="20" t="n"/>
      <c r="I67" s="20" t="n"/>
      <c r="J67" s="20" t="n"/>
      <c r="K67" s="17" t="n"/>
      <c r="L67" s="17" t="n"/>
      <c r="M67" s="20" t="n"/>
      <c r="N67" s="20" t="n"/>
      <c r="O67" s="20" t="n"/>
      <c r="P67" s="20" t="n"/>
      <c r="Q67" s="20" t="n"/>
      <c r="R67" s="17" t="n"/>
      <c r="S67" s="17" t="n"/>
      <c r="T67" s="20" t="n"/>
      <c r="U67" s="20" t="n"/>
      <c r="V67" s="20" t="n"/>
      <c r="W67" s="20" t="n"/>
      <c r="X67" s="20" t="n"/>
      <c r="Y67" s="17" t="n"/>
      <c r="Z67" s="17" t="n"/>
      <c r="AA67" s="20" t="n"/>
      <c r="AB67" s="20" t="n"/>
      <c r="AC67" s="20" t="n"/>
      <c r="AD67" s="20" t="n"/>
      <c r="AE67" s="30" t="n"/>
    </row>
    <row r="68" ht="16" customHeight="1">
      <c r="A68" s="16" t="inlineStr">
        <is>
          <t>Göpfrich</t>
        </is>
      </c>
      <c r="B68" s="18" t="n"/>
      <c r="C68" s="18" t="n"/>
      <c r="D68" s="17" t="n"/>
      <c r="E68" s="17" t="n"/>
      <c r="F68" s="18" t="n"/>
      <c r="G68" s="18" t="n"/>
      <c r="H68" s="18" t="n"/>
      <c r="I68" s="18" t="n"/>
      <c r="J68" s="18" t="n"/>
      <c r="K68" s="17" t="n"/>
      <c r="L68" s="17" t="n"/>
      <c r="M68" s="18" t="n"/>
      <c r="N68" s="18" t="n"/>
      <c r="O68" s="18" t="n"/>
      <c r="P68" s="18" t="n"/>
      <c r="Q68" s="18" t="n"/>
      <c r="R68" s="17" t="n"/>
      <c r="S68" s="17" t="n"/>
      <c r="T68" s="18" t="n"/>
      <c r="U68" s="18" t="n"/>
      <c r="V68" s="18" t="n"/>
      <c r="W68" s="18" t="n"/>
      <c r="X68" s="18" t="n"/>
      <c r="Y68" s="17" t="n"/>
      <c r="Z68" s="17" t="n"/>
      <c r="AA68" s="18" t="n"/>
      <c r="AB68" s="18" t="n"/>
      <c r="AC68" s="18" t="n"/>
      <c r="AD68" s="18" t="n"/>
      <c r="AE68" s="29" t="n"/>
    </row>
    <row r="69" ht="16" customHeight="1">
      <c r="A69" s="16" t="inlineStr">
        <is>
          <t>Zeller</t>
        </is>
      </c>
      <c r="B69" s="20" t="n"/>
      <c r="C69" s="20" t="n"/>
      <c r="D69" s="17" t="n"/>
      <c r="E69" s="17" t="n"/>
      <c r="F69" s="20" t="n"/>
      <c r="G69" s="20" t="n"/>
      <c r="H69" s="20" t="n"/>
      <c r="I69" s="20" t="n"/>
      <c r="J69" s="20" t="n"/>
      <c r="K69" s="17" t="n"/>
      <c r="L69" s="17" t="n"/>
      <c r="M69" s="20" t="n"/>
      <c r="N69" s="20" t="n"/>
      <c r="O69" s="20" t="n"/>
      <c r="P69" s="20" t="n"/>
      <c r="Q69" s="20" t="n"/>
      <c r="R69" s="17" t="n"/>
      <c r="S69" s="17" t="n"/>
      <c r="T69" s="20" t="n"/>
      <c r="U69" s="20" t="n"/>
      <c r="V69" s="20" t="n"/>
      <c r="W69" s="20" t="n"/>
      <c r="X69" s="20" t="n"/>
      <c r="Y69" s="17" t="n"/>
      <c r="Z69" s="17" t="n"/>
      <c r="AA69" s="20" t="n"/>
      <c r="AB69" s="20" t="n"/>
      <c r="AC69" s="20" t="n"/>
      <c r="AD69" s="20" t="n"/>
      <c r="AE69" s="30" t="n"/>
    </row>
    <row r="70" ht="16" customHeight="1">
      <c r="A70" s="16" t="inlineStr">
        <is>
          <t>Behrendt</t>
        </is>
      </c>
      <c r="B70" s="18" t="n"/>
      <c r="C70" s="18" t="n"/>
      <c r="D70" s="17" t="n"/>
      <c r="E70" s="17" t="n"/>
      <c r="F70" s="18" t="n"/>
      <c r="G70" s="18" t="n"/>
      <c r="H70" s="18" t="n"/>
      <c r="I70" s="18" t="n"/>
      <c r="J70" s="18" t="n"/>
      <c r="K70" s="17" t="n"/>
      <c r="L70" s="17" t="n"/>
      <c r="M70" s="18" t="n"/>
      <c r="N70" s="18" t="n"/>
      <c r="O70" s="18" t="n"/>
      <c r="P70" s="18" t="n"/>
      <c r="Q70" s="18" t="n"/>
      <c r="R70" s="17" t="n"/>
      <c r="S70" s="17" t="n"/>
      <c r="T70" s="18" t="n"/>
      <c r="U70" s="18" t="n"/>
      <c r="V70" s="18" t="n"/>
      <c r="W70" s="18" t="n"/>
      <c r="X70" s="18" t="n"/>
      <c r="Y70" s="17" t="n"/>
      <c r="Z70" s="17" t="n"/>
      <c r="AA70" s="18" t="n"/>
      <c r="AB70" s="18" t="n"/>
      <c r="AC70" s="18" t="n"/>
      <c r="AD70" s="18" t="n"/>
      <c r="AE70" s="29" t="n"/>
    </row>
    <row r="71" ht="16" customHeight="1">
      <c r="A71" s="16" t="inlineStr">
        <is>
          <t>Krempl</t>
        </is>
      </c>
      <c r="B71" s="20" t="n"/>
      <c r="C71" s="20" t="n"/>
      <c r="D71" s="17" t="n"/>
      <c r="E71" s="17" t="n"/>
      <c r="F71" s="20" t="n"/>
      <c r="G71" s="20" t="n"/>
      <c r="H71" s="20" t="n"/>
      <c r="I71" s="20" t="n"/>
      <c r="J71" s="20" t="n"/>
      <c r="K71" s="17" t="n"/>
      <c r="L71" s="17" t="n"/>
      <c r="M71" s="20" t="n"/>
      <c r="N71" s="20" t="n"/>
      <c r="O71" s="20" t="n"/>
      <c r="P71" s="20" t="n"/>
      <c r="Q71" s="20" t="n"/>
      <c r="R71" s="17" t="n"/>
      <c r="S71" s="17" t="n"/>
      <c r="T71" s="20" t="n"/>
      <c r="U71" s="20" t="n"/>
      <c r="V71" s="20" t="n"/>
      <c r="W71" s="20" t="n"/>
      <c r="X71" s="20" t="n"/>
      <c r="Y71" s="17" t="n"/>
      <c r="Z71" s="17" t="n"/>
      <c r="AA71" s="20" t="n"/>
      <c r="AB71" s="20" t="n"/>
      <c r="AC71" s="20" t="n"/>
      <c r="AD71" s="20" t="n"/>
      <c r="AE71" s="30" t="n"/>
    </row>
    <row r="72" ht="16" customHeight="1">
      <c r="A72" s="16" t="inlineStr">
        <is>
          <t>Putschler</t>
        </is>
      </c>
      <c r="B72" s="18" t="n"/>
      <c r="C72" s="18" t="n"/>
      <c r="D72" s="17" t="n"/>
      <c r="E72" s="17" t="n"/>
      <c r="F72" s="18" t="n"/>
      <c r="G72" s="18" t="n"/>
      <c r="H72" s="18" t="n"/>
      <c r="I72" s="18" t="n"/>
      <c r="J72" s="18" t="n"/>
      <c r="K72" s="17" t="n"/>
      <c r="L72" s="17" t="n"/>
      <c r="M72" s="18" t="n"/>
      <c r="N72" s="18" t="n"/>
      <c r="O72" s="18" t="n"/>
      <c r="P72" s="18" t="n"/>
      <c r="Q72" s="18" t="n"/>
      <c r="R72" s="17" t="n"/>
      <c r="S72" s="17" t="n"/>
      <c r="T72" s="18" t="n"/>
      <c r="U72" s="18" t="n"/>
      <c r="V72" s="18" t="n"/>
      <c r="W72" s="18" t="n"/>
      <c r="X72" s="18" t="n"/>
      <c r="Y72" s="17" t="n"/>
      <c r="Z72" s="17" t="n"/>
      <c r="AA72" s="18" t="n"/>
      <c r="AB72" s="18" t="n"/>
      <c r="AC72" s="18" t="n"/>
      <c r="AD72" s="18" t="n"/>
      <c r="AE72" s="29" t="n"/>
    </row>
    <row r="73" ht="16" customHeight="1">
      <c r="A73" s="16" t="inlineStr">
        <is>
          <t>Kunz</t>
        </is>
      </c>
      <c r="B73" s="20" t="n"/>
      <c r="C73" s="20" t="n"/>
      <c r="D73" s="17" t="n"/>
      <c r="E73" s="17" t="n"/>
      <c r="F73" s="20" t="n"/>
      <c r="G73" s="20" t="n"/>
      <c r="H73" s="20" t="n"/>
      <c r="I73" s="20" t="n"/>
      <c r="J73" s="20" t="n"/>
      <c r="K73" s="17" t="n"/>
      <c r="L73" s="17" t="n"/>
      <c r="M73" s="20" t="n"/>
      <c r="N73" s="20" t="n"/>
      <c r="O73" s="20" t="n"/>
      <c r="P73" s="20" t="n"/>
      <c r="Q73" s="20" t="n"/>
      <c r="R73" s="17" t="n"/>
      <c r="S73" s="17" t="n"/>
      <c r="T73" s="20" t="n"/>
      <c r="U73" s="20" t="n"/>
      <c r="V73" s="20" t="n"/>
      <c r="W73" s="20" t="n"/>
      <c r="X73" s="20" t="n"/>
      <c r="Y73" s="17" t="n"/>
      <c r="Z73" s="17" t="n"/>
      <c r="AA73" s="20" t="n"/>
      <c r="AB73" s="20" t="n"/>
      <c r="AC73" s="20" t="n"/>
      <c r="AD73" s="20" t="n"/>
      <c r="AE73" s="30" t="n"/>
    </row>
    <row r="74" ht="16" customHeight="1">
      <c r="A74" s="16" t="inlineStr">
        <is>
          <t>Schmidt</t>
        </is>
      </c>
      <c r="B74" s="18" t="n"/>
      <c r="C74" s="18" t="n"/>
      <c r="D74" s="17" t="n"/>
      <c r="E74" s="17" t="n"/>
      <c r="F74" s="18" t="n"/>
      <c r="G74" s="18" t="n"/>
      <c r="H74" s="18" t="n"/>
      <c r="I74" s="18" t="n"/>
      <c r="J74" s="18" t="n"/>
      <c r="K74" s="17" t="n"/>
      <c r="L74" s="17" t="n"/>
      <c r="M74" s="18" t="n"/>
      <c r="N74" s="18" t="n"/>
      <c r="O74" s="18" t="n"/>
      <c r="P74" s="18" t="n"/>
      <c r="Q74" s="18" t="n"/>
      <c r="R74" s="17" t="n"/>
      <c r="S74" s="17" t="n"/>
      <c r="T74" s="18" t="n"/>
      <c r="U74" s="18" t="n"/>
      <c r="V74" s="18" t="n"/>
      <c r="W74" s="18" t="n"/>
      <c r="X74" s="18" t="n"/>
      <c r="Y74" s="17" t="n"/>
      <c r="Z74" s="17" t="n"/>
      <c r="AA74" s="18" t="n"/>
      <c r="AB74" s="18" t="n"/>
      <c r="AC74" s="18" t="n"/>
      <c r="AD74" s="18" t="n"/>
      <c r="AE74" s="29" t="n"/>
    </row>
    <row r="75" ht="16" customHeight="1">
      <c r="A75" s="16" t="inlineStr">
        <is>
          <t>Radimersky</t>
        </is>
      </c>
      <c r="B75" s="20" t="n"/>
      <c r="C75" s="20" t="n"/>
      <c r="D75" s="17" t="n"/>
      <c r="E75" s="17" t="n"/>
      <c r="F75" s="20" t="n"/>
      <c r="G75" s="20" t="n"/>
      <c r="H75" s="20" t="n"/>
      <c r="I75" s="20" t="n"/>
      <c r="J75" s="20" t="n"/>
      <c r="K75" s="17" t="n"/>
      <c r="L75" s="17" t="n"/>
      <c r="M75" s="20" t="n"/>
      <c r="N75" s="20" t="n"/>
      <c r="O75" s="20" t="n"/>
      <c r="P75" s="20" t="n"/>
      <c r="Q75" s="20" t="n"/>
      <c r="R75" s="17" t="n"/>
      <c r="S75" s="17" t="n"/>
      <c r="T75" s="20" t="n"/>
      <c r="U75" s="20" t="n"/>
      <c r="V75" s="20" t="n"/>
      <c r="W75" s="20" t="n"/>
      <c r="X75" s="20" t="n"/>
      <c r="Y75" s="17" t="n"/>
      <c r="Z75" s="17" t="n"/>
      <c r="AA75" s="20" t="n"/>
      <c r="AB75" s="20" t="n"/>
      <c r="AC75" s="20" t="n"/>
      <c r="AD75" s="20" t="n"/>
      <c r="AE75" s="30" t="n"/>
    </row>
    <row r="76" ht="15" customHeight="1">
      <c r="A76" s="21" t="inlineStr">
        <is>
          <t>Besetzung</t>
        </is>
      </c>
      <c r="B76" s="23">
        <f>IF(AND(COUNTIF(B64:B75,"FI")&gt;0,COUNTIF(B64:B75,"SI")&gt;0,COUNTIF(B64:B75,"NI")&gt;0),"","!")</f>
        <v/>
      </c>
      <c r="C76" s="23">
        <f>IF(AND(COUNTIF(C64:C75,"FI")&gt;0,COUNTIF(C64:C75,"SI")&gt;0),"","!")</f>
        <v/>
      </c>
      <c r="D76" s="22" t="n"/>
      <c r="E76" s="22" t="n"/>
      <c r="F76" s="23">
        <f>IF(AND(COUNTIF(F64:F75,"FI")&gt;0,COUNTIF(F64:F75,"SI")&gt;0,COUNTIF(F64:F75,"NI")&gt;0),"","!")</f>
        <v/>
      </c>
      <c r="G76" s="23">
        <f>IF(AND(COUNTIF(G64:G75,"FI")&gt;0,COUNTIF(G64:G75,"SI")&gt;0,COUNTIF(G64:G75,"NI")&gt;0),"","!")</f>
        <v/>
      </c>
      <c r="H76" s="23">
        <f>IF(AND(COUNTIF(H64:H75,"FI")&gt;0,COUNTIF(H64:H75,"SI")&gt;0,COUNTIF(H64:H75,"NI")&gt;0),"","!")</f>
        <v/>
      </c>
      <c r="I76" s="23">
        <f>IF(AND(COUNTIF(I64:I75,"FI")&gt;0,COUNTIF(I64:I75,"SI")&gt;0,COUNTIF(I64:I75,"NI")&gt;0),"","!")</f>
        <v/>
      </c>
      <c r="J76" s="23">
        <f>IF(AND(COUNTIF(J64:J75,"FI")&gt;0,COUNTIF(J64:J75,"SI")&gt;0),"","!")</f>
        <v/>
      </c>
      <c r="K76" s="22" t="n"/>
      <c r="L76" s="22" t="n"/>
      <c r="M76" s="23">
        <f>IF(AND(COUNTIF(M64:M75,"FI")&gt;0,COUNTIF(M64:M75,"SI")&gt;0,COUNTIF(M64:M75,"NI")&gt;0),"","!")</f>
        <v/>
      </c>
      <c r="N76" s="23">
        <f>IF(AND(COUNTIF(N64:N75,"FI")&gt;0,COUNTIF(N64:N75,"SI")&gt;0,COUNTIF(N64:N75,"NI")&gt;0),"","!")</f>
        <v/>
      </c>
      <c r="O76" s="23">
        <f>IF(AND(COUNTIF(O64:O75,"FI")&gt;0,COUNTIF(O64:O75,"SI")&gt;0,COUNTIF(O64:O75,"NI")&gt;0),"","!")</f>
        <v/>
      </c>
      <c r="P76" s="23">
        <f>IF(AND(COUNTIF(P64:P75,"FI")&gt;0,COUNTIF(P64:P75,"SI")&gt;0,COUNTIF(P64:P75,"NI")&gt;0),"","!")</f>
        <v/>
      </c>
      <c r="Q76" s="23">
        <f>IF(AND(COUNTIF(Q64:Q75,"FI")&gt;0,COUNTIF(Q64:Q75,"SI")&gt;0),"","!")</f>
        <v/>
      </c>
      <c r="R76" s="22" t="n"/>
      <c r="S76" s="22" t="n"/>
      <c r="T76" s="23">
        <f>IF(AND(COUNTIF(T64:T75,"FI")&gt;0,COUNTIF(T64:T75,"SI")&gt;0,COUNTIF(T64:T75,"NI")&gt;0),"","!")</f>
        <v/>
      </c>
      <c r="U76" s="23">
        <f>IF(AND(COUNTIF(U64:U75,"FI")&gt;0,COUNTIF(U64:U75,"SI")&gt;0,COUNTIF(U64:U75,"NI")&gt;0),"","!")</f>
        <v/>
      </c>
      <c r="V76" s="23">
        <f>IF(AND(COUNTIF(V64:V75,"FI")&gt;0,COUNTIF(V64:V75,"SI")&gt;0,COUNTIF(V64:V75,"NI")&gt;0),"","!")</f>
        <v/>
      </c>
      <c r="W76" s="23">
        <f>IF(AND(COUNTIF(W64:W75,"FI")&gt;0,COUNTIF(W64:W75,"SI")&gt;0,COUNTIF(W64:W75,"NI")&gt;0),"","!")</f>
        <v/>
      </c>
      <c r="X76" s="23">
        <f>IF(AND(COUNTIF(X64:X75,"FI")&gt;0,COUNTIF(X64:X75,"SI")&gt;0),"","!")</f>
        <v/>
      </c>
      <c r="Y76" s="22" t="n"/>
      <c r="Z76" s="22" t="n"/>
      <c r="AA76" s="23">
        <f>IF(AND(COUNTIF(AA64:AA75,"FI")&gt;0,COUNTIF(AA64:AA75,"SI")&gt;0,COUNTIF(AA64:AA75,"NI")&gt;0),"","!")</f>
        <v/>
      </c>
      <c r="AB76" s="23">
        <f>IF(AND(COUNTIF(AB64:AB75,"FI")&gt;0,COUNTIF(AB64:AB75,"SI")&gt;0,COUNTIF(AB64:AB75,"NI")&gt;0),"","!")</f>
        <v/>
      </c>
      <c r="AC76" s="23">
        <f>IF(AND(COUNTIF(AC64:AC75,"FI")&gt;0,COUNTIF(AC64:AC75,"SI")&gt;0,COUNTIF(AC64:AC75,"NI")&gt;0),"","!")</f>
        <v/>
      </c>
      <c r="AD76" s="23">
        <f>IF(AND(COUNTIF(AD64:AD75,"FI")&gt;0,COUNTIF(AD64:AD75,"SI")&gt;0,COUNTIF(AD64:AD75,"NI")&gt;0),"","!")</f>
        <v/>
      </c>
      <c r="AE76" s="31">
        <f>IF(AND(COUNTIF(AE64:AE75,"FI")&gt;0,COUNTIF(AE64:AE75,"SI")&gt;0),"","!")</f>
        <v/>
      </c>
    </row>
    <row r="78">
      <c r="R78" s="25" t="inlineStr">
        <is>
          <t>Pfingstferien</t>
        </is>
      </c>
    </row>
    <row r="79" ht="20" customHeight="1">
      <c r="A79" s="2" t="inlineStr">
        <is>
          <t>Mai</t>
        </is>
      </c>
    </row>
    <row r="80" ht="15" customHeight="1">
      <c r="A80" s="3" t="inlineStr">
        <is>
          <t>KW</t>
        </is>
      </c>
      <c r="B80" s="4" t="n">
        <v>17</v>
      </c>
      <c r="C80" s="5" t="n"/>
      <c r="D80" s="6" t="n">
        <v>18</v>
      </c>
      <c r="E80" s="7" t="n"/>
      <c r="F80" s="7" t="n"/>
      <c r="G80" s="5" t="n"/>
      <c r="H80" s="7" t="n"/>
      <c r="I80" s="5" t="n"/>
      <c r="J80" s="5" t="n"/>
      <c r="K80" s="6" t="n">
        <v>19</v>
      </c>
      <c r="L80" s="7" t="n"/>
      <c r="M80" s="7" t="n"/>
      <c r="N80" s="7" t="n"/>
      <c r="O80" s="7" t="n"/>
      <c r="P80" s="5" t="n"/>
      <c r="Q80" s="5" t="n"/>
      <c r="R80" s="4" t="n">
        <v>20</v>
      </c>
      <c r="S80" s="7" t="n"/>
      <c r="T80" s="7" t="n"/>
      <c r="U80" s="7" t="n"/>
      <c r="V80" s="7" t="n"/>
      <c r="W80" s="5" t="n"/>
      <c r="X80" s="5" t="n"/>
      <c r="Y80" s="6" t="n">
        <v>21</v>
      </c>
      <c r="Z80" s="7" t="n"/>
      <c r="AA80" s="7" t="n"/>
      <c r="AB80" s="5" t="n"/>
      <c r="AC80" s="7" t="n"/>
      <c r="AD80" s="5" t="n"/>
      <c r="AE80" s="5" t="n"/>
      <c r="AF80" s="32" t="n">
        <v>22</v>
      </c>
    </row>
    <row r="81" ht="18" customHeight="1">
      <c r="A81" s="9" t="inlineStr">
        <is>
          <t>Tag</t>
        </is>
      </c>
      <c r="B81" s="10" t="n">
        <v>1</v>
      </c>
      <c r="C81" s="10" t="n">
        <v>2</v>
      </c>
      <c r="D81" s="11" t="n">
        <v>3</v>
      </c>
      <c r="E81" s="11" t="n">
        <v>4</v>
      </c>
      <c r="F81" s="11" t="n">
        <v>5</v>
      </c>
      <c r="G81" s="10" t="n">
        <v>6</v>
      </c>
      <c r="H81" s="11" t="n">
        <v>7</v>
      </c>
      <c r="I81" s="10" t="n">
        <v>8</v>
      </c>
      <c r="J81" s="10" t="n">
        <v>9</v>
      </c>
      <c r="K81" s="11" t="n">
        <v>10</v>
      </c>
      <c r="L81" s="11" t="n">
        <v>11</v>
      </c>
      <c r="M81" s="11" t="n">
        <v>12</v>
      </c>
      <c r="N81" s="11" t="n">
        <v>13</v>
      </c>
      <c r="O81" s="11" t="n">
        <v>14</v>
      </c>
      <c r="P81" s="10" t="n">
        <v>15</v>
      </c>
      <c r="Q81" s="10" t="n">
        <v>16</v>
      </c>
      <c r="R81" s="10" t="n">
        <v>17</v>
      </c>
      <c r="S81" s="11" t="n">
        <v>18</v>
      </c>
      <c r="T81" s="11" t="n">
        <v>19</v>
      </c>
      <c r="U81" s="11" t="n">
        <v>20</v>
      </c>
      <c r="V81" s="11" t="n">
        <v>21</v>
      </c>
      <c r="W81" s="10" t="n">
        <v>22</v>
      </c>
      <c r="X81" s="10" t="n">
        <v>23</v>
      </c>
      <c r="Y81" s="11" t="n">
        <v>24</v>
      </c>
      <c r="Z81" s="11" t="n">
        <v>25</v>
      </c>
      <c r="AA81" s="11" t="n">
        <v>26</v>
      </c>
      <c r="AB81" s="10" t="n">
        <v>27</v>
      </c>
      <c r="AC81" s="11" t="n">
        <v>28</v>
      </c>
      <c r="AD81" s="10" t="n">
        <v>29</v>
      </c>
      <c r="AE81" s="10" t="n">
        <v>30</v>
      </c>
      <c r="AF81" s="27" t="n">
        <v>31</v>
      </c>
    </row>
    <row r="82" ht="18" customHeight="1">
      <c r="A82" s="9" t="inlineStr">
        <is>
          <t>WT</t>
        </is>
      </c>
      <c r="B82" s="13" t="inlineStr">
        <is>
          <t>Sa</t>
        </is>
      </c>
      <c r="C82" s="13" t="inlineStr">
        <is>
          <t>So</t>
        </is>
      </c>
      <c r="D82" s="14" t="inlineStr">
        <is>
          <t>Mo</t>
        </is>
      </c>
      <c r="E82" s="14" t="inlineStr">
        <is>
          <t>Di</t>
        </is>
      </c>
      <c r="F82" s="14" t="inlineStr">
        <is>
          <t>Mi</t>
        </is>
      </c>
      <c r="G82" s="13" t="inlineStr">
        <is>
          <t>Do</t>
        </is>
      </c>
      <c r="H82" s="14" t="inlineStr">
        <is>
          <t>Fr</t>
        </is>
      </c>
      <c r="I82" s="13" t="inlineStr">
        <is>
          <t>Sa</t>
        </is>
      </c>
      <c r="J82" s="13" t="inlineStr">
        <is>
          <t>So</t>
        </is>
      </c>
      <c r="K82" s="14" t="inlineStr">
        <is>
          <t>Mo</t>
        </is>
      </c>
      <c r="L82" s="14" t="inlineStr">
        <is>
          <t>Di</t>
        </is>
      </c>
      <c r="M82" s="14" t="inlineStr">
        <is>
          <t>Mi</t>
        </is>
      </c>
      <c r="N82" s="14" t="inlineStr">
        <is>
          <t>Do</t>
        </is>
      </c>
      <c r="O82" s="14" t="inlineStr">
        <is>
          <t>Fr</t>
        </is>
      </c>
      <c r="P82" s="13" t="inlineStr">
        <is>
          <t>Sa</t>
        </is>
      </c>
      <c r="Q82" s="13" t="inlineStr">
        <is>
          <t>So</t>
        </is>
      </c>
      <c r="R82" s="13" t="inlineStr">
        <is>
          <t>Mo</t>
        </is>
      </c>
      <c r="S82" s="14" t="inlineStr">
        <is>
          <t>Di</t>
        </is>
      </c>
      <c r="T82" s="14" t="inlineStr">
        <is>
          <t>Mi</t>
        </is>
      </c>
      <c r="U82" s="14" t="inlineStr">
        <is>
          <t>Do</t>
        </is>
      </c>
      <c r="V82" s="14" t="inlineStr">
        <is>
          <t>Fr</t>
        </is>
      </c>
      <c r="W82" s="13" t="inlineStr">
        <is>
          <t>Sa</t>
        </is>
      </c>
      <c r="X82" s="13" t="inlineStr">
        <is>
          <t>So</t>
        </is>
      </c>
      <c r="Y82" s="14" t="inlineStr">
        <is>
          <t>Mo</t>
        </is>
      </c>
      <c r="Z82" s="14" t="inlineStr">
        <is>
          <t>Di</t>
        </is>
      </c>
      <c r="AA82" s="14" t="inlineStr">
        <is>
          <t>Mi</t>
        </is>
      </c>
      <c r="AB82" s="13" t="inlineStr">
        <is>
          <t>Do</t>
        </is>
      </c>
      <c r="AC82" s="14" t="inlineStr">
        <is>
          <t>Fr</t>
        </is>
      </c>
      <c r="AD82" s="13" t="inlineStr">
        <is>
          <t>Sa</t>
        </is>
      </c>
      <c r="AE82" s="13" t="inlineStr">
        <is>
          <t>So</t>
        </is>
      </c>
      <c r="AF82" s="28" t="inlineStr">
        <is>
          <t>Mo</t>
        </is>
      </c>
    </row>
    <row r="83" ht="16" customHeight="1">
      <c r="A83" s="16" t="inlineStr">
        <is>
          <t>Breig</t>
        </is>
      </c>
      <c r="B83" s="17" t="n"/>
      <c r="C83" s="17" t="n"/>
      <c r="D83" s="18" t="n"/>
      <c r="E83" s="18" t="n"/>
      <c r="F83" s="18" t="n"/>
      <c r="G83" s="17" t="n"/>
      <c r="H83" s="18" t="n"/>
      <c r="I83" s="17" t="n"/>
      <c r="J83" s="17" t="n"/>
      <c r="K83" s="18" t="n"/>
      <c r="L83" s="18" t="n"/>
      <c r="M83" s="18" t="n"/>
      <c r="N83" s="18" t="n"/>
      <c r="O83" s="18" t="n"/>
      <c r="P83" s="17" t="n"/>
      <c r="Q83" s="17" t="n"/>
      <c r="R83" s="17" t="n"/>
      <c r="S83" s="18" t="n"/>
      <c r="T83" s="18" t="n"/>
      <c r="U83" s="18" t="n"/>
      <c r="V83" s="18" t="n"/>
      <c r="W83" s="17" t="n"/>
      <c r="X83" s="17" t="n"/>
      <c r="Y83" s="18" t="n"/>
      <c r="Z83" s="18" t="n"/>
      <c r="AA83" s="18" t="n"/>
      <c r="AB83" s="17" t="n"/>
      <c r="AC83" s="18" t="n"/>
      <c r="AD83" s="17" t="n"/>
      <c r="AE83" s="17" t="n"/>
      <c r="AF83" s="29" t="n"/>
    </row>
    <row r="84" ht="16" customHeight="1">
      <c r="A84" s="16" t="inlineStr">
        <is>
          <t>Siebert</t>
        </is>
      </c>
      <c r="B84" s="17" t="n"/>
      <c r="C84" s="17" t="n"/>
      <c r="D84" s="20" t="n"/>
      <c r="E84" s="20" t="n"/>
      <c r="F84" s="20" t="n"/>
      <c r="G84" s="17" t="n"/>
      <c r="H84" s="20" t="n"/>
      <c r="I84" s="17" t="n"/>
      <c r="J84" s="17" t="n"/>
      <c r="K84" s="20" t="n"/>
      <c r="L84" s="20" t="n"/>
      <c r="M84" s="20" t="n"/>
      <c r="N84" s="20" t="n"/>
      <c r="O84" s="20" t="n"/>
      <c r="P84" s="17" t="n"/>
      <c r="Q84" s="17" t="n"/>
      <c r="R84" s="17" t="n"/>
      <c r="S84" s="20" t="n"/>
      <c r="T84" s="20" t="n"/>
      <c r="U84" s="20" t="n"/>
      <c r="V84" s="20" t="n"/>
      <c r="W84" s="17" t="n"/>
      <c r="X84" s="17" t="n"/>
      <c r="Y84" s="20" t="n"/>
      <c r="Z84" s="20" t="n"/>
      <c r="AA84" s="20" t="n"/>
      <c r="AB84" s="17" t="n"/>
      <c r="AC84" s="20" t="n"/>
      <c r="AD84" s="17" t="n"/>
      <c r="AE84" s="17" t="n"/>
      <c r="AF84" s="30" t="n"/>
    </row>
    <row r="85" ht="16" customHeight="1">
      <c r="A85" s="16" t="inlineStr">
        <is>
          <t>Jochim</t>
        </is>
      </c>
      <c r="B85" s="17" t="n"/>
      <c r="C85" s="17" t="n"/>
      <c r="D85" s="18" t="n"/>
      <c r="E85" s="18" t="n"/>
      <c r="F85" s="18" t="n"/>
      <c r="G85" s="17" t="n"/>
      <c r="H85" s="18" t="n"/>
      <c r="I85" s="17" t="n"/>
      <c r="J85" s="17" t="n"/>
      <c r="K85" s="18" t="n"/>
      <c r="L85" s="18" t="n"/>
      <c r="M85" s="18" t="n"/>
      <c r="N85" s="18" t="n"/>
      <c r="O85" s="18" t="n"/>
      <c r="P85" s="17" t="n"/>
      <c r="Q85" s="17" t="n"/>
      <c r="R85" s="17" t="n"/>
      <c r="S85" s="18" t="n"/>
      <c r="T85" s="18" t="n"/>
      <c r="U85" s="18" t="n"/>
      <c r="V85" s="18" t="n"/>
      <c r="W85" s="17" t="n"/>
      <c r="X85" s="17" t="n"/>
      <c r="Y85" s="18" t="n"/>
      <c r="Z85" s="18" t="n"/>
      <c r="AA85" s="18" t="n"/>
      <c r="AB85" s="17" t="n"/>
      <c r="AC85" s="18" t="n"/>
      <c r="AD85" s="17" t="n"/>
      <c r="AE85" s="17" t="n"/>
      <c r="AF85" s="29" t="n"/>
    </row>
    <row r="86" ht="16" customHeight="1">
      <c r="A86" s="16" t="inlineStr">
        <is>
          <t>Wunsch</t>
        </is>
      </c>
      <c r="B86" s="17" t="n"/>
      <c r="C86" s="17" t="n"/>
      <c r="D86" s="20" t="n"/>
      <c r="E86" s="20" t="n"/>
      <c r="F86" s="20" t="n"/>
      <c r="G86" s="17" t="n"/>
      <c r="H86" s="20" t="n"/>
      <c r="I86" s="17" t="n"/>
      <c r="J86" s="17" t="n"/>
      <c r="K86" s="20" t="n"/>
      <c r="L86" s="20" t="n"/>
      <c r="M86" s="20" t="n"/>
      <c r="N86" s="20" t="n"/>
      <c r="O86" s="20" t="n"/>
      <c r="P86" s="17" t="n"/>
      <c r="Q86" s="17" t="n"/>
      <c r="R86" s="17" t="n"/>
      <c r="S86" s="20" t="n"/>
      <c r="T86" s="20" t="n"/>
      <c r="U86" s="20" t="n"/>
      <c r="V86" s="20" t="n"/>
      <c r="W86" s="17" t="n"/>
      <c r="X86" s="17" t="n"/>
      <c r="Y86" s="20" t="n"/>
      <c r="Z86" s="20" t="n"/>
      <c r="AA86" s="20" t="n"/>
      <c r="AB86" s="17" t="n"/>
      <c r="AC86" s="20" t="n"/>
      <c r="AD86" s="17" t="n"/>
      <c r="AE86" s="17" t="n"/>
      <c r="AF86" s="30" t="n"/>
    </row>
    <row r="87" ht="16" customHeight="1">
      <c r="A87" s="16" t="inlineStr">
        <is>
          <t>Göpfrich</t>
        </is>
      </c>
      <c r="B87" s="17" t="n"/>
      <c r="C87" s="17" t="n"/>
      <c r="D87" s="18" t="n"/>
      <c r="E87" s="18" t="n"/>
      <c r="F87" s="18" t="n"/>
      <c r="G87" s="17" t="n"/>
      <c r="H87" s="18" t="n"/>
      <c r="I87" s="17" t="n"/>
      <c r="J87" s="17" t="n"/>
      <c r="K87" s="18" t="n"/>
      <c r="L87" s="18" t="n"/>
      <c r="M87" s="18" t="n"/>
      <c r="N87" s="18" t="n"/>
      <c r="O87" s="18" t="n"/>
      <c r="P87" s="17" t="n"/>
      <c r="Q87" s="17" t="n"/>
      <c r="R87" s="17" t="n"/>
      <c r="S87" s="18" t="n"/>
      <c r="T87" s="18" t="n"/>
      <c r="U87" s="18" t="n"/>
      <c r="V87" s="18" t="n"/>
      <c r="W87" s="17" t="n"/>
      <c r="X87" s="17" t="n"/>
      <c r="Y87" s="18" t="n"/>
      <c r="Z87" s="18" t="n"/>
      <c r="AA87" s="18" t="n"/>
      <c r="AB87" s="17" t="n"/>
      <c r="AC87" s="18" t="n"/>
      <c r="AD87" s="17" t="n"/>
      <c r="AE87" s="17" t="n"/>
      <c r="AF87" s="29" t="n"/>
    </row>
    <row r="88" ht="16" customHeight="1">
      <c r="A88" s="16" t="inlineStr">
        <is>
          <t>Zeller</t>
        </is>
      </c>
      <c r="B88" s="17" t="n"/>
      <c r="C88" s="17" t="n"/>
      <c r="D88" s="20" t="n"/>
      <c r="E88" s="20" t="n"/>
      <c r="F88" s="20" t="n"/>
      <c r="G88" s="17" t="n"/>
      <c r="H88" s="20" t="n"/>
      <c r="I88" s="17" t="n"/>
      <c r="J88" s="17" t="n"/>
      <c r="K88" s="20" t="n"/>
      <c r="L88" s="20" t="n"/>
      <c r="M88" s="20" t="n"/>
      <c r="N88" s="20" t="n"/>
      <c r="O88" s="20" t="n"/>
      <c r="P88" s="17" t="n"/>
      <c r="Q88" s="17" t="n"/>
      <c r="R88" s="17" t="n"/>
      <c r="S88" s="20" t="n"/>
      <c r="T88" s="20" t="n"/>
      <c r="U88" s="20" t="n"/>
      <c r="V88" s="20" t="n"/>
      <c r="W88" s="17" t="n"/>
      <c r="X88" s="17" t="n"/>
      <c r="Y88" s="20" t="n"/>
      <c r="Z88" s="20" t="n"/>
      <c r="AA88" s="20" t="n"/>
      <c r="AB88" s="17" t="n"/>
      <c r="AC88" s="20" t="n"/>
      <c r="AD88" s="17" t="n"/>
      <c r="AE88" s="17" t="n"/>
      <c r="AF88" s="30" t="n"/>
    </row>
    <row r="89" ht="16" customHeight="1">
      <c r="A89" s="16" t="inlineStr">
        <is>
          <t>Behrendt</t>
        </is>
      </c>
      <c r="B89" s="17" t="n"/>
      <c r="C89" s="17" t="n"/>
      <c r="D89" s="18" t="n"/>
      <c r="E89" s="18" t="n"/>
      <c r="F89" s="18" t="n"/>
      <c r="G89" s="17" t="n"/>
      <c r="H89" s="18" t="n"/>
      <c r="I89" s="17" t="n"/>
      <c r="J89" s="17" t="n"/>
      <c r="K89" s="18" t="n"/>
      <c r="L89" s="18" t="n"/>
      <c r="M89" s="18" t="n"/>
      <c r="N89" s="18" t="n"/>
      <c r="O89" s="18" t="n"/>
      <c r="P89" s="17" t="n"/>
      <c r="Q89" s="17" t="n"/>
      <c r="R89" s="17" t="n"/>
      <c r="S89" s="18" t="n"/>
      <c r="T89" s="18" t="n"/>
      <c r="U89" s="18" t="n"/>
      <c r="V89" s="18" t="n"/>
      <c r="W89" s="17" t="n"/>
      <c r="X89" s="17" t="n"/>
      <c r="Y89" s="18" t="n"/>
      <c r="Z89" s="18" t="n"/>
      <c r="AA89" s="18" t="n"/>
      <c r="AB89" s="17" t="n"/>
      <c r="AC89" s="18" t="n"/>
      <c r="AD89" s="17" t="n"/>
      <c r="AE89" s="17" t="n"/>
      <c r="AF89" s="29" t="n"/>
    </row>
    <row r="90" ht="16" customHeight="1">
      <c r="A90" s="16" t="inlineStr">
        <is>
          <t>Krempl</t>
        </is>
      </c>
      <c r="B90" s="17" t="n"/>
      <c r="C90" s="17" t="n"/>
      <c r="D90" s="20" t="n"/>
      <c r="E90" s="20" t="n"/>
      <c r="F90" s="20" t="n"/>
      <c r="G90" s="17" t="n"/>
      <c r="H90" s="20" t="n"/>
      <c r="I90" s="17" t="n"/>
      <c r="J90" s="17" t="n"/>
      <c r="K90" s="20" t="n"/>
      <c r="L90" s="20" t="n"/>
      <c r="M90" s="20" t="n"/>
      <c r="N90" s="20" t="n"/>
      <c r="O90" s="20" t="n"/>
      <c r="P90" s="17" t="n"/>
      <c r="Q90" s="17" t="n"/>
      <c r="R90" s="17" t="n"/>
      <c r="S90" s="20" t="n"/>
      <c r="T90" s="20" t="n"/>
      <c r="U90" s="20" t="n"/>
      <c r="V90" s="20" t="n"/>
      <c r="W90" s="17" t="n"/>
      <c r="X90" s="17" t="n"/>
      <c r="Y90" s="20" t="n"/>
      <c r="Z90" s="20" t="n"/>
      <c r="AA90" s="20" t="n"/>
      <c r="AB90" s="17" t="n"/>
      <c r="AC90" s="20" t="n"/>
      <c r="AD90" s="17" t="n"/>
      <c r="AE90" s="17" t="n"/>
      <c r="AF90" s="30" t="n"/>
    </row>
    <row r="91" ht="16" customHeight="1">
      <c r="A91" s="16" t="inlineStr">
        <is>
          <t>Putschler</t>
        </is>
      </c>
      <c r="B91" s="17" t="n"/>
      <c r="C91" s="17" t="n"/>
      <c r="D91" s="18" t="n"/>
      <c r="E91" s="18" t="n"/>
      <c r="F91" s="18" t="n"/>
      <c r="G91" s="17" t="n"/>
      <c r="H91" s="18" t="n"/>
      <c r="I91" s="17" t="n"/>
      <c r="J91" s="17" t="n"/>
      <c r="K91" s="18" t="n"/>
      <c r="L91" s="18" t="n"/>
      <c r="M91" s="18" t="n"/>
      <c r="N91" s="18" t="n"/>
      <c r="O91" s="18" t="n"/>
      <c r="P91" s="17" t="n"/>
      <c r="Q91" s="17" t="n"/>
      <c r="R91" s="17" t="n"/>
      <c r="S91" s="18" t="n"/>
      <c r="T91" s="18" t="n"/>
      <c r="U91" s="18" t="n"/>
      <c r="V91" s="18" t="n"/>
      <c r="W91" s="17" t="n"/>
      <c r="X91" s="17" t="n"/>
      <c r="Y91" s="18" t="n"/>
      <c r="Z91" s="18" t="n"/>
      <c r="AA91" s="18" t="n"/>
      <c r="AB91" s="17" t="n"/>
      <c r="AC91" s="18" t="n"/>
      <c r="AD91" s="17" t="n"/>
      <c r="AE91" s="17" t="n"/>
      <c r="AF91" s="29" t="n"/>
    </row>
    <row r="92" ht="16" customHeight="1">
      <c r="A92" s="16" t="inlineStr">
        <is>
          <t>Kunz</t>
        </is>
      </c>
      <c r="B92" s="17" t="n"/>
      <c r="C92" s="17" t="n"/>
      <c r="D92" s="20" t="n"/>
      <c r="E92" s="20" t="n"/>
      <c r="F92" s="20" t="n"/>
      <c r="G92" s="17" t="n"/>
      <c r="H92" s="20" t="n"/>
      <c r="I92" s="17" t="n"/>
      <c r="J92" s="17" t="n"/>
      <c r="K92" s="20" t="n"/>
      <c r="L92" s="20" t="n"/>
      <c r="M92" s="20" t="n"/>
      <c r="N92" s="20" t="n"/>
      <c r="O92" s="20" t="n"/>
      <c r="P92" s="17" t="n"/>
      <c r="Q92" s="17" t="n"/>
      <c r="R92" s="17" t="n"/>
      <c r="S92" s="20" t="n"/>
      <c r="T92" s="20" t="n"/>
      <c r="U92" s="20" t="n"/>
      <c r="V92" s="20" t="n"/>
      <c r="W92" s="17" t="n"/>
      <c r="X92" s="17" t="n"/>
      <c r="Y92" s="20" t="n"/>
      <c r="Z92" s="20" t="n"/>
      <c r="AA92" s="20" t="n"/>
      <c r="AB92" s="17" t="n"/>
      <c r="AC92" s="20" t="n"/>
      <c r="AD92" s="17" t="n"/>
      <c r="AE92" s="17" t="n"/>
      <c r="AF92" s="30" t="n"/>
    </row>
    <row r="93" ht="16" customHeight="1">
      <c r="A93" s="16" t="inlineStr">
        <is>
          <t>Schmidt</t>
        </is>
      </c>
      <c r="B93" s="17" t="n"/>
      <c r="C93" s="17" t="n"/>
      <c r="D93" s="18" t="n"/>
      <c r="E93" s="18" t="n"/>
      <c r="F93" s="18" t="n"/>
      <c r="G93" s="17" t="n"/>
      <c r="H93" s="18" t="n"/>
      <c r="I93" s="17" t="n"/>
      <c r="J93" s="17" t="n"/>
      <c r="K93" s="18" t="n"/>
      <c r="L93" s="18" t="n"/>
      <c r="M93" s="18" t="n"/>
      <c r="N93" s="18" t="n"/>
      <c r="O93" s="18" t="n"/>
      <c r="P93" s="17" t="n"/>
      <c r="Q93" s="17" t="n"/>
      <c r="R93" s="17" t="n"/>
      <c r="S93" s="18" t="n"/>
      <c r="T93" s="18" t="n"/>
      <c r="U93" s="18" t="n"/>
      <c r="V93" s="18" t="n"/>
      <c r="W93" s="17" t="n"/>
      <c r="X93" s="17" t="n"/>
      <c r="Y93" s="18" t="n"/>
      <c r="Z93" s="18" t="n"/>
      <c r="AA93" s="18" t="n"/>
      <c r="AB93" s="17" t="n"/>
      <c r="AC93" s="18" t="n"/>
      <c r="AD93" s="17" t="n"/>
      <c r="AE93" s="17" t="n"/>
      <c r="AF93" s="29" t="n"/>
    </row>
    <row r="94" ht="16" customHeight="1">
      <c r="A94" s="16" t="inlineStr">
        <is>
          <t>Radimersky</t>
        </is>
      </c>
      <c r="B94" s="17" t="n"/>
      <c r="C94" s="17" t="n"/>
      <c r="D94" s="20" t="n"/>
      <c r="E94" s="20" t="n"/>
      <c r="F94" s="20" t="n"/>
      <c r="G94" s="17" t="n"/>
      <c r="H94" s="20" t="n"/>
      <c r="I94" s="17" t="n"/>
      <c r="J94" s="17" t="n"/>
      <c r="K94" s="20" t="n"/>
      <c r="L94" s="20" t="n"/>
      <c r="M94" s="20" t="n"/>
      <c r="N94" s="20" t="n"/>
      <c r="O94" s="20" t="n"/>
      <c r="P94" s="17" t="n"/>
      <c r="Q94" s="17" t="n"/>
      <c r="R94" s="17" t="n"/>
      <c r="S94" s="20" t="n"/>
      <c r="T94" s="20" t="n"/>
      <c r="U94" s="20" t="n"/>
      <c r="V94" s="20" t="n"/>
      <c r="W94" s="17" t="n"/>
      <c r="X94" s="17" t="n"/>
      <c r="Y94" s="20" t="n"/>
      <c r="Z94" s="20" t="n"/>
      <c r="AA94" s="20" t="n"/>
      <c r="AB94" s="17" t="n"/>
      <c r="AC94" s="20" t="n"/>
      <c r="AD94" s="17" t="n"/>
      <c r="AE94" s="17" t="n"/>
      <c r="AF94" s="30" t="n"/>
    </row>
    <row r="95" ht="15" customHeight="1">
      <c r="A95" s="21" t="inlineStr">
        <is>
          <t>Besetzung</t>
        </is>
      </c>
      <c r="B95" s="22" t="n"/>
      <c r="C95" s="22" t="n"/>
      <c r="D95" s="23">
        <f>IF(AND(COUNTIF(D83:D94,"FI")&gt;0,COUNTIF(D83:D94,"SI")&gt;0,COUNTIF(D83:D94,"NI")&gt;0),"","!")</f>
        <v/>
      </c>
      <c r="E95" s="23">
        <f>IF(AND(COUNTIF(E83:E94,"FI")&gt;0,COUNTIF(E83:E94,"SI")&gt;0,COUNTIF(E83:E94,"NI")&gt;0),"","!")</f>
        <v/>
      </c>
      <c r="F95" s="23">
        <f>IF(AND(COUNTIF(F83:F94,"FI")&gt;0,COUNTIF(F83:F94,"SI")&gt;0,COUNTIF(F83:F94,"NI")&gt;0),"","!")</f>
        <v/>
      </c>
      <c r="G95" s="22" t="n"/>
      <c r="H95" s="23">
        <f>IF(AND(COUNTIF(H83:H94,"FI")&gt;0,COUNTIF(H83:H94,"SI")&gt;0),"","!")</f>
        <v/>
      </c>
      <c r="I95" s="22" t="n"/>
      <c r="J95" s="22" t="n"/>
      <c r="K95" s="23">
        <f>IF(AND(COUNTIF(K83:K94,"FI")&gt;0,COUNTIF(K83:K94,"SI")&gt;0,COUNTIF(K83:K94,"NI")&gt;0),"","!")</f>
        <v/>
      </c>
      <c r="L95" s="23">
        <f>IF(AND(COUNTIF(L83:L94,"FI")&gt;0,COUNTIF(L83:L94,"SI")&gt;0,COUNTIF(L83:L94,"NI")&gt;0),"","!")</f>
        <v/>
      </c>
      <c r="M95" s="23">
        <f>IF(AND(COUNTIF(M83:M94,"FI")&gt;0,COUNTIF(M83:M94,"SI")&gt;0,COUNTIF(M83:M94,"NI")&gt;0),"","!")</f>
        <v/>
      </c>
      <c r="N95" s="23">
        <f>IF(AND(COUNTIF(N83:N94,"FI")&gt;0,COUNTIF(N83:N94,"SI")&gt;0,COUNTIF(N83:N94,"NI")&gt;0),"","!")</f>
        <v/>
      </c>
      <c r="O95" s="23">
        <f>IF(AND(COUNTIF(O83:O94,"FI")&gt;0,COUNTIF(O83:O94,"SI")&gt;0),"","!")</f>
        <v/>
      </c>
      <c r="P95" s="22" t="n"/>
      <c r="Q95" s="22" t="n"/>
      <c r="R95" s="22" t="n"/>
      <c r="S95" s="23">
        <f>IF(AND(COUNTIF(S83:S94,"FI")&gt;0,COUNTIF(S83:S94,"SI")&gt;0,COUNTIF(S83:S94,"NI")&gt;0),"","!")</f>
        <v/>
      </c>
      <c r="T95" s="23">
        <f>IF(AND(COUNTIF(T83:T94,"FI")&gt;0,COUNTIF(T83:T94,"SI")&gt;0,COUNTIF(T83:T94,"NI")&gt;0),"","!")</f>
        <v/>
      </c>
      <c r="U95" s="23">
        <f>IF(AND(COUNTIF(U83:U94,"FI")&gt;0,COUNTIF(U83:U94,"SI")&gt;0,COUNTIF(U83:U94,"NI")&gt;0),"","!")</f>
        <v/>
      </c>
      <c r="V95" s="23">
        <f>IF(AND(COUNTIF(V83:V94,"FI")&gt;0,COUNTIF(V83:V94,"SI")&gt;0),"","!")</f>
        <v/>
      </c>
      <c r="W95" s="22" t="n"/>
      <c r="X95" s="22" t="n"/>
      <c r="Y95" s="23">
        <f>IF(AND(COUNTIF(Y83:Y94,"FI")&gt;0,COUNTIF(Y83:Y94,"SI")&gt;0,COUNTIF(Y83:Y94,"NI")&gt;0),"","!")</f>
        <v/>
      </c>
      <c r="Z95" s="23">
        <f>IF(AND(COUNTIF(Z83:Z94,"FI")&gt;0,COUNTIF(Z83:Z94,"SI")&gt;0,COUNTIF(Z83:Z94,"NI")&gt;0),"","!")</f>
        <v/>
      </c>
      <c r="AA95" s="23">
        <f>IF(AND(COUNTIF(AA83:AA94,"FI")&gt;0,COUNTIF(AA83:AA94,"SI")&gt;0,COUNTIF(AA83:AA94,"NI")&gt;0),"","!")</f>
        <v/>
      </c>
      <c r="AB95" s="22" t="n"/>
      <c r="AC95" s="23">
        <f>IF(AND(COUNTIF(AC83:AC94,"FI")&gt;0,COUNTIF(AC83:AC94,"SI")&gt;0),"","!")</f>
        <v/>
      </c>
      <c r="AD95" s="22" t="n"/>
      <c r="AE95" s="22" t="n"/>
      <c r="AF95" s="31">
        <f>IF(AND(COUNTIF(AF83:AF94,"FI")&gt;0,COUNTIF(AF83:AF94,"SI")&gt;0,COUNTIF(AF83:AF94,"NI")&gt;0),"","!")</f>
        <v/>
      </c>
    </row>
    <row r="97" ht="20" customHeight="1">
      <c r="A97" s="2" t="inlineStr">
        <is>
          <t>Juni</t>
        </is>
      </c>
    </row>
    <row r="98" ht="15" customHeight="1">
      <c r="A98" s="3" t="inlineStr">
        <is>
          <t>KW</t>
        </is>
      </c>
      <c r="B98" s="6" t="n">
        <v>22</v>
      </c>
      <c r="C98" s="7" t="n"/>
      <c r="D98" s="7" t="n"/>
      <c r="E98" s="7" t="n"/>
      <c r="F98" s="5" t="n"/>
      <c r="G98" s="5" t="n"/>
      <c r="H98" s="6" t="n">
        <v>23</v>
      </c>
      <c r="I98" s="7" t="n"/>
      <c r="J98" s="7" t="n"/>
      <c r="K98" s="7" t="n"/>
      <c r="L98" s="7" t="n"/>
      <c r="M98" s="5" t="n"/>
      <c r="N98" s="5" t="n"/>
      <c r="O98" s="6" t="n">
        <v>24</v>
      </c>
      <c r="P98" s="7" t="n"/>
      <c r="Q98" s="7" t="n"/>
      <c r="R98" s="7" t="n"/>
      <c r="S98" s="7" t="n"/>
      <c r="T98" s="5" t="n"/>
      <c r="U98" s="5" t="n"/>
      <c r="V98" s="6" t="n">
        <v>25</v>
      </c>
      <c r="W98" s="7" t="n"/>
      <c r="X98" s="7" t="n"/>
      <c r="Y98" s="7" t="n"/>
      <c r="Z98" s="7" t="n"/>
      <c r="AA98" s="5" t="n"/>
      <c r="AB98" s="5" t="n"/>
      <c r="AC98" s="6" t="n">
        <v>26</v>
      </c>
      <c r="AD98" s="7" t="n"/>
      <c r="AE98" s="26" t="n"/>
    </row>
    <row r="99" ht="18" customHeight="1">
      <c r="A99" s="9" t="inlineStr">
        <is>
          <t>Tag</t>
        </is>
      </c>
      <c r="B99" s="11" t="n">
        <v>1</v>
      </c>
      <c r="C99" s="11" t="n">
        <v>2</v>
      </c>
      <c r="D99" s="11" t="n">
        <v>3</v>
      </c>
      <c r="E99" s="11" t="n">
        <v>4</v>
      </c>
      <c r="F99" s="10" t="n">
        <v>5</v>
      </c>
      <c r="G99" s="10" t="n">
        <v>6</v>
      </c>
      <c r="H99" s="11" t="n">
        <v>7</v>
      </c>
      <c r="I99" s="11" t="n">
        <v>8</v>
      </c>
      <c r="J99" s="11" t="n">
        <v>9</v>
      </c>
      <c r="K99" s="11" t="n">
        <v>10</v>
      </c>
      <c r="L99" s="11" t="n">
        <v>11</v>
      </c>
      <c r="M99" s="10" t="n">
        <v>12</v>
      </c>
      <c r="N99" s="10" t="n">
        <v>13</v>
      </c>
      <c r="O99" s="11" t="n">
        <v>14</v>
      </c>
      <c r="P99" s="11" t="n">
        <v>15</v>
      </c>
      <c r="Q99" s="11" t="n">
        <v>16</v>
      </c>
      <c r="R99" s="11" t="n">
        <v>17</v>
      </c>
      <c r="S99" s="11" t="n">
        <v>18</v>
      </c>
      <c r="T99" s="10" t="n">
        <v>19</v>
      </c>
      <c r="U99" s="10" t="n">
        <v>20</v>
      </c>
      <c r="V99" s="11" t="n">
        <v>21</v>
      </c>
      <c r="W99" s="11" t="n">
        <v>22</v>
      </c>
      <c r="X99" s="11" t="n">
        <v>23</v>
      </c>
      <c r="Y99" s="11" t="n">
        <v>24</v>
      </c>
      <c r="Z99" s="11" t="n">
        <v>25</v>
      </c>
      <c r="AA99" s="10" t="n">
        <v>26</v>
      </c>
      <c r="AB99" s="10" t="n">
        <v>27</v>
      </c>
      <c r="AC99" s="11" t="n">
        <v>28</v>
      </c>
      <c r="AD99" s="11" t="n">
        <v>29</v>
      </c>
      <c r="AE99" s="27" t="n">
        <v>30</v>
      </c>
    </row>
    <row r="100" ht="18" customHeight="1">
      <c r="A100" s="9" t="inlineStr">
        <is>
          <t>WT</t>
        </is>
      </c>
      <c r="B100" s="14" t="inlineStr">
        <is>
          <t>Di</t>
        </is>
      </c>
      <c r="C100" s="14" t="inlineStr">
        <is>
          <t>Mi</t>
        </is>
      </c>
      <c r="D100" s="14" t="inlineStr">
        <is>
          <t>Do</t>
        </is>
      </c>
      <c r="E100" s="14" t="inlineStr">
        <is>
          <t>Fr</t>
        </is>
      </c>
      <c r="F100" s="13" t="inlineStr">
        <is>
          <t>Sa</t>
        </is>
      </c>
      <c r="G100" s="13" t="inlineStr">
        <is>
          <t>So</t>
        </is>
      </c>
      <c r="H100" s="14" t="inlineStr">
        <is>
          <t>Mo</t>
        </is>
      </c>
      <c r="I100" s="14" t="inlineStr">
        <is>
          <t>Di</t>
        </is>
      </c>
      <c r="J100" s="14" t="inlineStr">
        <is>
          <t>Mi</t>
        </is>
      </c>
      <c r="K100" s="14" t="inlineStr">
        <is>
          <t>Do</t>
        </is>
      </c>
      <c r="L100" s="14" t="inlineStr">
        <is>
          <t>Fr</t>
        </is>
      </c>
      <c r="M100" s="13" t="inlineStr">
        <is>
          <t>Sa</t>
        </is>
      </c>
      <c r="N100" s="13" t="inlineStr">
        <is>
          <t>So</t>
        </is>
      </c>
      <c r="O100" s="14" t="inlineStr">
        <is>
          <t>Mo</t>
        </is>
      </c>
      <c r="P100" s="14" t="inlineStr">
        <is>
          <t>Di</t>
        </is>
      </c>
      <c r="Q100" s="14" t="inlineStr">
        <is>
          <t>Mi</t>
        </is>
      </c>
      <c r="R100" s="14" t="inlineStr">
        <is>
          <t>Do</t>
        </is>
      </c>
      <c r="S100" s="14" t="inlineStr">
        <is>
          <t>Fr</t>
        </is>
      </c>
      <c r="T100" s="13" t="inlineStr">
        <is>
          <t>Sa</t>
        </is>
      </c>
      <c r="U100" s="13" t="inlineStr">
        <is>
          <t>So</t>
        </is>
      </c>
      <c r="V100" s="14" t="inlineStr">
        <is>
          <t>Mo</t>
        </is>
      </c>
      <c r="W100" s="14" t="inlineStr">
        <is>
          <t>Di</t>
        </is>
      </c>
      <c r="X100" s="14" t="inlineStr">
        <is>
          <t>Mi</t>
        </is>
      </c>
      <c r="Y100" s="14" t="inlineStr">
        <is>
          <t>Do</t>
        </is>
      </c>
      <c r="Z100" s="14" t="inlineStr">
        <is>
          <t>Fr</t>
        </is>
      </c>
      <c r="AA100" s="13" t="inlineStr">
        <is>
          <t>Sa</t>
        </is>
      </c>
      <c r="AB100" s="13" t="inlineStr">
        <is>
          <t>So</t>
        </is>
      </c>
      <c r="AC100" s="14" t="inlineStr">
        <is>
          <t>Mo</t>
        </is>
      </c>
      <c r="AD100" s="14" t="inlineStr">
        <is>
          <t>Di</t>
        </is>
      </c>
      <c r="AE100" s="28" t="inlineStr">
        <is>
          <t>Mi</t>
        </is>
      </c>
    </row>
    <row r="101" ht="16" customHeight="1">
      <c r="A101" s="16" t="inlineStr">
        <is>
          <t>Breig</t>
        </is>
      </c>
      <c r="B101" s="18" t="n"/>
      <c r="C101" s="18" t="n"/>
      <c r="D101" s="18" t="n"/>
      <c r="E101" s="18" t="n"/>
      <c r="F101" s="17" t="n"/>
      <c r="G101" s="17" t="n"/>
      <c r="H101" s="18" t="n"/>
      <c r="I101" s="18" t="n"/>
      <c r="J101" s="18" t="n"/>
      <c r="K101" s="18" t="n"/>
      <c r="L101" s="18" t="n"/>
      <c r="M101" s="17" t="n"/>
      <c r="N101" s="17" t="n"/>
      <c r="O101" s="18" t="n"/>
      <c r="P101" s="18" t="n"/>
      <c r="Q101" s="18" t="n"/>
      <c r="R101" s="18" t="n"/>
      <c r="S101" s="18" t="n"/>
      <c r="T101" s="17" t="n"/>
      <c r="U101" s="17" t="n"/>
      <c r="V101" s="18" t="n"/>
      <c r="W101" s="18" t="n"/>
      <c r="X101" s="18" t="n"/>
      <c r="Y101" s="18" t="n"/>
      <c r="Z101" s="18" t="n"/>
      <c r="AA101" s="17" t="n"/>
      <c r="AB101" s="17" t="n"/>
      <c r="AC101" s="18" t="n"/>
      <c r="AD101" s="18" t="n"/>
      <c r="AE101" s="29" t="n"/>
    </row>
    <row r="102" ht="16" customHeight="1">
      <c r="A102" s="16" t="inlineStr">
        <is>
          <t>Siebert</t>
        </is>
      </c>
      <c r="B102" s="20" t="n"/>
      <c r="C102" s="20" t="n"/>
      <c r="D102" s="20" t="n"/>
      <c r="E102" s="20" t="n"/>
      <c r="F102" s="17" t="n"/>
      <c r="G102" s="17" t="n"/>
      <c r="H102" s="20" t="n"/>
      <c r="I102" s="20" t="n"/>
      <c r="J102" s="20" t="n"/>
      <c r="K102" s="20" t="n"/>
      <c r="L102" s="20" t="n"/>
      <c r="M102" s="17" t="n"/>
      <c r="N102" s="17" t="n"/>
      <c r="O102" s="20" t="n"/>
      <c r="P102" s="20" t="n"/>
      <c r="Q102" s="20" t="n"/>
      <c r="R102" s="20" t="n"/>
      <c r="S102" s="20" t="n"/>
      <c r="T102" s="17" t="n"/>
      <c r="U102" s="17" t="n"/>
      <c r="V102" s="20" t="n"/>
      <c r="W102" s="20" t="n"/>
      <c r="X102" s="20" t="n"/>
      <c r="Y102" s="20" t="n"/>
      <c r="Z102" s="20" t="n"/>
      <c r="AA102" s="17" t="n"/>
      <c r="AB102" s="17" t="n"/>
      <c r="AC102" s="20" t="n"/>
      <c r="AD102" s="20" t="n"/>
      <c r="AE102" s="30" t="n"/>
    </row>
    <row r="103" ht="16" customHeight="1">
      <c r="A103" s="16" t="inlineStr">
        <is>
          <t>Jochim</t>
        </is>
      </c>
      <c r="B103" s="18" t="n"/>
      <c r="C103" s="18" t="n"/>
      <c r="D103" s="18" t="n"/>
      <c r="E103" s="18" t="n"/>
      <c r="F103" s="17" t="n"/>
      <c r="G103" s="17" t="n"/>
      <c r="H103" s="18" t="n"/>
      <c r="I103" s="18" t="n"/>
      <c r="J103" s="18" t="n"/>
      <c r="K103" s="18" t="n"/>
      <c r="L103" s="18" t="n"/>
      <c r="M103" s="17" t="n"/>
      <c r="N103" s="17" t="n"/>
      <c r="O103" s="18" t="n"/>
      <c r="P103" s="18" t="n"/>
      <c r="Q103" s="18" t="n"/>
      <c r="R103" s="18" t="n"/>
      <c r="S103" s="18" t="n"/>
      <c r="T103" s="17" t="n"/>
      <c r="U103" s="17" t="n"/>
      <c r="V103" s="18" t="n"/>
      <c r="W103" s="18" t="n"/>
      <c r="X103" s="18" t="n"/>
      <c r="Y103" s="18" t="n"/>
      <c r="Z103" s="18" t="n"/>
      <c r="AA103" s="17" t="n"/>
      <c r="AB103" s="17" t="n"/>
      <c r="AC103" s="18" t="n"/>
      <c r="AD103" s="18" t="n"/>
      <c r="AE103" s="29" t="n"/>
    </row>
    <row r="104" ht="16" customHeight="1">
      <c r="A104" s="16" t="inlineStr">
        <is>
          <t>Wunsch</t>
        </is>
      </c>
      <c r="B104" s="20" t="n"/>
      <c r="C104" s="20" t="n"/>
      <c r="D104" s="20" t="n"/>
      <c r="E104" s="20" t="n"/>
      <c r="F104" s="17" t="n"/>
      <c r="G104" s="17" t="n"/>
      <c r="H104" s="20" t="n"/>
      <c r="I104" s="20" t="n"/>
      <c r="J104" s="20" t="n"/>
      <c r="K104" s="20" t="n"/>
      <c r="L104" s="20" t="n"/>
      <c r="M104" s="17" t="n"/>
      <c r="N104" s="17" t="n"/>
      <c r="O104" s="20" t="n"/>
      <c r="P104" s="20" t="n"/>
      <c r="Q104" s="20" t="n"/>
      <c r="R104" s="20" t="n"/>
      <c r="S104" s="20" t="n"/>
      <c r="T104" s="17" t="n"/>
      <c r="U104" s="17" t="n"/>
      <c r="V104" s="20" t="n"/>
      <c r="W104" s="20" t="n"/>
      <c r="X104" s="20" t="n"/>
      <c r="Y104" s="20" t="n"/>
      <c r="Z104" s="20" t="n"/>
      <c r="AA104" s="17" t="n"/>
      <c r="AB104" s="17" t="n"/>
      <c r="AC104" s="20" t="n"/>
      <c r="AD104" s="20" t="n"/>
      <c r="AE104" s="30" t="n"/>
    </row>
    <row r="105" ht="16" customHeight="1">
      <c r="A105" s="16" t="inlineStr">
        <is>
          <t>Göpfrich</t>
        </is>
      </c>
      <c r="B105" s="18" t="n"/>
      <c r="C105" s="18" t="n"/>
      <c r="D105" s="18" t="n"/>
      <c r="E105" s="18" t="n"/>
      <c r="F105" s="17" t="n"/>
      <c r="G105" s="17" t="n"/>
      <c r="H105" s="18" t="n"/>
      <c r="I105" s="18" t="n"/>
      <c r="J105" s="18" t="n"/>
      <c r="K105" s="18" t="n"/>
      <c r="L105" s="18" t="n"/>
      <c r="M105" s="17" t="n"/>
      <c r="N105" s="17" t="n"/>
      <c r="O105" s="18" t="n"/>
      <c r="P105" s="18" t="n"/>
      <c r="Q105" s="18" t="n"/>
      <c r="R105" s="18" t="n"/>
      <c r="S105" s="18" t="n"/>
      <c r="T105" s="17" t="n"/>
      <c r="U105" s="17" t="n"/>
      <c r="V105" s="18" t="n"/>
      <c r="W105" s="18" t="n"/>
      <c r="X105" s="18" t="n"/>
      <c r="Y105" s="18" t="n"/>
      <c r="Z105" s="18" t="n"/>
      <c r="AA105" s="17" t="n"/>
      <c r="AB105" s="17" t="n"/>
      <c r="AC105" s="18" t="n"/>
      <c r="AD105" s="18" t="n"/>
      <c r="AE105" s="29" t="n"/>
    </row>
    <row r="106" ht="16" customHeight="1">
      <c r="A106" s="16" t="inlineStr">
        <is>
          <t>Zeller</t>
        </is>
      </c>
      <c r="B106" s="20" t="n"/>
      <c r="C106" s="20" t="n"/>
      <c r="D106" s="20" t="n"/>
      <c r="E106" s="20" t="n"/>
      <c r="F106" s="17" t="n"/>
      <c r="G106" s="17" t="n"/>
      <c r="H106" s="20" t="n"/>
      <c r="I106" s="20" t="n"/>
      <c r="J106" s="20" t="n"/>
      <c r="K106" s="20" t="n"/>
      <c r="L106" s="20" t="n"/>
      <c r="M106" s="17" t="n"/>
      <c r="N106" s="17" t="n"/>
      <c r="O106" s="20" t="n"/>
      <c r="P106" s="20" t="n"/>
      <c r="Q106" s="20" t="n"/>
      <c r="R106" s="20" t="n"/>
      <c r="S106" s="20" t="n"/>
      <c r="T106" s="17" t="n"/>
      <c r="U106" s="17" t="n"/>
      <c r="V106" s="20" t="n"/>
      <c r="W106" s="20" t="n"/>
      <c r="X106" s="20" t="n"/>
      <c r="Y106" s="20" t="n"/>
      <c r="Z106" s="20" t="n"/>
      <c r="AA106" s="17" t="n"/>
      <c r="AB106" s="17" t="n"/>
      <c r="AC106" s="20" t="n"/>
      <c r="AD106" s="20" t="n"/>
      <c r="AE106" s="30" t="n"/>
    </row>
    <row r="107" ht="16" customHeight="1">
      <c r="A107" s="16" t="inlineStr">
        <is>
          <t>Behrendt</t>
        </is>
      </c>
      <c r="B107" s="18" t="n"/>
      <c r="C107" s="18" t="n"/>
      <c r="D107" s="18" t="n"/>
      <c r="E107" s="18" t="n"/>
      <c r="F107" s="17" t="n"/>
      <c r="G107" s="17" t="n"/>
      <c r="H107" s="18" t="n"/>
      <c r="I107" s="18" t="n"/>
      <c r="J107" s="18" t="n"/>
      <c r="K107" s="18" t="n"/>
      <c r="L107" s="18" t="n"/>
      <c r="M107" s="17" t="n"/>
      <c r="N107" s="17" t="n"/>
      <c r="O107" s="18" t="n"/>
      <c r="P107" s="18" t="n"/>
      <c r="Q107" s="18" t="n"/>
      <c r="R107" s="18" t="n"/>
      <c r="S107" s="18" t="n"/>
      <c r="T107" s="17" t="n"/>
      <c r="U107" s="17" t="n"/>
      <c r="V107" s="18" t="n"/>
      <c r="W107" s="18" t="n"/>
      <c r="X107" s="18" t="n"/>
      <c r="Y107" s="18" t="n"/>
      <c r="Z107" s="18" t="n"/>
      <c r="AA107" s="17" t="n"/>
      <c r="AB107" s="17" t="n"/>
      <c r="AC107" s="18" t="n"/>
      <c r="AD107" s="18" t="n"/>
      <c r="AE107" s="29" t="n"/>
    </row>
    <row r="108" ht="16" customHeight="1">
      <c r="A108" s="16" t="inlineStr">
        <is>
          <t>Krempl</t>
        </is>
      </c>
      <c r="B108" s="20" t="n"/>
      <c r="C108" s="20" t="n"/>
      <c r="D108" s="20" t="n"/>
      <c r="E108" s="20" t="n"/>
      <c r="F108" s="17" t="n"/>
      <c r="G108" s="17" t="n"/>
      <c r="H108" s="20" t="n"/>
      <c r="I108" s="20" t="n"/>
      <c r="J108" s="20" t="n"/>
      <c r="K108" s="20" t="n"/>
      <c r="L108" s="20" t="n"/>
      <c r="M108" s="17" t="n"/>
      <c r="N108" s="17" t="n"/>
      <c r="O108" s="20" t="n"/>
      <c r="P108" s="20" t="n"/>
      <c r="Q108" s="20" t="n"/>
      <c r="R108" s="20" t="n"/>
      <c r="S108" s="20" t="n"/>
      <c r="T108" s="17" t="n"/>
      <c r="U108" s="17" t="n"/>
      <c r="V108" s="20" t="n"/>
      <c r="W108" s="20" t="n"/>
      <c r="X108" s="20" t="n"/>
      <c r="Y108" s="20" t="n"/>
      <c r="Z108" s="20" t="n"/>
      <c r="AA108" s="17" t="n"/>
      <c r="AB108" s="17" t="n"/>
      <c r="AC108" s="20" t="n"/>
      <c r="AD108" s="20" t="n"/>
      <c r="AE108" s="30" t="n"/>
    </row>
    <row r="109" ht="16" customHeight="1">
      <c r="A109" s="16" t="inlineStr">
        <is>
          <t>Putschler</t>
        </is>
      </c>
      <c r="B109" s="18" t="n"/>
      <c r="C109" s="18" t="n"/>
      <c r="D109" s="18" t="n"/>
      <c r="E109" s="18" t="n"/>
      <c r="F109" s="17" t="n"/>
      <c r="G109" s="17" t="n"/>
      <c r="H109" s="18" t="n"/>
      <c r="I109" s="18" t="n"/>
      <c r="J109" s="18" t="n"/>
      <c r="K109" s="18" t="n"/>
      <c r="L109" s="18" t="n"/>
      <c r="M109" s="17" t="n"/>
      <c r="N109" s="17" t="n"/>
      <c r="O109" s="18" t="n"/>
      <c r="P109" s="18" t="n"/>
      <c r="Q109" s="18" t="n"/>
      <c r="R109" s="18" t="n"/>
      <c r="S109" s="18" t="n"/>
      <c r="T109" s="17" t="n"/>
      <c r="U109" s="17" t="n"/>
      <c r="V109" s="18" t="n"/>
      <c r="W109" s="18" t="n"/>
      <c r="X109" s="18" t="n"/>
      <c r="Y109" s="18" t="n"/>
      <c r="Z109" s="18" t="n"/>
      <c r="AA109" s="17" t="n"/>
      <c r="AB109" s="17" t="n"/>
      <c r="AC109" s="18" t="n"/>
      <c r="AD109" s="18" t="n"/>
      <c r="AE109" s="29" t="n"/>
    </row>
    <row r="110" ht="16" customHeight="1">
      <c r="A110" s="16" t="inlineStr">
        <is>
          <t>Kunz</t>
        </is>
      </c>
      <c r="B110" s="20" t="n"/>
      <c r="C110" s="20" t="n"/>
      <c r="D110" s="20" t="n"/>
      <c r="E110" s="20" t="n"/>
      <c r="F110" s="17" t="n"/>
      <c r="G110" s="17" t="n"/>
      <c r="H110" s="20" t="n"/>
      <c r="I110" s="20" t="n"/>
      <c r="J110" s="20" t="n"/>
      <c r="K110" s="20" t="n"/>
      <c r="L110" s="20" t="n"/>
      <c r="M110" s="17" t="n"/>
      <c r="N110" s="17" t="n"/>
      <c r="O110" s="20" t="n"/>
      <c r="P110" s="20" t="n"/>
      <c r="Q110" s="20" t="n"/>
      <c r="R110" s="20" t="n"/>
      <c r="S110" s="20" t="n"/>
      <c r="T110" s="17" t="n"/>
      <c r="U110" s="17" t="n"/>
      <c r="V110" s="20" t="n"/>
      <c r="W110" s="20" t="n"/>
      <c r="X110" s="20" t="n"/>
      <c r="Y110" s="20" t="n"/>
      <c r="Z110" s="20" t="n"/>
      <c r="AA110" s="17" t="n"/>
      <c r="AB110" s="17" t="n"/>
      <c r="AC110" s="20" t="n"/>
      <c r="AD110" s="20" t="n"/>
      <c r="AE110" s="30" t="n"/>
    </row>
    <row r="111" ht="16" customHeight="1">
      <c r="A111" s="16" t="inlineStr">
        <is>
          <t>Schmidt</t>
        </is>
      </c>
      <c r="B111" s="18" t="n"/>
      <c r="C111" s="18" t="n"/>
      <c r="D111" s="18" t="n"/>
      <c r="E111" s="18" t="n"/>
      <c r="F111" s="17" t="n"/>
      <c r="G111" s="17" t="n"/>
      <c r="H111" s="18" t="n"/>
      <c r="I111" s="18" t="n"/>
      <c r="J111" s="18" t="n"/>
      <c r="K111" s="18" t="n"/>
      <c r="L111" s="18" t="n"/>
      <c r="M111" s="17" t="n"/>
      <c r="N111" s="17" t="n"/>
      <c r="O111" s="18" t="n"/>
      <c r="P111" s="18" t="n"/>
      <c r="Q111" s="18" t="n"/>
      <c r="R111" s="18" t="n"/>
      <c r="S111" s="18" t="n"/>
      <c r="T111" s="17" t="n"/>
      <c r="U111" s="17" t="n"/>
      <c r="V111" s="18" t="n"/>
      <c r="W111" s="18" t="n"/>
      <c r="X111" s="18" t="n"/>
      <c r="Y111" s="18" t="n"/>
      <c r="Z111" s="18" t="n"/>
      <c r="AA111" s="17" t="n"/>
      <c r="AB111" s="17" t="n"/>
      <c r="AC111" s="18" t="n"/>
      <c r="AD111" s="18" t="n"/>
      <c r="AE111" s="29" t="n"/>
    </row>
    <row r="112" ht="16" customHeight="1">
      <c r="A112" s="16" t="inlineStr">
        <is>
          <t>Radimersky</t>
        </is>
      </c>
      <c r="B112" s="20" t="n"/>
      <c r="C112" s="20" t="n"/>
      <c r="D112" s="20" t="n"/>
      <c r="E112" s="20" t="n"/>
      <c r="F112" s="17" t="n"/>
      <c r="G112" s="17" t="n"/>
      <c r="H112" s="20" t="n"/>
      <c r="I112" s="20" t="n"/>
      <c r="J112" s="20" t="n"/>
      <c r="K112" s="20" t="n"/>
      <c r="L112" s="20" t="n"/>
      <c r="M112" s="17" t="n"/>
      <c r="N112" s="17" t="n"/>
      <c r="O112" s="20" t="n"/>
      <c r="P112" s="20" t="n"/>
      <c r="Q112" s="20" t="n"/>
      <c r="R112" s="20" t="n"/>
      <c r="S112" s="20" t="n"/>
      <c r="T112" s="17" t="n"/>
      <c r="U112" s="17" t="n"/>
      <c r="V112" s="20" t="n"/>
      <c r="W112" s="20" t="n"/>
      <c r="X112" s="20" t="n"/>
      <c r="Y112" s="20" t="n"/>
      <c r="Z112" s="20" t="n"/>
      <c r="AA112" s="17" t="n"/>
      <c r="AB112" s="17" t="n"/>
      <c r="AC112" s="20" t="n"/>
      <c r="AD112" s="20" t="n"/>
      <c r="AE112" s="30" t="n"/>
    </row>
    <row r="113" ht="15" customHeight="1">
      <c r="A113" s="21" t="inlineStr">
        <is>
          <t>Besetzung</t>
        </is>
      </c>
      <c r="B113" s="23">
        <f>IF(AND(COUNTIF(B101:B112,"FI")&gt;0,COUNTIF(B101:B112,"SI")&gt;0,COUNTIF(B101:B112,"NI")&gt;0),"","!")</f>
        <v/>
      </c>
      <c r="C113" s="23">
        <f>IF(AND(COUNTIF(C101:C112,"FI")&gt;0,COUNTIF(C101:C112,"SI")&gt;0,COUNTIF(C101:C112,"NI")&gt;0),"","!")</f>
        <v/>
      </c>
      <c r="D113" s="23">
        <f>IF(AND(COUNTIF(D101:D112,"FI")&gt;0,COUNTIF(D101:D112,"SI")&gt;0,COUNTIF(D101:D112,"NI")&gt;0),"","!")</f>
        <v/>
      </c>
      <c r="E113" s="23">
        <f>IF(AND(COUNTIF(E101:E112,"FI")&gt;0,COUNTIF(E101:E112,"SI")&gt;0),"","!")</f>
        <v/>
      </c>
      <c r="F113" s="22" t="n"/>
      <c r="G113" s="22" t="n"/>
      <c r="H113" s="23">
        <f>IF(AND(COUNTIF(H101:H112,"FI")&gt;0,COUNTIF(H101:H112,"SI")&gt;0,COUNTIF(H101:H112,"NI")&gt;0),"","!")</f>
        <v/>
      </c>
      <c r="I113" s="23">
        <f>IF(AND(COUNTIF(I101:I112,"FI")&gt;0,COUNTIF(I101:I112,"SI")&gt;0,COUNTIF(I101:I112,"NI")&gt;0),"","!")</f>
        <v/>
      </c>
      <c r="J113" s="23">
        <f>IF(AND(COUNTIF(J101:J112,"FI")&gt;0,COUNTIF(J101:J112,"SI")&gt;0,COUNTIF(J101:J112,"NI")&gt;0),"","!")</f>
        <v/>
      </c>
      <c r="K113" s="23">
        <f>IF(AND(COUNTIF(K101:K112,"FI")&gt;0,COUNTIF(K101:K112,"SI")&gt;0,COUNTIF(K101:K112,"NI")&gt;0),"","!")</f>
        <v/>
      </c>
      <c r="L113" s="23">
        <f>IF(AND(COUNTIF(L101:L112,"FI")&gt;0,COUNTIF(L101:L112,"SI")&gt;0),"","!")</f>
        <v/>
      </c>
      <c r="M113" s="22" t="n"/>
      <c r="N113" s="22" t="n"/>
      <c r="O113" s="23">
        <f>IF(AND(COUNTIF(O101:O112,"FI")&gt;0,COUNTIF(O101:O112,"SI")&gt;0,COUNTIF(O101:O112,"NI")&gt;0),"","!")</f>
        <v/>
      </c>
      <c r="P113" s="23">
        <f>IF(AND(COUNTIF(P101:P112,"FI")&gt;0,COUNTIF(P101:P112,"SI")&gt;0,COUNTIF(P101:P112,"NI")&gt;0),"","!")</f>
        <v/>
      </c>
      <c r="Q113" s="23">
        <f>IF(AND(COUNTIF(Q101:Q112,"FI")&gt;0,COUNTIF(Q101:Q112,"SI")&gt;0,COUNTIF(Q101:Q112,"NI")&gt;0),"","!")</f>
        <v/>
      </c>
      <c r="R113" s="23">
        <f>IF(AND(COUNTIF(R101:R112,"FI")&gt;0,COUNTIF(R101:R112,"SI")&gt;0,COUNTIF(R101:R112,"NI")&gt;0),"","!")</f>
        <v/>
      </c>
      <c r="S113" s="23">
        <f>IF(AND(COUNTIF(S101:S112,"FI")&gt;0,COUNTIF(S101:S112,"SI")&gt;0),"","!")</f>
        <v/>
      </c>
      <c r="T113" s="22" t="n"/>
      <c r="U113" s="22" t="n"/>
      <c r="V113" s="23">
        <f>IF(AND(COUNTIF(V101:V112,"FI")&gt;0,COUNTIF(V101:V112,"SI")&gt;0,COUNTIF(V101:V112,"NI")&gt;0),"","!")</f>
        <v/>
      </c>
      <c r="W113" s="23">
        <f>IF(AND(COUNTIF(W101:W112,"FI")&gt;0,COUNTIF(W101:W112,"SI")&gt;0,COUNTIF(W101:W112,"NI")&gt;0),"","!")</f>
        <v/>
      </c>
      <c r="X113" s="23">
        <f>IF(AND(COUNTIF(X101:X112,"FI")&gt;0,COUNTIF(X101:X112,"SI")&gt;0,COUNTIF(X101:X112,"NI")&gt;0),"","!")</f>
        <v/>
      </c>
      <c r="Y113" s="23">
        <f>IF(AND(COUNTIF(Y101:Y112,"FI")&gt;0,COUNTIF(Y101:Y112,"SI")&gt;0,COUNTIF(Y101:Y112,"NI")&gt;0),"","!")</f>
        <v/>
      </c>
      <c r="Z113" s="23">
        <f>IF(AND(COUNTIF(Z101:Z112,"FI")&gt;0,COUNTIF(Z101:Z112,"SI")&gt;0),"","!")</f>
        <v/>
      </c>
      <c r="AA113" s="22" t="n"/>
      <c r="AB113" s="22" t="n"/>
      <c r="AC113" s="23">
        <f>IF(AND(COUNTIF(AC101:AC112,"FI")&gt;0,COUNTIF(AC101:AC112,"SI")&gt;0,COUNTIF(AC101:AC112,"NI")&gt;0),"","!")</f>
        <v/>
      </c>
      <c r="AD113" s="23">
        <f>IF(AND(COUNTIF(AD101:AD112,"FI")&gt;0,COUNTIF(AD101:AD112,"SI")&gt;0,COUNTIF(AD101:AD112,"NI")&gt;0),"","!")</f>
        <v/>
      </c>
      <c r="AE113" s="31">
        <f>IF(AND(COUNTIF(AE101:AE112,"FI")&gt;0,COUNTIF(AE101:AE112,"SI")&gt;0,COUNTIF(AE101:AE112,"NI")&gt;0),"","!")</f>
        <v/>
      </c>
    </row>
    <row r="115">
      <c r="AE115" s="25" t="inlineStr">
        <is>
          <t>Sommerferien</t>
        </is>
      </c>
    </row>
    <row r="116" ht="20" customHeight="1">
      <c r="A116" s="2" t="inlineStr">
        <is>
          <t>Juli</t>
        </is>
      </c>
    </row>
    <row r="117" ht="15" customHeight="1">
      <c r="A117" s="3" t="inlineStr">
        <is>
          <t>KW</t>
        </is>
      </c>
      <c r="B117" s="6" t="n">
        <v>26</v>
      </c>
      <c r="C117" s="7" t="n"/>
      <c r="D117" s="5" t="n"/>
      <c r="E117" s="5" t="n"/>
      <c r="F117" s="6" t="n">
        <v>27</v>
      </c>
      <c r="G117" s="7" t="n"/>
      <c r="H117" s="7" t="n"/>
      <c r="I117" s="7" t="n"/>
      <c r="J117" s="7" t="n"/>
      <c r="K117" s="5" t="n"/>
      <c r="L117" s="5" t="n"/>
      <c r="M117" s="6" t="n">
        <v>28</v>
      </c>
      <c r="N117" s="7" t="n"/>
      <c r="O117" s="7" t="n"/>
      <c r="P117" s="7" t="n"/>
      <c r="Q117" s="7" t="n"/>
      <c r="R117" s="5" t="n"/>
      <c r="S117" s="5" t="n"/>
      <c r="T117" s="6" t="n">
        <v>29</v>
      </c>
      <c r="U117" s="7" t="n"/>
      <c r="V117" s="7" t="n"/>
      <c r="W117" s="7" t="n"/>
      <c r="X117" s="7" t="n"/>
      <c r="Y117" s="5" t="n"/>
      <c r="Z117" s="5" t="n"/>
      <c r="AA117" s="6" t="n">
        <v>30</v>
      </c>
      <c r="AB117" s="7" t="n"/>
      <c r="AC117" s="7" t="n"/>
      <c r="AD117" s="7" t="n"/>
      <c r="AE117" s="7" t="n"/>
      <c r="AF117" s="8" t="n"/>
    </row>
    <row r="118" ht="18" customHeight="1">
      <c r="A118" s="9" t="inlineStr">
        <is>
          <t>Tag</t>
        </is>
      </c>
      <c r="B118" s="11" t="n">
        <v>1</v>
      </c>
      <c r="C118" s="11" t="n">
        <v>2</v>
      </c>
      <c r="D118" s="10" t="n">
        <v>3</v>
      </c>
      <c r="E118" s="10" t="n">
        <v>4</v>
      </c>
      <c r="F118" s="11" t="n">
        <v>5</v>
      </c>
      <c r="G118" s="11" t="n">
        <v>6</v>
      </c>
      <c r="H118" s="11" t="n">
        <v>7</v>
      </c>
      <c r="I118" s="11" t="n">
        <v>8</v>
      </c>
      <c r="J118" s="11" t="n">
        <v>9</v>
      </c>
      <c r="K118" s="10" t="n">
        <v>10</v>
      </c>
      <c r="L118" s="10" t="n">
        <v>11</v>
      </c>
      <c r="M118" s="11" t="n">
        <v>12</v>
      </c>
      <c r="N118" s="11" t="n">
        <v>13</v>
      </c>
      <c r="O118" s="11" t="n">
        <v>14</v>
      </c>
      <c r="P118" s="11" t="n">
        <v>15</v>
      </c>
      <c r="Q118" s="11" t="n">
        <v>16</v>
      </c>
      <c r="R118" s="10" t="n">
        <v>17</v>
      </c>
      <c r="S118" s="10" t="n">
        <v>18</v>
      </c>
      <c r="T118" s="11" t="n">
        <v>19</v>
      </c>
      <c r="U118" s="11" t="n">
        <v>20</v>
      </c>
      <c r="V118" s="11" t="n">
        <v>21</v>
      </c>
      <c r="W118" s="11" t="n">
        <v>22</v>
      </c>
      <c r="X118" s="11" t="n">
        <v>23</v>
      </c>
      <c r="Y118" s="10" t="n">
        <v>24</v>
      </c>
      <c r="Z118" s="10" t="n">
        <v>25</v>
      </c>
      <c r="AA118" s="11" t="n">
        <v>26</v>
      </c>
      <c r="AB118" s="11" t="n">
        <v>27</v>
      </c>
      <c r="AC118" s="11" t="n">
        <v>28</v>
      </c>
      <c r="AD118" s="11" t="n">
        <v>29</v>
      </c>
      <c r="AE118" s="11" t="n">
        <v>30</v>
      </c>
      <c r="AF118" s="12" t="n">
        <v>31</v>
      </c>
    </row>
    <row r="119" ht="18" customHeight="1">
      <c r="A119" s="9" t="inlineStr">
        <is>
          <t>WT</t>
        </is>
      </c>
      <c r="B119" s="14" t="inlineStr">
        <is>
          <t>Do</t>
        </is>
      </c>
      <c r="C119" s="14" t="inlineStr">
        <is>
          <t>Fr</t>
        </is>
      </c>
      <c r="D119" s="13" t="inlineStr">
        <is>
          <t>Sa</t>
        </is>
      </c>
      <c r="E119" s="13" t="inlineStr">
        <is>
          <t>So</t>
        </is>
      </c>
      <c r="F119" s="14" t="inlineStr">
        <is>
          <t>Mo</t>
        </is>
      </c>
      <c r="G119" s="14" t="inlineStr">
        <is>
          <t>Di</t>
        </is>
      </c>
      <c r="H119" s="14" t="inlineStr">
        <is>
          <t>Mi</t>
        </is>
      </c>
      <c r="I119" s="14" t="inlineStr">
        <is>
          <t>Do</t>
        </is>
      </c>
      <c r="J119" s="14" t="inlineStr">
        <is>
          <t>Fr</t>
        </is>
      </c>
      <c r="K119" s="13" t="inlineStr">
        <is>
          <t>Sa</t>
        </is>
      </c>
      <c r="L119" s="13" t="inlineStr">
        <is>
          <t>So</t>
        </is>
      </c>
      <c r="M119" s="14" t="inlineStr">
        <is>
          <t>Mo</t>
        </is>
      </c>
      <c r="N119" s="14" t="inlineStr">
        <is>
          <t>Di</t>
        </is>
      </c>
      <c r="O119" s="14" t="inlineStr">
        <is>
          <t>Mi</t>
        </is>
      </c>
      <c r="P119" s="14" t="inlineStr">
        <is>
          <t>Do</t>
        </is>
      </c>
      <c r="Q119" s="14" t="inlineStr">
        <is>
          <t>Fr</t>
        </is>
      </c>
      <c r="R119" s="13" t="inlineStr">
        <is>
          <t>Sa</t>
        </is>
      </c>
      <c r="S119" s="13" t="inlineStr">
        <is>
          <t>So</t>
        </is>
      </c>
      <c r="T119" s="14" t="inlineStr">
        <is>
          <t>Mo</t>
        </is>
      </c>
      <c r="U119" s="14" t="inlineStr">
        <is>
          <t>Di</t>
        </is>
      </c>
      <c r="V119" s="14" t="inlineStr">
        <is>
          <t>Mi</t>
        </is>
      </c>
      <c r="W119" s="14" t="inlineStr">
        <is>
          <t>Do</t>
        </is>
      </c>
      <c r="X119" s="14" t="inlineStr">
        <is>
          <t>Fr</t>
        </is>
      </c>
      <c r="Y119" s="13" t="inlineStr">
        <is>
          <t>Sa</t>
        </is>
      </c>
      <c r="Z119" s="13" t="inlineStr">
        <is>
          <t>So</t>
        </is>
      </c>
      <c r="AA119" s="14" t="inlineStr">
        <is>
          <t>Mo</t>
        </is>
      </c>
      <c r="AB119" s="14" t="inlineStr">
        <is>
          <t>Di</t>
        </is>
      </c>
      <c r="AC119" s="14" t="inlineStr">
        <is>
          <t>Mi</t>
        </is>
      </c>
      <c r="AD119" s="14" t="inlineStr">
        <is>
          <t>Do</t>
        </is>
      </c>
      <c r="AE119" s="14" t="inlineStr">
        <is>
          <t>Fr</t>
        </is>
      </c>
      <c r="AF119" s="15" t="inlineStr">
        <is>
          <t>Sa</t>
        </is>
      </c>
    </row>
    <row r="120" ht="16" customHeight="1">
      <c r="A120" s="16" t="inlineStr">
        <is>
          <t>Breig</t>
        </is>
      </c>
      <c r="B120" s="18" t="n"/>
      <c r="C120" s="18" t="n"/>
      <c r="D120" s="17" t="n"/>
      <c r="E120" s="17" t="n"/>
      <c r="F120" s="18" t="n"/>
      <c r="G120" s="18" t="n"/>
      <c r="H120" s="18" t="n"/>
      <c r="I120" s="18" t="n"/>
      <c r="J120" s="18" t="n"/>
      <c r="K120" s="17" t="n"/>
      <c r="L120" s="17" t="n"/>
      <c r="M120" s="18" t="n"/>
      <c r="N120" s="18" t="n"/>
      <c r="O120" s="18" t="n"/>
      <c r="P120" s="18" t="n"/>
      <c r="Q120" s="18" t="n"/>
      <c r="R120" s="17" t="n"/>
      <c r="S120" s="17" t="n"/>
      <c r="T120" s="18" t="n"/>
      <c r="U120" s="18" t="n"/>
      <c r="V120" s="18" t="n"/>
      <c r="W120" s="18" t="n"/>
      <c r="X120" s="18" t="n"/>
      <c r="Y120" s="17" t="n"/>
      <c r="Z120" s="17" t="n"/>
      <c r="AA120" s="18" t="n"/>
      <c r="AB120" s="18" t="n"/>
      <c r="AC120" s="18" t="n"/>
      <c r="AD120" s="18" t="n"/>
      <c r="AE120" s="18" t="n"/>
      <c r="AF120" s="19" t="n"/>
    </row>
    <row r="121" ht="16" customHeight="1">
      <c r="A121" s="16" t="inlineStr">
        <is>
          <t>Siebert</t>
        </is>
      </c>
      <c r="B121" s="20" t="n"/>
      <c r="C121" s="20" t="n"/>
      <c r="D121" s="17" t="n"/>
      <c r="E121" s="17" t="n"/>
      <c r="F121" s="20" t="n"/>
      <c r="G121" s="20" t="n"/>
      <c r="H121" s="20" t="n"/>
      <c r="I121" s="20" t="n"/>
      <c r="J121" s="20" t="n"/>
      <c r="K121" s="17" t="n"/>
      <c r="L121" s="17" t="n"/>
      <c r="M121" s="20" t="n"/>
      <c r="N121" s="20" t="n"/>
      <c r="O121" s="20" t="n"/>
      <c r="P121" s="20" t="n"/>
      <c r="Q121" s="20" t="n"/>
      <c r="R121" s="17" t="n"/>
      <c r="S121" s="17" t="n"/>
      <c r="T121" s="20" t="n"/>
      <c r="U121" s="20" t="n"/>
      <c r="V121" s="20" t="n"/>
      <c r="W121" s="20" t="n"/>
      <c r="X121" s="20" t="n"/>
      <c r="Y121" s="17" t="n"/>
      <c r="Z121" s="17" t="n"/>
      <c r="AA121" s="20" t="n"/>
      <c r="AB121" s="20" t="n"/>
      <c r="AC121" s="20" t="n"/>
      <c r="AD121" s="20" t="n"/>
      <c r="AE121" s="20" t="n"/>
      <c r="AF121" s="19" t="n"/>
    </row>
    <row r="122" ht="16" customHeight="1">
      <c r="A122" s="16" t="inlineStr">
        <is>
          <t>Jochim</t>
        </is>
      </c>
      <c r="B122" s="18" t="n"/>
      <c r="C122" s="18" t="n"/>
      <c r="D122" s="17" t="n"/>
      <c r="E122" s="17" t="n"/>
      <c r="F122" s="18" t="n"/>
      <c r="G122" s="18" t="n"/>
      <c r="H122" s="18" t="n"/>
      <c r="I122" s="18" t="n"/>
      <c r="J122" s="18" t="n"/>
      <c r="K122" s="17" t="n"/>
      <c r="L122" s="17" t="n"/>
      <c r="M122" s="18" t="n"/>
      <c r="N122" s="18" t="n"/>
      <c r="O122" s="18" t="n"/>
      <c r="P122" s="18" t="n"/>
      <c r="Q122" s="18" t="n"/>
      <c r="R122" s="17" t="n"/>
      <c r="S122" s="17" t="n"/>
      <c r="T122" s="18" t="n"/>
      <c r="U122" s="18" t="n"/>
      <c r="V122" s="18" t="n"/>
      <c r="W122" s="18" t="n"/>
      <c r="X122" s="18" t="n"/>
      <c r="Y122" s="17" t="n"/>
      <c r="Z122" s="17" t="n"/>
      <c r="AA122" s="18" t="n"/>
      <c r="AB122" s="18" t="n"/>
      <c r="AC122" s="18" t="n"/>
      <c r="AD122" s="18" t="n"/>
      <c r="AE122" s="18" t="n"/>
      <c r="AF122" s="19" t="n"/>
    </row>
    <row r="123" ht="16" customHeight="1">
      <c r="A123" s="16" t="inlineStr">
        <is>
          <t>Wunsch</t>
        </is>
      </c>
      <c r="B123" s="20" t="n"/>
      <c r="C123" s="20" t="n"/>
      <c r="D123" s="17" t="n"/>
      <c r="E123" s="17" t="n"/>
      <c r="F123" s="20" t="n"/>
      <c r="G123" s="20" t="n"/>
      <c r="H123" s="20" t="n"/>
      <c r="I123" s="20" t="n"/>
      <c r="J123" s="20" t="n"/>
      <c r="K123" s="17" t="n"/>
      <c r="L123" s="17" t="n"/>
      <c r="M123" s="20" t="n"/>
      <c r="N123" s="20" t="n"/>
      <c r="O123" s="20" t="n"/>
      <c r="P123" s="20" t="n"/>
      <c r="Q123" s="20" t="n"/>
      <c r="R123" s="17" t="n"/>
      <c r="S123" s="17" t="n"/>
      <c r="T123" s="20" t="n"/>
      <c r="U123" s="20" t="n"/>
      <c r="V123" s="20" t="n"/>
      <c r="W123" s="20" t="n"/>
      <c r="X123" s="20" t="n"/>
      <c r="Y123" s="17" t="n"/>
      <c r="Z123" s="17" t="n"/>
      <c r="AA123" s="20" t="n"/>
      <c r="AB123" s="20" t="n"/>
      <c r="AC123" s="20" t="n"/>
      <c r="AD123" s="20" t="n"/>
      <c r="AE123" s="20" t="n"/>
      <c r="AF123" s="19" t="n"/>
    </row>
    <row r="124" ht="16" customHeight="1">
      <c r="A124" s="16" t="inlineStr">
        <is>
          <t>Göpfrich</t>
        </is>
      </c>
      <c r="B124" s="18" t="n"/>
      <c r="C124" s="18" t="n"/>
      <c r="D124" s="17" t="n"/>
      <c r="E124" s="17" t="n"/>
      <c r="F124" s="18" t="n"/>
      <c r="G124" s="18" t="n"/>
      <c r="H124" s="18" t="n"/>
      <c r="I124" s="18" t="n"/>
      <c r="J124" s="18" t="n"/>
      <c r="K124" s="17" t="n"/>
      <c r="L124" s="17" t="n"/>
      <c r="M124" s="18" t="n"/>
      <c r="N124" s="18" t="n"/>
      <c r="O124" s="18" t="n"/>
      <c r="P124" s="18" t="n"/>
      <c r="Q124" s="18" t="n"/>
      <c r="R124" s="17" t="n"/>
      <c r="S124" s="17" t="n"/>
      <c r="T124" s="18" t="n"/>
      <c r="U124" s="18" t="n"/>
      <c r="V124" s="18" t="n"/>
      <c r="W124" s="18" t="n"/>
      <c r="X124" s="18" t="n"/>
      <c r="Y124" s="17" t="n"/>
      <c r="Z124" s="17" t="n"/>
      <c r="AA124" s="18" t="n"/>
      <c r="AB124" s="18" t="n"/>
      <c r="AC124" s="18" t="n"/>
      <c r="AD124" s="18" t="n"/>
      <c r="AE124" s="18" t="n"/>
      <c r="AF124" s="19" t="n"/>
    </row>
    <row r="125" ht="16" customHeight="1">
      <c r="A125" s="16" t="inlineStr">
        <is>
          <t>Zeller</t>
        </is>
      </c>
      <c r="B125" s="20" t="n"/>
      <c r="C125" s="20" t="n"/>
      <c r="D125" s="17" t="n"/>
      <c r="E125" s="17" t="n"/>
      <c r="F125" s="20" t="n"/>
      <c r="G125" s="20" t="n"/>
      <c r="H125" s="20" t="n"/>
      <c r="I125" s="20" t="n"/>
      <c r="J125" s="20" t="n"/>
      <c r="K125" s="17" t="n"/>
      <c r="L125" s="17" t="n"/>
      <c r="M125" s="20" t="n"/>
      <c r="N125" s="20" t="n"/>
      <c r="O125" s="20" t="n"/>
      <c r="P125" s="20" t="n"/>
      <c r="Q125" s="20" t="n"/>
      <c r="R125" s="17" t="n"/>
      <c r="S125" s="17" t="n"/>
      <c r="T125" s="20" t="n"/>
      <c r="U125" s="20" t="n"/>
      <c r="V125" s="20" t="n"/>
      <c r="W125" s="20" t="n"/>
      <c r="X125" s="20" t="n"/>
      <c r="Y125" s="17" t="n"/>
      <c r="Z125" s="17" t="n"/>
      <c r="AA125" s="20" t="n"/>
      <c r="AB125" s="20" t="n"/>
      <c r="AC125" s="20" t="n"/>
      <c r="AD125" s="20" t="n"/>
      <c r="AE125" s="20" t="n"/>
      <c r="AF125" s="19" t="n"/>
    </row>
    <row r="126" ht="16" customHeight="1">
      <c r="A126" s="16" t="inlineStr">
        <is>
          <t>Behrendt</t>
        </is>
      </c>
      <c r="B126" s="18" t="n"/>
      <c r="C126" s="18" t="n"/>
      <c r="D126" s="17" t="n"/>
      <c r="E126" s="17" t="n"/>
      <c r="F126" s="18" t="n"/>
      <c r="G126" s="18" t="n"/>
      <c r="H126" s="18" t="n"/>
      <c r="I126" s="18" t="n"/>
      <c r="J126" s="18" t="n"/>
      <c r="K126" s="17" t="n"/>
      <c r="L126" s="17" t="n"/>
      <c r="M126" s="18" t="n"/>
      <c r="N126" s="18" t="n"/>
      <c r="O126" s="18" t="n"/>
      <c r="P126" s="18" t="n"/>
      <c r="Q126" s="18" t="n"/>
      <c r="R126" s="17" t="n"/>
      <c r="S126" s="17" t="n"/>
      <c r="T126" s="18" t="n"/>
      <c r="U126" s="18" t="n"/>
      <c r="V126" s="18" t="n"/>
      <c r="W126" s="18" t="n"/>
      <c r="X126" s="18" t="n"/>
      <c r="Y126" s="17" t="n"/>
      <c r="Z126" s="17" t="n"/>
      <c r="AA126" s="18" t="n"/>
      <c r="AB126" s="18" t="n"/>
      <c r="AC126" s="18" t="n"/>
      <c r="AD126" s="18" t="n"/>
      <c r="AE126" s="18" t="n"/>
      <c r="AF126" s="19" t="n"/>
    </row>
    <row r="127" ht="16" customHeight="1">
      <c r="A127" s="16" t="inlineStr">
        <is>
          <t>Krempl</t>
        </is>
      </c>
      <c r="B127" s="20" t="n"/>
      <c r="C127" s="20" t="n"/>
      <c r="D127" s="17" t="n"/>
      <c r="E127" s="17" t="n"/>
      <c r="F127" s="20" t="n"/>
      <c r="G127" s="20" t="n"/>
      <c r="H127" s="20" t="n"/>
      <c r="I127" s="20" t="n"/>
      <c r="J127" s="20" t="n"/>
      <c r="K127" s="17" t="n"/>
      <c r="L127" s="17" t="n"/>
      <c r="M127" s="20" t="n"/>
      <c r="N127" s="20" t="n"/>
      <c r="O127" s="20" t="n"/>
      <c r="P127" s="20" t="n"/>
      <c r="Q127" s="20" t="n"/>
      <c r="R127" s="17" t="n"/>
      <c r="S127" s="17" t="n"/>
      <c r="T127" s="20" t="n"/>
      <c r="U127" s="20" t="n"/>
      <c r="V127" s="20" t="n"/>
      <c r="W127" s="20" t="n"/>
      <c r="X127" s="20" t="n"/>
      <c r="Y127" s="17" t="n"/>
      <c r="Z127" s="17" t="n"/>
      <c r="AA127" s="20" t="n"/>
      <c r="AB127" s="20" t="n"/>
      <c r="AC127" s="20" t="n"/>
      <c r="AD127" s="20" t="n"/>
      <c r="AE127" s="20" t="n"/>
      <c r="AF127" s="19" t="n"/>
    </row>
    <row r="128" ht="16" customHeight="1">
      <c r="A128" s="16" t="inlineStr">
        <is>
          <t>Putschler</t>
        </is>
      </c>
      <c r="B128" s="18" t="n"/>
      <c r="C128" s="18" t="n"/>
      <c r="D128" s="17" t="n"/>
      <c r="E128" s="17" t="n"/>
      <c r="F128" s="18" t="n"/>
      <c r="G128" s="18" t="n"/>
      <c r="H128" s="18" t="n"/>
      <c r="I128" s="18" t="n"/>
      <c r="J128" s="18" t="n"/>
      <c r="K128" s="17" t="n"/>
      <c r="L128" s="17" t="n"/>
      <c r="M128" s="18" t="n"/>
      <c r="N128" s="18" t="n"/>
      <c r="O128" s="18" t="n"/>
      <c r="P128" s="18" t="n"/>
      <c r="Q128" s="18" t="n"/>
      <c r="R128" s="17" t="n"/>
      <c r="S128" s="17" t="n"/>
      <c r="T128" s="18" t="n"/>
      <c r="U128" s="18" t="n"/>
      <c r="V128" s="18" t="n"/>
      <c r="W128" s="18" t="n"/>
      <c r="X128" s="18" t="n"/>
      <c r="Y128" s="17" t="n"/>
      <c r="Z128" s="17" t="n"/>
      <c r="AA128" s="18" t="n"/>
      <c r="AB128" s="18" t="n"/>
      <c r="AC128" s="18" t="n"/>
      <c r="AD128" s="18" t="n"/>
      <c r="AE128" s="18" t="n"/>
      <c r="AF128" s="19" t="n"/>
    </row>
    <row r="129" ht="16" customHeight="1">
      <c r="A129" s="16" t="inlineStr">
        <is>
          <t>Kunz</t>
        </is>
      </c>
      <c r="B129" s="20" t="n"/>
      <c r="C129" s="20" t="n"/>
      <c r="D129" s="17" t="n"/>
      <c r="E129" s="17" t="n"/>
      <c r="F129" s="20" t="n"/>
      <c r="G129" s="20" t="n"/>
      <c r="H129" s="20" t="n"/>
      <c r="I129" s="20" t="n"/>
      <c r="J129" s="20" t="n"/>
      <c r="K129" s="17" t="n"/>
      <c r="L129" s="17" t="n"/>
      <c r="M129" s="20" t="n"/>
      <c r="N129" s="20" t="n"/>
      <c r="O129" s="20" t="n"/>
      <c r="P129" s="20" t="n"/>
      <c r="Q129" s="20" t="n"/>
      <c r="R129" s="17" t="n"/>
      <c r="S129" s="17" t="n"/>
      <c r="T129" s="20" t="n"/>
      <c r="U129" s="20" t="n"/>
      <c r="V129" s="20" t="n"/>
      <c r="W129" s="20" t="n"/>
      <c r="X129" s="20" t="n"/>
      <c r="Y129" s="17" t="n"/>
      <c r="Z129" s="17" t="n"/>
      <c r="AA129" s="20" t="n"/>
      <c r="AB129" s="20" t="n"/>
      <c r="AC129" s="20" t="n"/>
      <c r="AD129" s="20" t="n"/>
      <c r="AE129" s="20" t="n"/>
      <c r="AF129" s="19" t="n"/>
    </row>
    <row r="130" ht="16" customHeight="1">
      <c r="A130" s="16" t="inlineStr">
        <is>
          <t>Schmidt</t>
        </is>
      </c>
      <c r="B130" s="18" t="n"/>
      <c r="C130" s="18" t="n"/>
      <c r="D130" s="17" t="n"/>
      <c r="E130" s="17" t="n"/>
      <c r="F130" s="18" t="n"/>
      <c r="G130" s="18" t="n"/>
      <c r="H130" s="18" t="n"/>
      <c r="I130" s="18" t="n"/>
      <c r="J130" s="18" t="n"/>
      <c r="K130" s="17" t="n"/>
      <c r="L130" s="17" t="n"/>
      <c r="M130" s="18" t="n"/>
      <c r="N130" s="18" t="n"/>
      <c r="O130" s="18" t="n"/>
      <c r="P130" s="18" t="n"/>
      <c r="Q130" s="18" t="n"/>
      <c r="R130" s="17" t="n"/>
      <c r="S130" s="17" t="n"/>
      <c r="T130" s="18" t="n"/>
      <c r="U130" s="18" t="n"/>
      <c r="V130" s="18" t="n"/>
      <c r="W130" s="18" t="n"/>
      <c r="X130" s="18" t="n"/>
      <c r="Y130" s="17" t="n"/>
      <c r="Z130" s="17" t="n"/>
      <c r="AA130" s="18" t="n"/>
      <c r="AB130" s="18" t="n"/>
      <c r="AC130" s="18" t="n"/>
      <c r="AD130" s="18" t="n"/>
      <c r="AE130" s="18" t="n"/>
      <c r="AF130" s="19" t="n"/>
    </row>
    <row r="131" ht="16" customHeight="1">
      <c r="A131" s="16" t="inlineStr">
        <is>
          <t>Radimersky</t>
        </is>
      </c>
      <c r="B131" s="20" t="n"/>
      <c r="C131" s="20" t="n"/>
      <c r="D131" s="17" t="n"/>
      <c r="E131" s="17" t="n"/>
      <c r="F131" s="20" t="n"/>
      <c r="G131" s="20" t="n"/>
      <c r="H131" s="20" t="n"/>
      <c r="I131" s="20" t="n"/>
      <c r="J131" s="20" t="n"/>
      <c r="K131" s="17" t="n"/>
      <c r="L131" s="17" t="n"/>
      <c r="M131" s="20" t="n"/>
      <c r="N131" s="20" t="n"/>
      <c r="O131" s="20" t="n"/>
      <c r="P131" s="20" t="n"/>
      <c r="Q131" s="20" t="n"/>
      <c r="R131" s="17" t="n"/>
      <c r="S131" s="17" t="n"/>
      <c r="T131" s="20" t="n"/>
      <c r="U131" s="20" t="n"/>
      <c r="V131" s="20" t="n"/>
      <c r="W131" s="20" t="n"/>
      <c r="X131" s="20" t="n"/>
      <c r="Y131" s="17" t="n"/>
      <c r="Z131" s="17" t="n"/>
      <c r="AA131" s="20" t="n"/>
      <c r="AB131" s="20" t="n"/>
      <c r="AC131" s="20" t="n"/>
      <c r="AD131" s="20" t="n"/>
      <c r="AE131" s="20" t="n"/>
      <c r="AF131" s="19" t="n"/>
    </row>
    <row r="132" ht="15" customHeight="1">
      <c r="A132" s="21" t="inlineStr">
        <is>
          <t>Besetzung</t>
        </is>
      </c>
      <c r="B132" s="23">
        <f>IF(AND(COUNTIF(B120:B131,"FI")&gt;0,COUNTIF(B120:B131,"SI")&gt;0,COUNTIF(B120:B131,"NI")&gt;0),"","!")</f>
        <v/>
      </c>
      <c r="C132" s="23">
        <f>IF(AND(COUNTIF(C120:C131,"FI")&gt;0,COUNTIF(C120:C131,"SI")&gt;0),"","!")</f>
        <v/>
      </c>
      <c r="D132" s="22" t="n"/>
      <c r="E132" s="22" t="n"/>
      <c r="F132" s="23">
        <f>IF(AND(COUNTIF(F120:F131,"FI")&gt;0,COUNTIF(F120:F131,"SI")&gt;0,COUNTIF(F120:F131,"NI")&gt;0),"","!")</f>
        <v/>
      </c>
      <c r="G132" s="23">
        <f>IF(AND(COUNTIF(G120:G131,"FI")&gt;0,COUNTIF(G120:G131,"SI")&gt;0,COUNTIF(G120:G131,"NI")&gt;0),"","!")</f>
        <v/>
      </c>
      <c r="H132" s="23">
        <f>IF(AND(COUNTIF(H120:H131,"FI")&gt;0,COUNTIF(H120:H131,"SI")&gt;0,COUNTIF(H120:H131,"NI")&gt;0),"","!")</f>
        <v/>
      </c>
      <c r="I132" s="23">
        <f>IF(AND(COUNTIF(I120:I131,"FI")&gt;0,COUNTIF(I120:I131,"SI")&gt;0,COUNTIF(I120:I131,"NI")&gt;0),"","!")</f>
        <v/>
      </c>
      <c r="J132" s="23">
        <f>IF(AND(COUNTIF(J120:J131,"FI")&gt;0,COUNTIF(J120:J131,"SI")&gt;0),"","!")</f>
        <v/>
      </c>
      <c r="K132" s="22" t="n"/>
      <c r="L132" s="22" t="n"/>
      <c r="M132" s="23">
        <f>IF(AND(COUNTIF(M120:M131,"FI")&gt;0,COUNTIF(M120:M131,"SI")&gt;0,COUNTIF(M120:M131,"NI")&gt;0),"","!")</f>
        <v/>
      </c>
      <c r="N132" s="23">
        <f>IF(AND(COUNTIF(N120:N131,"FI")&gt;0,COUNTIF(N120:N131,"SI")&gt;0,COUNTIF(N120:N131,"NI")&gt;0),"","!")</f>
        <v/>
      </c>
      <c r="O132" s="23">
        <f>IF(AND(COUNTIF(O120:O131,"FI")&gt;0,COUNTIF(O120:O131,"SI")&gt;0,COUNTIF(O120:O131,"NI")&gt;0),"","!")</f>
        <v/>
      </c>
      <c r="P132" s="23">
        <f>IF(AND(COUNTIF(P120:P131,"FI")&gt;0,COUNTIF(P120:P131,"SI")&gt;0,COUNTIF(P120:P131,"NI")&gt;0),"","!")</f>
        <v/>
      </c>
      <c r="Q132" s="23">
        <f>IF(AND(COUNTIF(Q120:Q131,"FI")&gt;0,COUNTIF(Q120:Q131,"SI")&gt;0),"","!")</f>
        <v/>
      </c>
      <c r="R132" s="22" t="n"/>
      <c r="S132" s="22" t="n"/>
      <c r="T132" s="23">
        <f>IF(AND(COUNTIF(T120:T131,"FI")&gt;0,COUNTIF(T120:T131,"SI")&gt;0,COUNTIF(T120:T131,"NI")&gt;0),"","!")</f>
        <v/>
      </c>
      <c r="U132" s="23">
        <f>IF(AND(COUNTIF(U120:U131,"FI")&gt;0,COUNTIF(U120:U131,"SI")&gt;0,COUNTIF(U120:U131,"NI")&gt;0),"","!")</f>
        <v/>
      </c>
      <c r="V132" s="23">
        <f>IF(AND(COUNTIF(V120:V131,"FI")&gt;0,COUNTIF(V120:V131,"SI")&gt;0,COUNTIF(V120:V131,"NI")&gt;0),"","!")</f>
        <v/>
      </c>
      <c r="W132" s="23">
        <f>IF(AND(COUNTIF(W120:W131,"FI")&gt;0,COUNTIF(W120:W131,"SI")&gt;0,COUNTIF(W120:W131,"NI")&gt;0),"","!")</f>
        <v/>
      </c>
      <c r="X132" s="23">
        <f>IF(AND(COUNTIF(X120:X131,"FI")&gt;0,COUNTIF(X120:X131,"SI")&gt;0),"","!")</f>
        <v/>
      </c>
      <c r="Y132" s="22" t="n"/>
      <c r="Z132" s="22" t="n"/>
      <c r="AA132" s="23">
        <f>IF(AND(COUNTIF(AA120:AA131,"FI")&gt;0,COUNTIF(AA120:AA131,"SI")&gt;0,COUNTIF(AA120:AA131,"NI")&gt;0),"","!")</f>
        <v/>
      </c>
      <c r="AB132" s="23">
        <f>IF(AND(COUNTIF(AB120:AB131,"FI")&gt;0,COUNTIF(AB120:AB131,"SI")&gt;0,COUNTIF(AB120:AB131,"NI")&gt;0),"","!")</f>
        <v/>
      </c>
      <c r="AC132" s="23">
        <f>IF(AND(COUNTIF(AC120:AC131,"FI")&gt;0,COUNTIF(AC120:AC131,"SI")&gt;0,COUNTIF(AC120:AC131,"NI")&gt;0),"","!")</f>
        <v/>
      </c>
      <c r="AD132" s="23">
        <f>IF(AND(COUNTIF(AD120:AD131,"FI")&gt;0,COUNTIF(AD120:AD131,"SI")&gt;0,COUNTIF(AD120:AD131,"NI")&gt;0),"","!")</f>
        <v/>
      </c>
      <c r="AE132" s="23">
        <f>IF(AND(COUNTIF(AE120:AE131,"FI")&gt;0,COUNTIF(AE120:AE131,"SI")&gt;0),"","!")</f>
        <v/>
      </c>
      <c r="AF132" s="24" t="n"/>
    </row>
    <row r="134">
      <c r="B134" s="25" t="inlineStr">
        <is>
          <t>Sommerferien</t>
        </is>
      </c>
    </row>
    <row r="135" ht="20" customHeight="1">
      <c r="A135" s="2" t="inlineStr">
        <is>
          <t>August</t>
        </is>
      </c>
    </row>
    <row r="136" ht="15" customHeight="1">
      <c r="A136" s="3" t="inlineStr">
        <is>
          <t>KW</t>
        </is>
      </c>
      <c r="B136" s="4" t="n">
        <v>30</v>
      </c>
      <c r="C136" s="6" t="n">
        <v>31</v>
      </c>
      <c r="D136" s="7" t="n"/>
      <c r="E136" s="7" t="n"/>
      <c r="F136" s="7" t="n"/>
      <c r="G136" s="7" t="n"/>
      <c r="H136" s="5" t="n"/>
      <c r="I136" s="5" t="n"/>
      <c r="J136" s="6" t="n">
        <v>32</v>
      </c>
      <c r="K136" s="7" t="n"/>
      <c r="L136" s="7" t="n"/>
      <c r="M136" s="7" t="n"/>
      <c r="N136" s="7" t="n"/>
      <c r="O136" s="5" t="n"/>
      <c r="P136" s="5" t="n"/>
      <c r="Q136" s="6" t="n">
        <v>33</v>
      </c>
      <c r="R136" s="7" t="n"/>
      <c r="S136" s="7" t="n"/>
      <c r="T136" s="7" t="n"/>
      <c r="U136" s="7" t="n"/>
      <c r="V136" s="5" t="n"/>
      <c r="W136" s="5" t="n"/>
      <c r="X136" s="6" t="n">
        <v>34</v>
      </c>
      <c r="Y136" s="7" t="n"/>
      <c r="Z136" s="7" t="n"/>
      <c r="AA136" s="7" t="n"/>
      <c r="AB136" s="7" t="n"/>
      <c r="AC136" s="5" t="n"/>
      <c r="AD136" s="5" t="n"/>
      <c r="AE136" s="6" t="n">
        <v>35</v>
      </c>
      <c r="AF136" s="26" t="n"/>
    </row>
    <row r="137" ht="18" customHeight="1">
      <c r="A137" s="9" t="inlineStr">
        <is>
          <t>Tag</t>
        </is>
      </c>
      <c r="B137" s="10" t="n">
        <v>1</v>
      </c>
      <c r="C137" s="11" t="n">
        <v>2</v>
      </c>
      <c r="D137" s="11" t="n">
        <v>3</v>
      </c>
      <c r="E137" s="11" t="n">
        <v>4</v>
      </c>
      <c r="F137" s="11" t="n">
        <v>5</v>
      </c>
      <c r="G137" s="11" t="n">
        <v>6</v>
      </c>
      <c r="H137" s="10" t="n">
        <v>7</v>
      </c>
      <c r="I137" s="10" t="n">
        <v>8</v>
      </c>
      <c r="J137" s="11" t="n">
        <v>9</v>
      </c>
      <c r="K137" s="11" t="n">
        <v>10</v>
      </c>
      <c r="L137" s="11" t="n">
        <v>11</v>
      </c>
      <c r="M137" s="11" t="n">
        <v>12</v>
      </c>
      <c r="N137" s="11" t="n">
        <v>13</v>
      </c>
      <c r="O137" s="10" t="n">
        <v>14</v>
      </c>
      <c r="P137" s="10" t="n">
        <v>15</v>
      </c>
      <c r="Q137" s="11" t="n">
        <v>16</v>
      </c>
      <c r="R137" s="11" t="n">
        <v>17</v>
      </c>
      <c r="S137" s="11" t="n">
        <v>18</v>
      </c>
      <c r="T137" s="11" t="n">
        <v>19</v>
      </c>
      <c r="U137" s="11" t="n">
        <v>20</v>
      </c>
      <c r="V137" s="10" t="n">
        <v>21</v>
      </c>
      <c r="W137" s="10" t="n">
        <v>22</v>
      </c>
      <c r="X137" s="11" t="n">
        <v>23</v>
      </c>
      <c r="Y137" s="11" t="n">
        <v>24</v>
      </c>
      <c r="Z137" s="11" t="n">
        <v>25</v>
      </c>
      <c r="AA137" s="11" t="n">
        <v>26</v>
      </c>
      <c r="AB137" s="11" t="n">
        <v>27</v>
      </c>
      <c r="AC137" s="10" t="n">
        <v>28</v>
      </c>
      <c r="AD137" s="10" t="n">
        <v>29</v>
      </c>
      <c r="AE137" s="11" t="n">
        <v>30</v>
      </c>
      <c r="AF137" s="27" t="n">
        <v>31</v>
      </c>
    </row>
    <row r="138" ht="18" customHeight="1">
      <c r="A138" s="9" t="inlineStr">
        <is>
          <t>WT</t>
        </is>
      </c>
      <c r="B138" s="13" t="inlineStr">
        <is>
          <t>So</t>
        </is>
      </c>
      <c r="C138" s="14" t="inlineStr">
        <is>
          <t>Mo</t>
        </is>
      </c>
      <c r="D138" s="14" t="inlineStr">
        <is>
          <t>Di</t>
        </is>
      </c>
      <c r="E138" s="14" t="inlineStr">
        <is>
          <t>Mi</t>
        </is>
      </c>
      <c r="F138" s="14" t="inlineStr">
        <is>
          <t>Do</t>
        </is>
      </c>
      <c r="G138" s="14" t="inlineStr">
        <is>
          <t>Fr</t>
        </is>
      </c>
      <c r="H138" s="13" t="inlineStr">
        <is>
          <t>Sa</t>
        </is>
      </c>
      <c r="I138" s="13" t="inlineStr">
        <is>
          <t>So</t>
        </is>
      </c>
      <c r="J138" s="14" t="inlineStr">
        <is>
          <t>Mo</t>
        </is>
      </c>
      <c r="K138" s="14" t="inlineStr">
        <is>
          <t>Di</t>
        </is>
      </c>
      <c r="L138" s="14" t="inlineStr">
        <is>
          <t>Mi</t>
        </is>
      </c>
      <c r="M138" s="14" t="inlineStr">
        <is>
          <t>Do</t>
        </is>
      </c>
      <c r="N138" s="14" t="inlineStr">
        <is>
          <t>Fr</t>
        </is>
      </c>
      <c r="O138" s="13" t="inlineStr">
        <is>
          <t>Sa</t>
        </is>
      </c>
      <c r="P138" s="13" t="inlineStr">
        <is>
          <t>So</t>
        </is>
      </c>
      <c r="Q138" s="14" t="inlineStr">
        <is>
          <t>Mo</t>
        </is>
      </c>
      <c r="R138" s="14" t="inlineStr">
        <is>
          <t>Di</t>
        </is>
      </c>
      <c r="S138" s="14" t="inlineStr">
        <is>
          <t>Mi</t>
        </is>
      </c>
      <c r="T138" s="14" t="inlineStr">
        <is>
          <t>Do</t>
        </is>
      </c>
      <c r="U138" s="14" t="inlineStr">
        <is>
          <t>Fr</t>
        </is>
      </c>
      <c r="V138" s="13" t="inlineStr">
        <is>
          <t>Sa</t>
        </is>
      </c>
      <c r="W138" s="13" t="inlineStr">
        <is>
          <t>So</t>
        </is>
      </c>
      <c r="X138" s="14" t="inlineStr">
        <is>
          <t>Mo</t>
        </is>
      </c>
      <c r="Y138" s="14" t="inlineStr">
        <is>
          <t>Di</t>
        </is>
      </c>
      <c r="Z138" s="14" t="inlineStr">
        <is>
          <t>Mi</t>
        </is>
      </c>
      <c r="AA138" s="14" t="inlineStr">
        <is>
          <t>Do</t>
        </is>
      </c>
      <c r="AB138" s="14" t="inlineStr">
        <is>
          <t>Fr</t>
        </is>
      </c>
      <c r="AC138" s="13" t="inlineStr">
        <is>
          <t>Sa</t>
        </is>
      </c>
      <c r="AD138" s="13" t="inlineStr">
        <is>
          <t>So</t>
        </is>
      </c>
      <c r="AE138" s="14" t="inlineStr">
        <is>
          <t>Mo</t>
        </is>
      </c>
      <c r="AF138" s="28" t="inlineStr">
        <is>
          <t>Di</t>
        </is>
      </c>
    </row>
    <row r="139" ht="16" customHeight="1">
      <c r="A139" s="16" t="inlineStr">
        <is>
          <t>Breig</t>
        </is>
      </c>
      <c r="B139" s="17" t="n"/>
      <c r="C139" s="18" t="n"/>
      <c r="D139" s="18" t="n"/>
      <c r="E139" s="18" t="n"/>
      <c r="F139" s="18" t="n"/>
      <c r="G139" s="18" t="n"/>
      <c r="H139" s="17" t="n"/>
      <c r="I139" s="17" t="n"/>
      <c r="J139" s="18" t="n"/>
      <c r="K139" s="18" t="n"/>
      <c r="L139" s="18" t="n"/>
      <c r="M139" s="18" t="n"/>
      <c r="N139" s="18" t="n"/>
      <c r="O139" s="17" t="n"/>
      <c r="P139" s="17" t="n"/>
      <c r="Q139" s="18" t="n"/>
      <c r="R139" s="18" t="n"/>
      <c r="S139" s="18" t="n"/>
      <c r="T139" s="18" t="n"/>
      <c r="U139" s="18" t="n"/>
      <c r="V139" s="17" t="n"/>
      <c r="W139" s="17" t="n"/>
      <c r="X139" s="18" t="n"/>
      <c r="Y139" s="18" t="n"/>
      <c r="Z139" s="18" t="n"/>
      <c r="AA139" s="18" t="n"/>
      <c r="AB139" s="18" t="n"/>
      <c r="AC139" s="17" t="n"/>
      <c r="AD139" s="17" t="n"/>
      <c r="AE139" s="18" t="n"/>
      <c r="AF139" s="29" t="n"/>
    </row>
    <row r="140" ht="16" customHeight="1">
      <c r="A140" s="16" t="inlineStr">
        <is>
          <t>Siebert</t>
        </is>
      </c>
      <c r="B140" s="17" t="n"/>
      <c r="C140" s="20" t="n"/>
      <c r="D140" s="20" t="n"/>
      <c r="E140" s="20" t="n"/>
      <c r="F140" s="20" t="n"/>
      <c r="G140" s="20" t="n"/>
      <c r="H140" s="17" t="n"/>
      <c r="I140" s="17" t="n"/>
      <c r="J140" s="20" t="n"/>
      <c r="K140" s="20" t="n"/>
      <c r="L140" s="20" t="n"/>
      <c r="M140" s="20" t="n"/>
      <c r="N140" s="20" t="n"/>
      <c r="O140" s="17" t="n"/>
      <c r="P140" s="17" t="n"/>
      <c r="Q140" s="20" t="n"/>
      <c r="R140" s="20" t="n"/>
      <c r="S140" s="20" t="n"/>
      <c r="T140" s="20" t="n"/>
      <c r="U140" s="20" t="n"/>
      <c r="V140" s="17" t="n"/>
      <c r="W140" s="17" t="n"/>
      <c r="X140" s="20" t="n"/>
      <c r="Y140" s="20" t="n"/>
      <c r="Z140" s="20" t="n"/>
      <c r="AA140" s="20" t="n"/>
      <c r="AB140" s="20" t="n"/>
      <c r="AC140" s="17" t="n"/>
      <c r="AD140" s="17" t="n"/>
      <c r="AE140" s="20" t="n"/>
      <c r="AF140" s="30" t="n"/>
    </row>
    <row r="141" ht="16" customHeight="1">
      <c r="A141" s="16" t="inlineStr">
        <is>
          <t>Jochim</t>
        </is>
      </c>
      <c r="B141" s="17" t="n"/>
      <c r="C141" s="18" t="n"/>
      <c r="D141" s="18" t="n"/>
      <c r="E141" s="18" t="n"/>
      <c r="F141" s="18" t="n"/>
      <c r="G141" s="18" t="n"/>
      <c r="H141" s="17" t="n"/>
      <c r="I141" s="17" t="n"/>
      <c r="J141" s="18" t="n"/>
      <c r="K141" s="18" t="n"/>
      <c r="L141" s="18" t="n"/>
      <c r="M141" s="18" t="n"/>
      <c r="N141" s="18" t="n"/>
      <c r="O141" s="17" t="n"/>
      <c r="P141" s="17" t="n"/>
      <c r="Q141" s="18" t="n"/>
      <c r="R141" s="18" t="n"/>
      <c r="S141" s="18" t="n"/>
      <c r="T141" s="18" t="n"/>
      <c r="U141" s="18" t="n"/>
      <c r="V141" s="17" t="n"/>
      <c r="W141" s="17" t="n"/>
      <c r="X141" s="18" t="n"/>
      <c r="Y141" s="18" t="n"/>
      <c r="Z141" s="18" t="n"/>
      <c r="AA141" s="18" t="n"/>
      <c r="AB141" s="18" t="n"/>
      <c r="AC141" s="17" t="n"/>
      <c r="AD141" s="17" t="n"/>
      <c r="AE141" s="18" t="n"/>
      <c r="AF141" s="29" t="n"/>
    </row>
    <row r="142" ht="16" customHeight="1">
      <c r="A142" s="16" t="inlineStr">
        <is>
          <t>Wunsch</t>
        </is>
      </c>
      <c r="B142" s="17" t="n"/>
      <c r="C142" s="20" t="n"/>
      <c r="D142" s="20" t="n"/>
      <c r="E142" s="20" t="n"/>
      <c r="F142" s="20" t="n"/>
      <c r="G142" s="20" t="n"/>
      <c r="H142" s="17" t="n"/>
      <c r="I142" s="17" t="n"/>
      <c r="J142" s="20" t="n"/>
      <c r="K142" s="20" t="n"/>
      <c r="L142" s="20" t="n"/>
      <c r="M142" s="20" t="n"/>
      <c r="N142" s="20" t="n"/>
      <c r="O142" s="17" t="n"/>
      <c r="P142" s="17" t="n"/>
      <c r="Q142" s="20" t="n"/>
      <c r="R142" s="20" t="n"/>
      <c r="S142" s="20" t="n"/>
      <c r="T142" s="20" t="n"/>
      <c r="U142" s="20" t="n"/>
      <c r="V142" s="17" t="n"/>
      <c r="W142" s="17" t="n"/>
      <c r="X142" s="20" t="n"/>
      <c r="Y142" s="20" t="n"/>
      <c r="Z142" s="20" t="n"/>
      <c r="AA142" s="20" t="n"/>
      <c r="AB142" s="20" t="n"/>
      <c r="AC142" s="17" t="n"/>
      <c r="AD142" s="17" t="n"/>
      <c r="AE142" s="20" t="n"/>
      <c r="AF142" s="30" t="n"/>
    </row>
    <row r="143" ht="16" customHeight="1">
      <c r="A143" s="16" t="inlineStr">
        <is>
          <t>Göpfrich</t>
        </is>
      </c>
      <c r="B143" s="17" t="n"/>
      <c r="C143" s="18" t="n"/>
      <c r="D143" s="18" t="n"/>
      <c r="E143" s="18" t="n"/>
      <c r="F143" s="18" t="n"/>
      <c r="G143" s="18" t="n"/>
      <c r="H143" s="17" t="n"/>
      <c r="I143" s="17" t="n"/>
      <c r="J143" s="18" t="n"/>
      <c r="K143" s="18" t="n"/>
      <c r="L143" s="18" t="n"/>
      <c r="M143" s="18" t="n"/>
      <c r="N143" s="18" t="n"/>
      <c r="O143" s="17" t="n"/>
      <c r="P143" s="17" t="n"/>
      <c r="Q143" s="18" t="n"/>
      <c r="R143" s="18" t="n"/>
      <c r="S143" s="18" t="n"/>
      <c r="T143" s="18" t="n"/>
      <c r="U143" s="18" t="n"/>
      <c r="V143" s="17" t="n"/>
      <c r="W143" s="17" t="n"/>
      <c r="X143" s="18" t="n"/>
      <c r="Y143" s="18" t="n"/>
      <c r="Z143" s="18" t="n"/>
      <c r="AA143" s="18" t="n"/>
      <c r="AB143" s="18" t="n"/>
      <c r="AC143" s="17" t="n"/>
      <c r="AD143" s="17" t="n"/>
      <c r="AE143" s="18" t="n"/>
      <c r="AF143" s="29" t="n"/>
    </row>
    <row r="144" ht="16" customHeight="1">
      <c r="A144" s="16" t="inlineStr">
        <is>
          <t>Zeller</t>
        </is>
      </c>
      <c r="B144" s="17" t="n"/>
      <c r="C144" s="20" t="n"/>
      <c r="D144" s="20" t="n"/>
      <c r="E144" s="20" t="n"/>
      <c r="F144" s="20" t="n"/>
      <c r="G144" s="20" t="n"/>
      <c r="H144" s="17" t="n"/>
      <c r="I144" s="17" t="n"/>
      <c r="J144" s="20" t="n"/>
      <c r="K144" s="20" t="n"/>
      <c r="L144" s="20" t="n"/>
      <c r="M144" s="20" t="n"/>
      <c r="N144" s="20" t="n"/>
      <c r="O144" s="17" t="n"/>
      <c r="P144" s="17" t="n"/>
      <c r="Q144" s="20" t="n"/>
      <c r="R144" s="20" t="n"/>
      <c r="S144" s="20" t="n"/>
      <c r="T144" s="20" t="n"/>
      <c r="U144" s="20" t="n"/>
      <c r="V144" s="17" t="n"/>
      <c r="W144" s="17" t="n"/>
      <c r="X144" s="20" t="n"/>
      <c r="Y144" s="20" t="n"/>
      <c r="Z144" s="20" t="n"/>
      <c r="AA144" s="20" t="n"/>
      <c r="AB144" s="20" t="n"/>
      <c r="AC144" s="17" t="n"/>
      <c r="AD144" s="17" t="n"/>
      <c r="AE144" s="20" t="n"/>
      <c r="AF144" s="30" t="n"/>
    </row>
    <row r="145" ht="16" customHeight="1">
      <c r="A145" s="16" t="inlineStr">
        <is>
          <t>Behrendt</t>
        </is>
      </c>
      <c r="B145" s="17" t="n"/>
      <c r="C145" s="18" t="n"/>
      <c r="D145" s="18" t="n"/>
      <c r="E145" s="18" t="n"/>
      <c r="F145" s="18" t="n"/>
      <c r="G145" s="18" t="n"/>
      <c r="H145" s="17" t="n"/>
      <c r="I145" s="17" t="n"/>
      <c r="J145" s="18" t="n"/>
      <c r="K145" s="18" t="n"/>
      <c r="L145" s="18" t="n"/>
      <c r="M145" s="18" t="n"/>
      <c r="N145" s="18" t="n"/>
      <c r="O145" s="17" t="n"/>
      <c r="P145" s="17" t="n"/>
      <c r="Q145" s="18" t="n"/>
      <c r="R145" s="18" t="n"/>
      <c r="S145" s="18" t="n"/>
      <c r="T145" s="18" t="n"/>
      <c r="U145" s="18" t="n"/>
      <c r="V145" s="17" t="n"/>
      <c r="W145" s="17" t="n"/>
      <c r="X145" s="18" t="n"/>
      <c r="Y145" s="18" t="n"/>
      <c r="Z145" s="18" t="n"/>
      <c r="AA145" s="18" t="n"/>
      <c r="AB145" s="18" t="n"/>
      <c r="AC145" s="17" t="n"/>
      <c r="AD145" s="17" t="n"/>
      <c r="AE145" s="18" t="n"/>
      <c r="AF145" s="29" t="n"/>
    </row>
    <row r="146" ht="16" customHeight="1">
      <c r="A146" s="16" t="inlineStr">
        <is>
          <t>Krempl</t>
        </is>
      </c>
      <c r="B146" s="17" t="n"/>
      <c r="C146" s="20" t="n"/>
      <c r="D146" s="20" t="n"/>
      <c r="E146" s="20" t="n"/>
      <c r="F146" s="20" t="n"/>
      <c r="G146" s="20" t="n"/>
      <c r="H146" s="17" t="n"/>
      <c r="I146" s="17" t="n"/>
      <c r="J146" s="20" t="n"/>
      <c r="K146" s="20" t="n"/>
      <c r="L146" s="20" t="n"/>
      <c r="M146" s="20" t="n"/>
      <c r="N146" s="20" t="n"/>
      <c r="O146" s="17" t="n"/>
      <c r="P146" s="17" t="n"/>
      <c r="Q146" s="20" t="n"/>
      <c r="R146" s="20" t="n"/>
      <c r="S146" s="20" t="n"/>
      <c r="T146" s="20" t="n"/>
      <c r="U146" s="20" t="n"/>
      <c r="V146" s="17" t="n"/>
      <c r="W146" s="17" t="n"/>
      <c r="X146" s="20" t="n"/>
      <c r="Y146" s="20" t="n"/>
      <c r="Z146" s="20" t="n"/>
      <c r="AA146" s="20" t="n"/>
      <c r="AB146" s="20" t="n"/>
      <c r="AC146" s="17" t="n"/>
      <c r="AD146" s="17" t="n"/>
      <c r="AE146" s="20" t="n"/>
      <c r="AF146" s="30" t="n"/>
    </row>
    <row r="147" ht="16" customHeight="1">
      <c r="A147" s="16" t="inlineStr">
        <is>
          <t>Putschler</t>
        </is>
      </c>
      <c r="B147" s="17" t="n"/>
      <c r="C147" s="18" t="n"/>
      <c r="D147" s="18" t="n"/>
      <c r="E147" s="18" t="n"/>
      <c r="F147" s="18" t="n"/>
      <c r="G147" s="18" t="n"/>
      <c r="H147" s="17" t="n"/>
      <c r="I147" s="17" t="n"/>
      <c r="J147" s="18" t="n"/>
      <c r="K147" s="18" t="n"/>
      <c r="L147" s="18" t="n"/>
      <c r="M147" s="18" t="n"/>
      <c r="N147" s="18" t="n"/>
      <c r="O147" s="17" t="n"/>
      <c r="P147" s="17" t="n"/>
      <c r="Q147" s="18" t="n"/>
      <c r="R147" s="18" t="n"/>
      <c r="S147" s="18" t="n"/>
      <c r="T147" s="18" t="n"/>
      <c r="U147" s="18" t="n"/>
      <c r="V147" s="17" t="n"/>
      <c r="W147" s="17" t="n"/>
      <c r="X147" s="18" t="n"/>
      <c r="Y147" s="18" t="n"/>
      <c r="Z147" s="18" t="n"/>
      <c r="AA147" s="18" t="n"/>
      <c r="AB147" s="18" t="n"/>
      <c r="AC147" s="17" t="n"/>
      <c r="AD147" s="17" t="n"/>
      <c r="AE147" s="18" t="n"/>
      <c r="AF147" s="29" t="n"/>
    </row>
    <row r="148" ht="16" customHeight="1">
      <c r="A148" s="16" t="inlineStr">
        <is>
          <t>Kunz</t>
        </is>
      </c>
      <c r="B148" s="17" t="n"/>
      <c r="C148" s="20" t="n"/>
      <c r="D148" s="20" t="n"/>
      <c r="E148" s="20" t="n"/>
      <c r="F148" s="20" t="n"/>
      <c r="G148" s="20" t="n"/>
      <c r="H148" s="17" t="n"/>
      <c r="I148" s="17" t="n"/>
      <c r="J148" s="20" t="n"/>
      <c r="K148" s="20" t="n"/>
      <c r="L148" s="20" t="n"/>
      <c r="M148" s="20" t="n"/>
      <c r="N148" s="20" t="n"/>
      <c r="O148" s="17" t="n"/>
      <c r="P148" s="17" t="n"/>
      <c r="Q148" s="20" t="n"/>
      <c r="R148" s="20" t="n"/>
      <c r="S148" s="20" t="n"/>
      <c r="T148" s="20" t="n"/>
      <c r="U148" s="20" t="n"/>
      <c r="V148" s="17" t="n"/>
      <c r="W148" s="17" t="n"/>
      <c r="X148" s="20" t="n"/>
      <c r="Y148" s="20" t="n"/>
      <c r="Z148" s="20" t="n"/>
      <c r="AA148" s="20" t="n"/>
      <c r="AB148" s="20" t="n"/>
      <c r="AC148" s="17" t="n"/>
      <c r="AD148" s="17" t="n"/>
      <c r="AE148" s="20" t="n"/>
      <c r="AF148" s="30" t="n"/>
    </row>
    <row r="149" ht="16" customHeight="1">
      <c r="A149" s="16" t="inlineStr">
        <is>
          <t>Schmidt</t>
        </is>
      </c>
      <c r="B149" s="17" t="n"/>
      <c r="C149" s="18" t="n"/>
      <c r="D149" s="18" t="n"/>
      <c r="E149" s="18" t="n"/>
      <c r="F149" s="18" t="n"/>
      <c r="G149" s="18" t="n"/>
      <c r="H149" s="17" t="n"/>
      <c r="I149" s="17" t="n"/>
      <c r="J149" s="18" t="n"/>
      <c r="K149" s="18" t="n"/>
      <c r="L149" s="18" t="n"/>
      <c r="M149" s="18" t="n"/>
      <c r="N149" s="18" t="n"/>
      <c r="O149" s="17" t="n"/>
      <c r="P149" s="17" t="n"/>
      <c r="Q149" s="18" t="n"/>
      <c r="R149" s="18" t="n"/>
      <c r="S149" s="18" t="n"/>
      <c r="T149" s="18" t="n"/>
      <c r="U149" s="18" t="n"/>
      <c r="V149" s="17" t="n"/>
      <c r="W149" s="17" t="n"/>
      <c r="X149" s="18" t="n"/>
      <c r="Y149" s="18" t="n"/>
      <c r="Z149" s="18" t="n"/>
      <c r="AA149" s="18" t="n"/>
      <c r="AB149" s="18" t="n"/>
      <c r="AC149" s="17" t="n"/>
      <c r="AD149" s="17" t="n"/>
      <c r="AE149" s="18" t="n"/>
      <c r="AF149" s="29" t="n"/>
    </row>
    <row r="150" ht="16" customHeight="1">
      <c r="A150" s="16" t="inlineStr">
        <is>
          <t>Radimersky</t>
        </is>
      </c>
      <c r="B150" s="17" t="n"/>
      <c r="C150" s="20" t="n"/>
      <c r="D150" s="20" t="n"/>
      <c r="E150" s="20" t="n"/>
      <c r="F150" s="20" t="n"/>
      <c r="G150" s="20" t="n"/>
      <c r="H150" s="17" t="n"/>
      <c r="I150" s="17" t="n"/>
      <c r="J150" s="20" t="n"/>
      <c r="K150" s="20" t="n"/>
      <c r="L150" s="20" t="n"/>
      <c r="M150" s="20" t="n"/>
      <c r="N150" s="20" t="n"/>
      <c r="O150" s="17" t="n"/>
      <c r="P150" s="17" t="n"/>
      <c r="Q150" s="20" t="n"/>
      <c r="R150" s="20" t="n"/>
      <c r="S150" s="20" t="n"/>
      <c r="T150" s="20" t="n"/>
      <c r="U150" s="20" t="n"/>
      <c r="V150" s="17" t="n"/>
      <c r="W150" s="17" t="n"/>
      <c r="X150" s="20" t="n"/>
      <c r="Y150" s="20" t="n"/>
      <c r="Z150" s="20" t="n"/>
      <c r="AA150" s="20" t="n"/>
      <c r="AB150" s="20" t="n"/>
      <c r="AC150" s="17" t="n"/>
      <c r="AD150" s="17" t="n"/>
      <c r="AE150" s="20" t="n"/>
      <c r="AF150" s="30" t="n"/>
    </row>
    <row r="151" ht="15" customHeight="1">
      <c r="A151" s="21" t="inlineStr">
        <is>
          <t>Besetzung</t>
        </is>
      </c>
      <c r="B151" s="22" t="n"/>
      <c r="C151" s="23">
        <f>IF(AND(COUNTIF(C139:C150,"FI")&gt;0,COUNTIF(C139:C150,"SI")&gt;0,COUNTIF(C139:C150,"NI")&gt;0),"","!")</f>
        <v/>
      </c>
      <c r="D151" s="23">
        <f>IF(AND(COUNTIF(D139:D150,"FI")&gt;0,COUNTIF(D139:D150,"SI")&gt;0,COUNTIF(D139:D150,"NI")&gt;0),"","!")</f>
        <v/>
      </c>
      <c r="E151" s="23">
        <f>IF(AND(COUNTIF(E139:E150,"FI")&gt;0,COUNTIF(E139:E150,"SI")&gt;0,COUNTIF(E139:E150,"NI")&gt;0),"","!")</f>
        <v/>
      </c>
      <c r="F151" s="23">
        <f>IF(AND(COUNTIF(F139:F150,"FI")&gt;0,COUNTIF(F139:F150,"SI")&gt;0,COUNTIF(F139:F150,"NI")&gt;0),"","!")</f>
        <v/>
      </c>
      <c r="G151" s="23">
        <f>IF(AND(COUNTIF(G139:G150,"FI")&gt;0,COUNTIF(G139:G150,"SI")&gt;0),"","!")</f>
        <v/>
      </c>
      <c r="H151" s="22" t="n"/>
      <c r="I151" s="22" t="n"/>
      <c r="J151" s="23">
        <f>IF(AND(COUNTIF(J139:J150,"FI")&gt;0,COUNTIF(J139:J150,"SI")&gt;0,COUNTIF(J139:J150,"NI")&gt;0),"","!")</f>
        <v/>
      </c>
      <c r="K151" s="23">
        <f>IF(AND(COUNTIF(K139:K150,"FI")&gt;0,COUNTIF(K139:K150,"SI")&gt;0,COUNTIF(K139:K150,"NI")&gt;0),"","!")</f>
        <v/>
      </c>
      <c r="L151" s="23">
        <f>IF(AND(COUNTIF(L139:L150,"FI")&gt;0,COUNTIF(L139:L150,"SI")&gt;0,COUNTIF(L139:L150,"NI")&gt;0),"","!")</f>
        <v/>
      </c>
      <c r="M151" s="23">
        <f>IF(AND(COUNTIF(M139:M150,"FI")&gt;0,COUNTIF(M139:M150,"SI")&gt;0,COUNTIF(M139:M150,"NI")&gt;0),"","!")</f>
        <v/>
      </c>
      <c r="N151" s="23">
        <f>IF(AND(COUNTIF(N139:N150,"FI")&gt;0,COUNTIF(N139:N150,"SI")&gt;0),"","!")</f>
        <v/>
      </c>
      <c r="O151" s="22" t="n"/>
      <c r="P151" s="22" t="n"/>
      <c r="Q151" s="23">
        <f>IF(AND(COUNTIF(Q139:Q150,"FI")&gt;0,COUNTIF(Q139:Q150,"SI")&gt;0,COUNTIF(Q139:Q150,"NI")&gt;0),"","!")</f>
        <v/>
      </c>
      <c r="R151" s="23">
        <f>IF(AND(COUNTIF(R139:R150,"FI")&gt;0,COUNTIF(R139:R150,"SI")&gt;0,COUNTIF(R139:R150,"NI")&gt;0),"","!")</f>
        <v/>
      </c>
      <c r="S151" s="23">
        <f>IF(AND(COUNTIF(S139:S150,"FI")&gt;0,COUNTIF(S139:S150,"SI")&gt;0,COUNTIF(S139:S150,"NI")&gt;0),"","!")</f>
        <v/>
      </c>
      <c r="T151" s="23">
        <f>IF(AND(COUNTIF(T139:T150,"FI")&gt;0,COUNTIF(T139:T150,"SI")&gt;0,COUNTIF(T139:T150,"NI")&gt;0),"","!")</f>
        <v/>
      </c>
      <c r="U151" s="23">
        <f>IF(AND(COUNTIF(U139:U150,"FI")&gt;0,COUNTIF(U139:U150,"SI")&gt;0),"","!")</f>
        <v/>
      </c>
      <c r="V151" s="22" t="n"/>
      <c r="W151" s="22" t="n"/>
      <c r="X151" s="23">
        <f>IF(AND(COUNTIF(X139:X150,"FI")&gt;0,COUNTIF(X139:X150,"SI")&gt;0,COUNTIF(X139:X150,"NI")&gt;0),"","!")</f>
        <v/>
      </c>
      <c r="Y151" s="23">
        <f>IF(AND(COUNTIF(Y139:Y150,"FI")&gt;0,COUNTIF(Y139:Y150,"SI")&gt;0,COUNTIF(Y139:Y150,"NI")&gt;0),"","!")</f>
        <v/>
      </c>
      <c r="Z151" s="23">
        <f>IF(AND(COUNTIF(Z139:Z150,"FI")&gt;0,COUNTIF(Z139:Z150,"SI")&gt;0,COUNTIF(Z139:Z150,"NI")&gt;0),"","!")</f>
        <v/>
      </c>
      <c r="AA151" s="23">
        <f>IF(AND(COUNTIF(AA139:AA150,"FI")&gt;0,COUNTIF(AA139:AA150,"SI")&gt;0,COUNTIF(AA139:AA150,"NI")&gt;0),"","!")</f>
        <v/>
      </c>
      <c r="AB151" s="23">
        <f>IF(AND(COUNTIF(AB139:AB150,"FI")&gt;0,COUNTIF(AB139:AB150,"SI")&gt;0),"","!")</f>
        <v/>
      </c>
      <c r="AC151" s="22" t="n"/>
      <c r="AD151" s="22" t="n"/>
      <c r="AE151" s="23">
        <f>IF(AND(COUNTIF(AE139:AE150,"FI")&gt;0,COUNTIF(AE139:AE150,"SI")&gt;0,COUNTIF(AE139:AE150,"NI")&gt;0),"","!")</f>
        <v/>
      </c>
      <c r="AF151" s="31">
        <f>IF(AND(COUNTIF(AF139:AF150,"FI")&gt;0,COUNTIF(AF139:AF150,"SI")&gt;0,COUNTIF(AF139:AF150,"NI")&gt;0),"","!")</f>
        <v/>
      </c>
    </row>
    <row r="153">
      <c r="B153" s="25" t="inlineStr">
        <is>
          <t>Sommerferien</t>
        </is>
      </c>
    </row>
    <row r="154" ht="20" customHeight="1">
      <c r="A154" s="2" t="inlineStr">
        <is>
          <t>September</t>
        </is>
      </c>
    </row>
    <row r="155" ht="15" customHeight="1">
      <c r="A155" s="3" t="inlineStr">
        <is>
          <t>KW</t>
        </is>
      </c>
      <c r="B155" s="6" t="n">
        <v>35</v>
      </c>
      <c r="C155" s="7" t="n"/>
      <c r="D155" s="7" t="n"/>
      <c r="E155" s="5" t="n"/>
      <c r="F155" s="5" t="n"/>
      <c r="G155" s="6" t="n">
        <v>36</v>
      </c>
      <c r="H155" s="7" t="n"/>
      <c r="I155" s="7" t="n"/>
      <c r="J155" s="7" t="n"/>
      <c r="K155" s="7" t="n"/>
      <c r="L155" s="5" t="n"/>
      <c r="M155" s="5" t="n"/>
      <c r="N155" s="6" t="n">
        <v>37</v>
      </c>
      <c r="O155" s="7" t="n"/>
      <c r="P155" s="7" t="n"/>
      <c r="Q155" s="7" t="n"/>
      <c r="R155" s="7" t="n"/>
      <c r="S155" s="5" t="n"/>
      <c r="T155" s="5" t="n"/>
      <c r="U155" s="6" t="n">
        <v>38</v>
      </c>
      <c r="V155" s="7" t="n"/>
      <c r="W155" s="7" t="n"/>
      <c r="X155" s="7" t="n"/>
      <c r="Y155" s="7" t="n"/>
      <c r="Z155" s="5" t="n"/>
      <c r="AA155" s="5" t="n"/>
      <c r="AB155" s="6" t="n">
        <v>39</v>
      </c>
      <c r="AC155" s="7" t="n"/>
      <c r="AD155" s="7" t="n"/>
      <c r="AE155" s="26" t="n"/>
    </row>
    <row r="156" ht="18" customHeight="1">
      <c r="A156" s="9" t="inlineStr">
        <is>
          <t>Tag</t>
        </is>
      </c>
      <c r="B156" s="11" t="n">
        <v>1</v>
      </c>
      <c r="C156" s="11" t="n">
        <v>2</v>
      </c>
      <c r="D156" s="11" t="n">
        <v>3</v>
      </c>
      <c r="E156" s="10" t="n">
        <v>4</v>
      </c>
      <c r="F156" s="10" t="n">
        <v>5</v>
      </c>
      <c r="G156" s="11" t="n">
        <v>6</v>
      </c>
      <c r="H156" s="11" t="n">
        <v>7</v>
      </c>
      <c r="I156" s="11" t="n">
        <v>8</v>
      </c>
      <c r="J156" s="11" t="n">
        <v>9</v>
      </c>
      <c r="K156" s="11" t="n">
        <v>10</v>
      </c>
      <c r="L156" s="10" t="n">
        <v>11</v>
      </c>
      <c r="M156" s="10" t="n">
        <v>12</v>
      </c>
      <c r="N156" s="11" t="n">
        <v>13</v>
      </c>
      <c r="O156" s="11" t="n">
        <v>14</v>
      </c>
      <c r="P156" s="11" t="n">
        <v>15</v>
      </c>
      <c r="Q156" s="11" t="n">
        <v>16</v>
      </c>
      <c r="R156" s="11" t="n">
        <v>17</v>
      </c>
      <c r="S156" s="10" t="n">
        <v>18</v>
      </c>
      <c r="T156" s="10" t="n">
        <v>19</v>
      </c>
      <c r="U156" s="11" t="n">
        <v>20</v>
      </c>
      <c r="V156" s="11" t="n">
        <v>21</v>
      </c>
      <c r="W156" s="11" t="n">
        <v>22</v>
      </c>
      <c r="X156" s="11" t="n">
        <v>23</v>
      </c>
      <c r="Y156" s="11" t="n">
        <v>24</v>
      </c>
      <c r="Z156" s="10" t="n">
        <v>25</v>
      </c>
      <c r="AA156" s="10" t="n">
        <v>26</v>
      </c>
      <c r="AB156" s="11" t="n">
        <v>27</v>
      </c>
      <c r="AC156" s="11" t="n">
        <v>28</v>
      </c>
      <c r="AD156" s="11" t="n">
        <v>29</v>
      </c>
      <c r="AE156" s="27" t="n">
        <v>30</v>
      </c>
    </row>
    <row r="157" ht="18" customHeight="1">
      <c r="A157" s="9" t="inlineStr">
        <is>
          <t>WT</t>
        </is>
      </c>
      <c r="B157" s="14" t="inlineStr">
        <is>
          <t>Mi</t>
        </is>
      </c>
      <c r="C157" s="14" t="inlineStr">
        <is>
          <t>Do</t>
        </is>
      </c>
      <c r="D157" s="14" t="inlineStr">
        <is>
          <t>Fr</t>
        </is>
      </c>
      <c r="E157" s="13" t="inlineStr">
        <is>
          <t>Sa</t>
        </is>
      </c>
      <c r="F157" s="13" t="inlineStr">
        <is>
          <t>So</t>
        </is>
      </c>
      <c r="G157" s="14" t="inlineStr">
        <is>
          <t>Mo</t>
        </is>
      </c>
      <c r="H157" s="14" t="inlineStr">
        <is>
          <t>Di</t>
        </is>
      </c>
      <c r="I157" s="14" t="inlineStr">
        <is>
          <t>Mi</t>
        </is>
      </c>
      <c r="J157" s="14" t="inlineStr">
        <is>
          <t>Do</t>
        </is>
      </c>
      <c r="K157" s="14" t="inlineStr">
        <is>
          <t>Fr</t>
        </is>
      </c>
      <c r="L157" s="13" t="inlineStr">
        <is>
          <t>Sa</t>
        </is>
      </c>
      <c r="M157" s="13" t="inlineStr">
        <is>
          <t>So</t>
        </is>
      </c>
      <c r="N157" s="14" t="inlineStr">
        <is>
          <t>Mo</t>
        </is>
      </c>
      <c r="O157" s="14" t="inlineStr">
        <is>
          <t>Di</t>
        </is>
      </c>
      <c r="P157" s="14" t="inlineStr">
        <is>
          <t>Mi</t>
        </is>
      </c>
      <c r="Q157" s="14" t="inlineStr">
        <is>
          <t>Do</t>
        </is>
      </c>
      <c r="R157" s="14" t="inlineStr">
        <is>
          <t>Fr</t>
        </is>
      </c>
      <c r="S157" s="13" t="inlineStr">
        <is>
          <t>Sa</t>
        </is>
      </c>
      <c r="T157" s="13" t="inlineStr">
        <is>
          <t>So</t>
        </is>
      </c>
      <c r="U157" s="14" t="inlineStr">
        <is>
          <t>Mo</t>
        </is>
      </c>
      <c r="V157" s="14" t="inlineStr">
        <is>
          <t>Di</t>
        </is>
      </c>
      <c r="W157" s="14" t="inlineStr">
        <is>
          <t>Mi</t>
        </is>
      </c>
      <c r="X157" s="14" t="inlineStr">
        <is>
          <t>Do</t>
        </is>
      </c>
      <c r="Y157" s="14" t="inlineStr">
        <is>
          <t>Fr</t>
        </is>
      </c>
      <c r="Z157" s="13" t="inlineStr">
        <is>
          <t>Sa</t>
        </is>
      </c>
      <c r="AA157" s="13" t="inlineStr">
        <is>
          <t>So</t>
        </is>
      </c>
      <c r="AB157" s="14" t="inlineStr">
        <is>
          <t>Mo</t>
        </is>
      </c>
      <c r="AC157" s="14" t="inlineStr">
        <is>
          <t>Di</t>
        </is>
      </c>
      <c r="AD157" s="14" t="inlineStr">
        <is>
          <t>Mi</t>
        </is>
      </c>
      <c r="AE157" s="28" t="inlineStr">
        <is>
          <t>Do</t>
        </is>
      </c>
    </row>
    <row r="158" ht="16" customHeight="1">
      <c r="A158" s="16" t="inlineStr">
        <is>
          <t>Breig</t>
        </is>
      </c>
      <c r="B158" s="18" t="n"/>
      <c r="C158" s="18" t="n"/>
      <c r="D158" s="18" t="n"/>
      <c r="E158" s="17" t="n"/>
      <c r="F158" s="17" t="n"/>
      <c r="G158" s="18" t="n"/>
      <c r="H158" s="18" t="n"/>
      <c r="I158" s="18" t="n"/>
      <c r="J158" s="18" t="n"/>
      <c r="K158" s="18" t="n"/>
      <c r="L158" s="17" t="n"/>
      <c r="M158" s="17" t="n"/>
      <c r="N158" s="18" t="n"/>
      <c r="O158" s="18" t="n"/>
      <c r="P158" s="18" t="n"/>
      <c r="Q158" s="18" t="n"/>
      <c r="R158" s="18" t="n"/>
      <c r="S158" s="17" t="n"/>
      <c r="T158" s="17" t="n"/>
      <c r="U158" s="18" t="n"/>
      <c r="V158" s="18" t="n"/>
      <c r="W158" s="18" t="n"/>
      <c r="X158" s="18" t="n"/>
      <c r="Y158" s="18" t="n"/>
      <c r="Z158" s="17" t="n"/>
      <c r="AA158" s="17" t="n"/>
      <c r="AB158" s="18" t="n"/>
      <c r="AC158" s="18" t="n"/>
      <c r="AD158" s="18" t="n"/>
      <c r="AE158" s="29" t="n"/>
    </row>
    <row r="159" ht="16" customHeight="1">
      <c r="A159" s="16" t="inlineStr">
        <is>
          <t>Siebert</t>
        </is>
      </c>
      <c r="B159" s="20" t="n"/>
      <c r="C159" s="20" t="n"/>
      <c r="D159" s="20" t="n"/>
      <c r="E159" s="17" t="n"/>
      <c r="F159" s="17" t="n"/>
      <c r="G159" s="20" t="n"/>
      <c r="H159" s="20" t="n"/>
      <c r="I159" s="20" t="n"/>
      <c r="J159" s="20" t="n"/>
      <c r="K159" s="20" t="n"/>
      <c r="L159" s="17" t="n"/>
      <c r="M159" s="17" t="n"/>
      <c r="N159" s="20" t="n"/>
      <c r="O159" s="20" t="n"/>
      <c r="P159" s="20" t="n"/>
      <c r="Q159" s="20" t="n"/>
      <c r="R159" s="20" t="n"/>
      <c r="S159" s="17" t="n"/>
      <c r="T159" s="17" t="n"/>
      <c r="U159" s="20" t="n"/>
      <c r="V159" s="20" t="n"/>
      <c r="W159" s="20" t="n"/>
      <c r="X159" s="20" t="n"/>
      <c r="Y159" s="20" t="n"/>
      <c r="Z159" s="17" t="n"/>
      <c r="AA159" s="17" t="n"/>
      <c r="AB159" s="20" t="n"/>
      <c r="AC159" s="20" t="n"/>
      <c r="AD159" s="20" t="n"/>
      <c r="AE159" s="30" t="n"/>
    </row>
    <row r="160" ht="16" customHeight="1">
      <c r="A160" s="16" t="inlineStr">
        <is>
          <t>Jochim</t>
        </is>
      </c>
      <c r="B160" s="18" t="n"/>
      <c r="C160" s="18" t="n"/>
      <c r="D160" s="18" t="n"/>
      <c r="E160" s="17" t="n"/>
      <c r="F160" s="17" t="n"/>
      <c r="G160" s="18" t="n"/>
      <c r="H160" s="18" t="n"/>
      <c r="I160" s="18" t="n"/>
      <c r="J160" s="18" t="n"/>
      <c r="K160" s="18" t="n"/>
      <c r="L160" s="17" t="n"/>
      <c r="M160" s="17" t="n"/>
      <c r="N160" s="18" t="n"/>
      <c r="O160" s="18" t="n"/>
      <c r="P160" s="18" t="n"/>
      <c r="Q160" s="18" t="n"/>
      <c r="R160" s="18" t="n"/>
      <c r="S160" s="17" t="n"/>
      <c r="T160" s="17" t="n"/>
      <c r="U160" s="18" t="n"/>
      <c r="V160" s="18" t="n"/>
      <c r="W160" s="18" t="n"/>
      <c r="X160" s="18" t="n"/>
      <c r="Y160" s="18" t="n"/>
      <c r="Z160" s="17" t="n"/>
      <c r="AA160" s="17" t="n"/>
      <c r="AB160" s="18" t="n"/>
      <c r="AC160" s="18" t="n"/>
      <c r="AD160" s="18" t="n"/>
      <c r="AE160" s="29" t="n"/>
    </row>
    <row r="161" ht="16" customHeight="1">
      <c r="A161" s="16" t="inlineStr">
        <is>
          <t>Wunsch</t>
        </is>
      </c>
      <c r="B161" s="20" t="n"/>
      <c r="C161" s="20" t="n"/>
      <c r="D161" s="20" t="n"/>
      <c r="E161" s="17" t="n"/>
      <c r="F161" s="17" t="n"/>
      <c r="G161" s="20" t="n"/>
      <c r="H161" s="20" t="n"/>
      <c r="I161" s="20" t="n"/>
      <c r="J161" s="20" t="n"/>
      <c r="K161" s="20" t="n"/>
      <c r="L161" s="17" t="n"/>
      <c r="M161" s="17" t="n"/>
      <c r="N161" s="20" t="n"/>
      <c r="O161" s="20" t="n"/>
      <c r="P161" s="20" t="n"/>
      <c r="Q161" s="20" t="n"/>
      <c r="R161" s="20" t="n"/>
      <c r="S161" s="17" t="n"/>
      <c r="T161" s="17" t="n"/>
      <c r="U161" s="20" t="n"/>
      <c r="V161" s="20" t="n"/>
      <c r="W161" s="20" t="n"/>
      <c r="X161" s="20" t="n"/>
      <c r="Y161" s="20" t="n"/>
      <c r="Z161" s="17" t="n"/>
      <c r="AA161" s="17" t="n"/>
      <c r="AB161" s="20" t="n"/>
      <c r="AC161" s="20" t="n"/>
      <c r="AD161" s="20" t="n"/>
      <c r="AE161" s="30" t="n"/>
    </row>
    <row r="162" ht="16" customHeight="1">
      <c r="A162" s="16" t="inlineStr">
        <is>
          <t>Göpfrich</t>
        </is>
      </c>
      <c r="B162" s="18" t="n"/>
      <c r="C162" s="18" t="n"/>
      <c r="D162" s="18" t="n"/>
      <c r="E162" s="17" t="n"/>
      <c r="F162" s="17" t="n"/>
      <c r="G162" s="18" t="n"/>
      <c r="H162" s="18" t="n"/>
      <c r="I162" s="18" t="n"/>
      <c r="J162" s="18" t="n"/>
      <c r="K162" s="18" t="n"/>
      <c r="L162" s="17" t="n"/>
      <c r="M162" s="17" t="n"/>
      <c r="N162" s="18" t="n"/>
      <c r="O162" s="18" t="n"/>
      <c r="P162" s="18" t="n"/>
      <c r="Q162" s="18" t="n"/>
      <c r="R162" s="18" t="n"/>
      <c r="S162" s="17" t="n"/>
      <c r="T162" s="17" t="n"/>
      <c r="U162" s="18" t="n"/>
      <c r="V162" s="18" t="n"/>
      <c r="W162" s="18" t="n"/>
      <c r="X162" s="18" t="n"/>
      <c r="Y162" s="18" t="n"/>
      <c r="Z162" s="17" t="n"/>
      <c r="AA162" s="17" t="n"/>
      <c r="AB162" s="18" t="n"/>
      <c r="AC162" s="18" t="n"/>
      <c r="AD162" s="18" t="n"/>
      <c r="AE162" s="29" t="n"/>
    </row>
    <row r="163" ht="16" customHeight="1">
      <c r="A163" s="16" t="inlineStr">
        <is>
          <t>Zeller</t>
        </is>
      </c>
      <c r="B163" s="20" t="n"/>
      <c r="C163" s="20" t="n"/>
      <c r="D163" s="20" t="n"/>
      <c r="E163" s="17" t="n"/>
      <c r="F163" s="17" t="n"/>
      <c r="G163" s="20" t="n"/>
      <c r="H163" s="20" t="n"/>
      <c r="I163" s="20" t="n"/>
      <c r="J163" s="20" t="n"/>
      <c r="K163" s="20" t="n"/>
      <c r="L163" s="17" t="n"/>
      <c r="M163" s="17" t="n"/>
      <c r="N163" s="20" t="n"/>
      <c r="O163" s="20" t="n"/>
      <c r="P163" s="20" t="n"/>
      <c r="Q163" s="20" t="n"/>
      <c r="R163" s="20" t="n"/>
      <c r="S163" s="17" t="n"/>
      <c r="T163" s="17" t="n"/>
      <c r="U163" s="20" t="n"/>
      <c r="V163" s="20" t="n"/>
      <c r="W163" s="20" t="n"/>
      <c r="X163" s="20" t="n"/>
      <c r="Y163" s="20" t="n"/>
      <c r="Z163" s="17" t="n"/>
      <c r="AA163" s="17" t="n"/>
      <c r="AB163" s="20" t="n"/>
      <c r="AC163" s="20" t="n"/>
      <c r="AD163" s="20" t="n"/>
      <c r="AE163" s="30" t="n"/>
    </row>
    <row r="164" ht="16" customHeight="1">
      <c r="A164" s="16" t="inlineStr">
        <is>
          <t>Behrendt</t>
        </is>
      </c>
      <c r="B164" s="18" t="n"/>
      <c r="C164" s="18" t="n"/>
      <c r="D164" s="18" t="n"/>
      <c r="E164" s="17" t="n"/>
      <c r="F164" s="17" t="n"/>
      <c r="G164" s="18" t="n"/>
      <c r="H164" s="18" t="n"/>
      <c r="I164" s="18" t="n"/>
      <c r="J164" s="18" t="n"/>
      <c r="K164" s="18" t="n"/>
      <c r="L164" s="17" t="n"/>
      <c r="M164" s="17" t="n"/>
      <c r="N164" s="18" t="n"/>
      <c r="O164" s="18" t="n"/>
      <c r="P164" s="18" t="n"/>
      <c r="Q164" s="18" t="n"/>
      <c r="R164" s="18" t="n"/>
      <c r="S164" s="17" t="n"/>
      <c r="T164" s="17" t="n"/>
      <c r="U164" s="18" t="n"/>
      <c r="V164" s="18" t="n"/>
      <c r="W164" s="18" t="n"/>
      <c r="X164" s="18" t="n"/>
      <c r="Y164" s="18" t="n"/>
      <c r="Z164" s="17" t="n"/>
      <c r="AA164" s="17" t="n"/>
      <c r="AB164" s="18" t="n"/>
      <c r="AC164" s="18" t="n"/>
      <c r="AD164" s="18" t="n"/>
      <c r="AE164" s="29" t="n"/>
    </row>
    <row r="165" ht="16" customHeight="1">
      <c r="A165" s="16" t="inlineStr">
        <is>
          <t>Krempl</t>
        </is>
      </c>
      <c r="B165" s="20" t="n"/>
      <c r="C165" s="20" t="n"/>
      <c r="D165" s="20" t="n"/>
      <c r="E165" s="17" t="n"/>
      <c r="F165" s="17" t="n"/>
      <c r="G165" s="20" t="n"/>
      <c r="H165" s="20" t="n"/>
      <c r="I165" s="20" t="n"/>
      <c r="J165" s="20" t="n"/>
      <c r="K165" s="20" t="n"/>
      <c r="L165" s="17" t="n"/>
      <c r="M165" s="17" t="n"/>
      <c r="N165" s="20" t="n"/>
      <c r="O165" s="20" t="n"/>
      <c r="P165" s="20" t="n"/>
      <c r="Q165" s="20" t="n"/>
      <c r="R165" s="20" t="n"/>
      <c r="S165" s="17" t="n"/>
      <c r="T165" s="17" t="n"/>
      <c r="U165" s="20" t="n"/>
      <c r="V165" s="20" t="n"/>
      <c r="W165" s="20" t="n"/>
      <c r="X165" s="20" t="n"/>
      <c r="Y165" s="20" t="n"/>
      <c r="Z165" s="17" t="n"/>
      <c r="AA165" s="17" t="n"/>
      <c r="AB165" s="20" t="n"/>
      <c r="AC165" s="20" t="n"/>
      <c r="AD165" s="20" t="n"/>
      <c r="AE165" s="30" t="n"/>
    </row>
    <row r="166" ht="16" customHeight="1">
      <c r="A166" s="16" t="inlineStr">
        <is>
          <t>Putschler</t>
        </is>
      </c>
      <c r="B166" s="18" t="n"/>
      <c r="C166" s="18" t="n"/>
      <c r="D166" s="18" t="n"/>
      <c r="E166" s="17" t="n"/>
      <c r="F166" s="17" t="n"/>
      <c r="G166" s="18" t="n"/>
      <c r="H166" s="18" t="n"/>
      <c r="I166" s="18" t="n"/>
      <c r="J166" s="18" t="n"/>
      <c r="K166" s="18" t="n"/>
      <c r="L166" s="17" t="n"/>
      <c r="M166" s="17" t="n"/>
      <c r="N166" s="18" t="n"/>
      <c r="O166" s="18" t="n"/>
      <c r="P166" s="18" t="n"/>
      <c r="Q166" s="18" t="n"/>
      <c r="R166" s="18" t="n"/>
      <c r="S166" s="17" t="n"/>
      <c r="T166" s="17" t="n"/>
      <c r="U166" s="18" t="n"/>
      <c r="V166" s="18" t="n"/>
      <c r="W166" s="18" t="n"/>
      <c r="X166" s="18" t="n"/>
      <c r="Y166" s="18" t="n"/>
      <c r="Z166" s="17" t="n"/>
      <c r="AA166" s="17" t="n"/>
      <c r="AB166" s="18" t="n"/>
      <c r="AC166" s="18" t="n"/>
      <c r="AD166" s="18" t="n"/>
      <c r="AE166" s="29" t="n"/>
    </row>
    <row r="167" ht="16" customHeight="1">
      <c r="A167" s="16" t="inlineStr">
        <is>
          <t>Kunz</t>
        </is>
      </c>
      <c r="B167" s="20" t="n"/>
      <c r="C167" s="20" t="n"/>
      <c r="D167" s="20" t="n"/>
      <c r="E167" s="17" t="n"/>
      <c r="F167" s="17" t="n"/>
      <c r="G167" s="20" t="n"/>
      <c r="H167" s="20" t="n"/>
      <c r="I167" s="20" t="n"/>
      <c r="J167" s="20" t="n"/>
      <c r="K167" s="20" t="n"/>
      <c r="L167" s="17" t="n"/>
      <c r="M167" s="17" t="n"/>
      <c r="N167" s="20" t="n"/>
      <c r="O167" s="20" t="n"/>
      <c r="P167" s="20" t="n"/>
      <c r="Q167" s="20" t="n"/>
      <c r="R167" s="20" t="n"/>
      <c r="S167" s="17" t="n"/>
      <c r="T167" s="17" t="n"/>
      <c r="U167" s="20" t="n"/>
      <c r="V167" s="20" t="n"/>
      <c r="W167" s="20" t="n"/>
      <c r="X167" s="20" t="n"/>
      <c r="Y167" s="20" t="n"/>
      <c r="Z167" s="17" t="n"/>
      <c r="AA167" s="17" t="n"/>
      <c r="AB167" s="20" t="n"/>
      <c r="AC167" s="20" t="n"/>
      <c r="AD167" s="20" t="n"/>
      <c r="AE167" s="30" t="n"/>
    </row>
    <row r="168" ht="16" customHeight="1">
      <c r="A168" s="16" t="inlineStr">
        <is>
          <t>Schmidt</t>
        </is>
      </c>
      <c r="B168" s="18" t="n"/>
      <c r="C168" s="18" t="n"/>
      <c r="D168" s="18" t="n"/>
      <c r="E168" s="17" t="n"/>
      <c r="F168" s="17" t="n"/>
      <c r="G168" s="18" t="n"/>
      <c r="H168" s="18" t="n"/>
      <c r="I168" s="18" t="n"/>
      <c r="J168" s="18" t="n"/>
      <c r="K168" s="18" t="n"/>
      <c r="L168" s="17" t="n"/>
      <c r="M168" s="17" t="n"/>
      <c r="N168" s="18" t="n"/>
      <c r="O168" s="18" t="n"/>
      <c r="P168" s="18" t="n"/>
      <c r="Q168" s="18" t="n"/>
      <c r="R168" s="18" t="n"/>
      <c r="S168" s="17" t="n"/>
      <c r="T168" s="17" t="n"/>
      <c r="U168" s="18" t="n"/>
      <c r="V168" s="18" t="n"/>
      <c r="W168" s="18" t="n"/>
      <c r="X168" s="18" t="n"/>
      <c r="Y168" s="18" t="n"/>
      <c r="Z168" s="17" t="n"/>
      <c r="AA168" s="17" t="n"/>
      <c r="AB168" s="18" t="n"/>
      <c r="AC168" s="18" t="n"/>
      <c r="AD168" s="18" t="n"/>
      <c r="AE168" s="29" t="n"/>
    </row>
    <row r="169" ht="16" customHeight="1">
      <c r="A169" s="16" t="inlineStr">
        <is>
          <t>Radimersky</t>
        </is>
      </c>
      <c r="B169" s="20" t="n"/>
      <c r="C169" s="20" t="n"/>
      <c r="D169" s="20" t="n"/>
      <c r="E169" s="17" t="n"/>
      <c r="F169" s="17" t="n"/>
      <c r="G169" s="20" t="n"/>
      <c r="H169" s="20" t="n"/>
      <c r="I169" s="20" t="n"/>
      <c r="J169" s="20" t="n"/>
      <c r="K169" s="20" t="n"/>
      <c r="L169" s="17" t="n"/>
      <c r="M169" s="17" t="n"/>
      <c r="N169" s="20" t="n"/>
      <c r="O169" s="20" t="n"/>
      <c r="P169" s="20" t="n"/>
      <c r="Q169" s="20" t="n"/>
      <c r="R169" s="20" t="n"/>
      <c r="S169" s="17" t="n"/>
      <c r="T169" s="17" t="n"/>
      <c r="U169" s="20" t="n"/>
      <c r="V169" s="20" t="n"/>
      <c r="W169" s="20" t="n"/>
      <c r="X169" s="20" t="n"/>
      <c r="Y169" s="20" t="n"/>
      <c r="Z169" s="17" t="n"/>
      <c r="AA169" s="17" t="n"/>
      <c r="AB169" s="20" t="n"/>
      <c r="AC169" s="20" t="n"/>
      <c r="AD169" s="20" t="n"/>
      <c r="AE169" s="30" t="n"/>
    </row>
    <row r="170" ht="15" customHeight="1">
      <c r="A170" s="21" t="inlineStr">
        <is>
          <t>Besetzung</t>
        </is>
      </c>
      <c r="B170" s="23">
        <f>IF(AND(COUNTIF(B158:B169,"FI")&gt;0,COUNTIF(B158:B169,"SI")&gt;0,COUNTIF(B158:B169,"NI")&gt;0),"","!")</f>
        <v/>
      </c>
      <c r="C170" s="23">
        <f>IF(AND(COUNTIF(C158:C169,"FI")&gt;0,COUNTIF(C158:C169,"SI")&gt;0,COUNTIF(C158:C169,"NI")&gt;0),"","!")</f>
        <v/>
      </c>
      <c r="D170" s="23">
        <f>IF(AND(COUNTIF(D158:D169,"FI")&gt;0,COUNTIF(D158:D169,"SI")&gt;0),"","!")</f>
        <v/>
      </c>
      <c r="E170" s="22" t="n"/>
      <c r="F170" s="22" t="n"/>
      <c r="G170" s="23">
        <f>IF(AND(COUNTIF(G158:G169,"FI")&gt;0,COUNTIF(G158:G169,"SI")&gt;0,COUNTIF(G158:G169,"NI")&gt;0),"","!")</f>
        <v/>
      </c>
      <c r="H170" s="23">
        <f>IF(AND(COUNTIF(H158:H169,"FI")&gt;0,COUNTIF(H158:H169,"SI")&gt;0,COUNTIF(H158:H169,"NI")&gt;0),"","!")</f>
        <v/>
      </c>
      <c r="I170" s="23">
        <f>IF(AND(COUNTIF(I158:I169,"FI")&gt;0,COUNTIF(I158:I169,"SI")&gt;0,COUNTIF(I158:I169,"NI")&gt;0),"","!")</f>
        <v/>
      </c>
      <c r="J170" s="23">
        <f>IF(AND(COUNTIF(J158:J169,"FI")&gt;0,COUNTIF(J158:J169,"SI")&gt;0,COUNTIF(J158:J169,"NI")&gt;0),"","!")</f>
        <v/>
      </c>
      <c r="K170" s="23">
        <f>IF(AND(COUNTIF(K158:K169,"FI")&gt;0,COUNTIF(K158:K169,"SI")&gt;0),"","!")</f>
        <v/>
      </c>
      <c r="L170" s="22" t="n"/>
      <c r="M170" s="22" t="n"/>
      <c r="N170" s="23">
        <f>IF(AND(COUNTIF(N158:N169,"FI")&gt;0,COUNTIF(N158:N169,"SI")&gt;0,COUNTIF(N158:N169,"NI")&gt;0),"","!")</f>
        <v/>
      </c>
      <c r="O170" s="23">
        <f>IF(AND(COUNTIF(O158:O169,"FI")&gt;0,COUNTIF(O158:O169,"SI")&gt;0,COUNTIF(O158:O169,"NI")&gt;0),"","!")</f>
        <v/>
      </c>
      <c r="P170" s="23">
        <f>IF(AND(COUNTIF(P158:P169,"FI")&gt;0,COUNTIF(P158:P169,"SI")&gt;0,COUNTIF(P158:P169,"NI")&gt;0),"","!")</f>
        <v/>
      </c>
      <c r="Q170" s="23">
        <f>IF(AND(COUNTIF(Q158:Q169,"FI")&gt;0,COUNTIF(Q158:Q169,"SI")&gt;0,COUNTIF(Q158:Q169,"NI")&gt;0),"","!")</f>
        <v/>
      </c>
      <c r="R170" s="23">
        <f>IF(AND(COUNTIF(R158:R169,"FI")&gt;0,COUNTIF(R158:R169,"SI")&gt;0),"","!")</f>
        <v/>
      </c>
      <c r="S170" s="22" t="n"/>
      <c r="T170" s="22" t="n"/>
      <c r="U170" s="23">
        <f>IF(AND(COUNTIF(U158:U169,"FI")&gt;0,COUNTIF(U158:U169,"SI")&gt;0,COUNTIF(U158:U169,"NI")&gt;0),"","!")</f>
        <v/>
      </c>
      <c r="V170" s="23">
        <f>IF(AND(COUNTIF(V158:V169,"FI")&gt;0,COUNTIF(V158:V169,"SI")&gt;0,COUNTIF(V158:V169,"NI")&gt;0),"","!")</f>
        <v/>
      </c>
      <c r="W170" s="23">
        <f>IF(AND(COUNTIF(W158:W169,"FI")&gt;0,COUNTIF(W158:W169,"SI")&gt;0,COUNTIF(W158:W169,"NI")&gt;0),"","!")</f>
        <v/>
      </c>
      <c r="X170" s="23">
        <f>IF(AND(COUNTIF(X158:X169,"FI")&gt;0,COUNTIF(X158:X169,"SI")&gt;0,COUNTIF(X158:X169,"NI")&gt;0),"","!")</f>
        <v/>
      </c>
      <c r="Y170" s="23">
        <f>IF(AND(COUNTIF(Y158:Y169,"FI")&gt;0,COUNTIF(Y158:Y169,"SI")&gt;0),"","!")</f>
        <v/>
      </c>
      <c r="Z170" s="22" t="n"/>
      <c r="AA170" s="22" t="n"/>
      <c r="AB170" s="23">
        <f>IF(AND(COUNTIF(AB158:AB169,"FI")&gt;0,COUNTIF(AB158:AB169,"SI")&gt;0,COUNTIF(AB158:AB169,"NI")&gt;0),"","!")</f>
        <v/>
      </c>
      <c r="AC170" s="23">
        <f>IF(AND(COUNTIF(AC158:AC169,"FI")&gt;0,COUNTIF(AC158:AC169,"SI")&gt;0,COUNTIF(AC158:AC169,"NI")&gt;0),"","!")</f>
        <v/>
      </c>
      <c r="AD170" s="23">
        <f>IF(AND(COUNTIF(AD158:AD169,"FI")&gt;0,COUNTIF(AD158:AD169,"SI")&gt;0,COUNTIF(AD158:AD169,"NI")&gt;0),"","!")</f>
        <v/>
      </c>
      <c r="AE170" s="31">
        <f>IF(AND(COUNTIF(AE158:AE169,"FI")&gt;0,COUNTIF(AE158:AE169,"SI")&gt;0,COUNTIF(AE158:AE169,"NI")&gt;0),"","!")</f>
        <v/>
      </c>
    </row>
    <row r="172">
      <c r="Z172" s="25" t="inlineStr">
        <is>
          <t>Herbstferien</t>
        </is>
      </c>
    </row>
    <row r="173" ht="20" customHeight="1">
      <c r="A173" s="2" t="inlineStr">
        <is>
          <t>Oktober</t>
        </is>
      </c>
    </row>
    <row r="174" ht="15" customHeight="1">
      <c r="A174" s="3" t="inlineStr">
        <is>
          <t>KW</t>
        </is>
      </c>
      <c r="B174" s="6" t="n">
        <v>39</v>
      </c>
      <c r="C174" s="5" t="n"/>
      <c r="D174" s="5" t="n"/>
      <c r="E174" s="6" t="n">
        <v>40</v>
      </c>
      <c r="F174" s="7" t="n"/>
      <c r="G174" s="7" t="n"/>
      <c r="H174" s="7" t="n"/>
      <c r="I174" s="7" t="n"/>
      <c r="J174" s="5" t="n"/>
      <c r="K174" s="5" t="n"/>
      <c r="L174" s="6" t="n">
        <v>41</v>
      </c>
      <c r="M174" s="7" t="n"/>
      <c r="N174" s="7" t="n"/>
      <c r="O174" s="7" t="n"/>
      <c r="P174" s="7" t="n"/>
      <c r="Q174" s="5" t="n"/>
      <c r="R174" s="5" t="n"/>
      <c r="S174" s="6" t="n">
        <v>42</v>
      </c>
      <c r="T174" s="7" t="n"/>
      <c r="U174" s="7" t="n"/>
      <c r="V174" s="7" t="n"/>
      <c r="W174" s="7" t="n"/>
      <c r="X174" s="5" t="n"/>
      <c r="Y174" s="5" t="n"/>
      <c r="Z174" s="6" t="n">
        <v>43</v>
      </c>
      <c r="AA174" s="7" t="n"/>
      <c r="AB174" s="7" t="n"/>
      <c r="AC174" s="7" t="n"/>
      <c r="AD174" s="7" t="n"/>
      <c r="AE174" s="5" t="n"/>
      <c r="AF174" s="8" t="n"/>
    </row>
    <row r="175" ht="18" customHeight="1">
      <c r="A175" s="9" t="inlineStr">
        <is>
          <t>Tag</t>
        </is>
      </c>
      <c r="B175" s="11" t="n">
        <v>1</v>
      </c>
      <c r="C175" s="10" t="n">
        <v>2</v>
      </c>
      <c r="D175" s="10" t="n">
        <v>3</v>
      </c>
      <c r="E175" s="11" t="n">
        <v>4</v>
      </c>
      <c r="F175" s="11" t="n">
        <v>5</v>
      </c>
      <c r="G175" s="11" t="n">
        <v>6</v>
      </c>
      <c r="H175" s="11" t="n">
        <v>7</v>
      </c>
      <c r="I175" s="11" t="n">
        <v>8</v>
      </c>
      <c r="J175" s="10" t="n">
        <v>9</v>
      </c>
      <c r="K175" s="10" t="n">
        <v>10</v>
      </c>
      <c r="L175" s="11" t="n">
        <v>11</v>
      </c>
      <c r="M175" s="11" t="n">
        <v>12</v>
      </c>
      <c r="N175" s="11" t="n">
        <v>13</v>
      </c>
      <c r="O175" s="11" t="n">
        <v>14</v>
      </c>
      <c r="P175" s="11" t="n">
        <v>15</v>
      </c>
      <c r="Q175" s="10" t="n">
        <v>16</v>
      </c>
      <c r="R175" s="10" t="n">
        <v>17</v>
      </c>
      <c r="S175" s="11" t="n">
        <v>18</v>
      </c>
      <c r="T175" s="11" t="n">
        <v>19</v>
      </c>
      <c r="U175" s="11" t="n">
        <v>20</v>
      </c>
      <c r="V175" s="11" t="n">
        <v>21</v>
      </c>
      <c r="W175" s="11" t="n">
        <v>22</v>
      </c>
      <c r="X175" s="10" t="n">
        <v>23</v>
      </c>
      <c r="Y175" s="10" t="n">
        <v>24</v>
      </c>
      <c r="Z175" s="11" t="n">
        <v>25</v>
      </c>
      <c r="AA175" s="11" t="n">
        <v>26</v>
      </c>
      <c r="AB175" s="11" t="n">
        <v>27</v>
      </c>
      <c r="AC175" s="11" t="n">
        <v>28</v>
      </c>
      <c r="AD175" s="11" t="n">
        <v>29</v>
      </c>
      <c r="AE175" s="10" t="n">
        <v>30</v>
      </c>
      <c r="AF175" s="12" t="n">
        <v>31</v>
      </c>
    </row>
    <row r="176" ht="18" customHeight="1">
      <c r="A176" s="9" t="inlineStr">
        <is>
          <t>WT</t>
        </is>
      </c>
      <c r="B176" s="14" t="inlineStr">
        <is>
          <t>Fr</t>
        </is>
      </c>
      <c r="C176" s="13" t="inlineStr">
        <is>
          <t>Sa</t>
        </is>
      </c>
      <c r="D176" s="13" t="inlineStr">
        <is>
          <t>So</t>
        </is>
      </c>
      <c r="E176" s="14" t="inlineStr">
        <is>
          <t>Mo</t>
        </is>
      </c>
      <c r="F176" s="14" t="inlineStr">
        <is>
          <t>Di</t>
        </is>
      </c>
      <c r="G176" s="14" t="inlineStr">
        <is>
          <t>Mi</t>
        </is>
      </c>
      <c r="H176" s="14" t="inlineStr">
        <is>
          <t>Do</t>
        </is>
      </c>
      <c r="I176" s="14" t="inlineStr">
        <is>
          <t>Fr</t>
        </is>
      </c>
      <c r="J176" s="13" t="inlineStr">
        <is>
          <t>Sa</t>
        </is>
      </c>
      <c r="K176" s="13" t="inlineStr">
        <is>
          <t>So</t>
        </is>
      </c>
      <c r="L176" s="14" t="inlineStr">
        <is>
          <t>Mo</t>
        </is>
      </c>
      <c r="M176" s="14" t="inlineStr">
        <is>
          <t>Di</t>
        </is>
      </c>
      <c r="N176" s="14" t="inlineStr">
        <is>
          <t>Mi</t>
        </is>
      </c>
      <c r="O176" s="14" t="inlineStr">
        <is>
          <t>Do</t>
        </is>
      </c>
      <c r="P176" s="14" t="inlineStr">
        <is>
          <t>Fr</t>
        </is>
      </c>
      <c r="Q176" s="13" t="inlineStr">
        <is>
          <t>Sa</t>
        </is>
      </c>
      <c r="R176" s="13" t="inlineStr">
        <is>
          <t>So</t>
        </is>
      </c>
      <c r="S176" s="14" t="inlineStr">
        <is>
          <t>Mo</t>
        </is>
      </c>
      <c r="T176" s="14" t="inlineStr">
        <is>
          <t>Di</t>
        </is>
      </c>
      <c r="U176" s="14" t="inlineStr">
        <is>
          <t>Mi</t>
        </is>
      </c>
      <c r="V176" s="14" t="inlineStr">
        <is>
          <t>Do</t>
        </is>
      </c>
      <c r="W176" s="14" t="inlineStr">
        <is>
          <t>Fr</t>
        </is>
      </c>
      <c r="X176" s="13" t="inlineStr">
        <is>
          <t>Sa</t>
        </is>
      </c>
      <c r="Y176" s="13" t="inlineStr">
        <is>
          <t>So</t>
        </is>
      </c>
      <c r="Z176" s="14" t="inlineStr">
        <is>
          <t>Mo</t>
        </is>
      </c>
      <c r="AA176" s="14" t="inlineStr">
        <is>
          <t>Di</t>
        </is>
      </c>
      <c r="AB176" s="14" t="inlineStr">
        <is>
          <t>Mi</t>
        </is>
      </c>
      <c r="AC176" s="14" t="inlineStr">
        <is>
          <t>Do</t>
        </is>
      </c>
      <c r="AD176" s="14" t="inlineStr">
        <is>
          <t>Fr</t>
        </is>
      </c>
      <c r="AE176" s="13" t="inlineStr">
        <is>
          <t>Sa</t>
        </is>
      </c>
      <c r="AF176" s="15" t="inlineStr">
        <is>
          <t>So</t>
        </is>
      </c>
    </row>
    <row r="177" ht="16" customHeight="1">
      <c r="A177" s="16" t="inlineStr">
        <is>
          <t>Breig</t>
        </is>
      </c>
      <c r="B177" s="18" t="n"/>
      <c r="C177" s="17" t="n"/>
      <c r="D177" s="17" t="n"/>
      <c r="E177" s="18" t="n"/>
      <c r="F177" s="18" t="n"/>
      <c r="G177" s="18" t="n"/>
      <c r="H177" s="18" t="n"/>
      <c r="I177" s="18" t="n"/>
      <c r="J177" s="17" t="n"/>
      <c r="K177" s="17" t="n"/>
      <c r="L177" s="18" t="n"/>
      <c r="M177" s="18" t="n"/>
      <c r="N177" s="18" t="n"/>
      <c r="O177" s="18" t="n"/>
      <c r="P177" s="18" t="n"/>
      <c r="Q177" s="17" t="n"/>
      <c r="R177" s="17" t="n"/>
      <c r="S177" s="18" t="n"/>
      <c r="T177" s="18" t="n"/>
      <c r="U177" s="18" t="n"/>
      <c r="V177" s="18" t="n"/>
      <c r="W177" s="18" t="n"/>
      <c r="X177" s="17" t="n"/>
      <c r="Y177" s="17" t="n"/>
      <c r="Z177" s="18" t="n"/>
      <c r="AA177" s="18" t="n"/>
      <c r="AB177" s="18" t="n"/>
      <c r="AC177" s="18" t="n"/>
      <c r="AD177" s="18" t="n"/>
      <c r="AE177" s="17" t="n"/>
      <c r="AF177" s="19" t="n"/>
    </row>
    <row r="178" ht="16" customHeight="1">
      <c r="A178" s="16" t="inlineStr">
        <is>
          <t>Siebert</t>
        </is>
      </c>
      <c r="B178" s="20" t="n"/>
      <c r="C178" s="17" t="n"/>
      <c r="D178" s="17" t="n"/>
      <c r="E178" s="20" t="n"/>
      <c r="F178" s="20" t="n"/>
      <c r="G178" s="20" t="n"/>
      <c r="H178" s="20" t="n"/>
      <c r="I178" s="20" t="n"/>
      <c r="J178" s="17" t="n"/>
      <c r="K178" s="17" t="n"/>
      <c r="L178" s="20" t="n"/>
      <c r="M178" s="20" t="n"/>
      <c r="N178" s="20" t="n"/>
      <c r="O178" s="20" t="n"/>
      <c r="P178" s="20" t="n"/>
      <c r="Q178" s="17" t="n"/>
      <c r="R178" s="17" t="n"/>
      <c r="S178" s="20" t="n"/>
      <c r="T178" s="20" t="n"/>
      <c r="U178" s="20" t="n"/>
      <c r="V178" s="20" t="n"/>
      <c r="W178" s="20" t="n"/>
      <c r="X178" s="17" t="n"/>
      <c r="Y178" s="17" t="n"/>
      <c r="Z178" s="20" t="n"/>
      <c r="AA178" s="20" t="n"/>
      <c r="AB178" s="20" t="n"/>
      <c r="AC178" s="20" t="n"/>
      <c r="AD178" s="20" t="n"/>
      <c r="AE178" s="17" t="n"/>
      <c r="AF178" s="19" t="n"/>
    </row>
    <row r="179" ht="16" customHeight="1">
      <c r="A179" s="16" t="inlineStr">
        <is>
          <t>Jochim</t>
        </is>
      </c>
      <c r="B179" s="18" t="n"/>
      <c r="C179" s="17" t="n"/>
      <c r="D179" s="17" t="n"/>
      <c r="E179" s="18" t="n"/>
      <c r="F179" s="18" t="n"/>
      <c r="G179" s="18" t="n"/>
      <c r="H179" s="18" t="n"/>
      <c r="I179" s="18" t="n"/>
      <c r="J179" s="17" t="n"/>
      <c r="K179" s="17" t="n"/>
      <c r="L179" s="18" t="n"/>
      <c r="M179" s="18" t="n"/>
      <c r="N179" s="18" t="n"/>
      <c r="O179" s="18" t="n"/>
      <c r="P179" s="18" t="n"/>
      <c r="Q179" s="17" t="n"/>
      <c r="R179" s="17" t="n"/>
      <c r="S179" s="18" t="n"/>
      <c r="T179" s="18" t="n"/>
      <c r="U179" s="18" t="n"/>
      <c r="V179" s="18" t="n"/>
      <c r="W179" s="18" t="n"/>
      <c r="X179" s="17" t="n"/>
      <c r="Y179" s="17" t="n"/>
      <c r="Z179" s="18" t="n"/>
      <c r="AA179" s="18" t="n"/>
      <c r="AB179" s="18" t="n"/>
      <c r="AC179" s="18" t="n"/>
      <c r="AD179" s="18" t="n"/>
      <c r="AE179" s="17" t="n"/>
      <c r="AF179" s="19" t="n"/>
    </row>
    <row r="180" ht="16" customHeight="1">
      <c r="A180" s="16" t="inlineStr">
        <is>
          <t>Wunsch</t>
        </is>
      </c>
      <c r="B180" s="20" t="n"/>
      <c r="C180" s="17" t="n"/>
      <c r="D180" s="17" t="n"/>
      <c r="E180" s="20" t="n"/>
      <c r="F180" s="20" t="n"/>
      <c r="G180" s="20" t="n"/>
      <c r="H180" s="20" t="n"/>
      <c r="I180" s="20" t="n"/>
      <c r="J180" s="17" t="n"/>
      <c r="K180" s="17" t="n"/>
      <c r="L180" s="20" t="n"/>
      <c r="M180" s="20" t="n"/>
      <c r="N180" s="20" t="n"/>
      <c r="O180" s="20" t="n"/>
      <c r="P180" s="20" t="n"/>
      <c r="Q180" s="17" t="n"/>
      <c r="R180" s="17" t="n"/>
      <c r="S180" s="20" t="n"/>
      <c r="T180" s="20" t="n"/>
      <c r="U180" s="20" t="n"/>
      <c r="V180" s="20" t="n"/>
      <c r="W180" s="20" t="n"/>
      <c r="X180" s="17" t="n"/>
      <c r="Y180" s="17" t="n"/>
      <c r="Z180" s="20" t="n"/>
      <c r="AA180" s="20" t="n"/>
      <c r="AB180" s="20" t="n"/>
      <c r="AC180" s="20" t="n"/>
      <c r="AD180" s="20" t="n"/>
      <c r="AE180" s="17" t="n"/>
      <c r="AF180" s="19" t="n"/>
    </row>
    <row r="181" ht="16" customHeight="1">
      <c r="A181" s="16" t="inlineStr">
        <is>
          <t>Göpfrich</t>
        </is>
      </c>
      <c r="B181" s="18" t="n"/>
      <c r="C181" s="17" t="n"/>
      <c r="D181" s="17" t="n"/>
      <c r="E181" s="18" t="n"/>
      <c r="F181" s="18" t="n"/>
      <c r="G181" s="18" t="n"/>
      <c r="H181" s="18" t="n"/>
      <c r="I181" s="18" t="n"/>
      <c r="J181" s="17" t="n"/>
      <c r="K181" s="17" t="n"/>
      <c r="L181" s="18" t="n"/>
      <c r="M181" s="18" t="n"/>
      <c r="N181" s="18" t="n"/>
      <c r="O181" s="18" t="n"/>
      <c r="P181" s="18" t="n"/>
      <c r="Q181" s="17" t="n"/>
      <c r="R181" s="17" t="n"/>
      <c r="S181" s="18" t="n"/>
      <c r="T181" s="18" t="n"/>
      <c r="U181" s="18" t="n"/>
      <c r="V181" s="18" t="n"/>
      <c r="W181" s="18" t="n"/>
      <c r="X181" s="17" t="n"/>
      <c r="Y181" s="17" t="n"/>
      <c r="Z181" s="18" t="n"/>
      <c r="AA181" s="18" t="n"/>
      <c r="AB181" s="18" t="n"/>
      <c r="AC181" s="18" t="n"/>
      <c r="AD181" s="18" t="n"/>
      <c r="AE181" s="17" t="n"/>
      <c r="AF181" s="19" t="n"/>
    </row>
    <row r="182" ht="16" customHeight="1">
      <c r="A182" s="16" t="inlineStr">
        <is>
          <t>Zeller</t>
        </is>
      </c>
      <c r="B182" s="20" t="n"/>
      <c r="C182" s="17" t="n"/>
      <c r="D182" s="17" t="n"/>
      <c r="E182" s="20" t="n"/>
      <c r="F182" s="20" t="n"/>
      <c r="G182" s="20" t="n"/>
      <c r="H182" s="20" t="n"/>
      <c r="I182" s="20" t="n"/>
      <c r="J182" s="17" t="n"/>
      <c r="K182" s="17" t="n"/>
      <c r="L182" s="20" t="n"/>
      <c r="M182" s="20" t="n"/>
      <c r="N182" s="20" t="n"/>
      <c r="O182" s="20" t="n"/>
      <c r="P182" s="20" t="n"/>
      <c r="Q182" s="17" t="n"/>
      <c r="R182" s="17" t="n"/>
      <c r="S182" s="20" t="n"/>
      <c r="T182" s="20" t="n"/>
      <c r="U182" s="20" t="n"/>
      <c r="V182" s="20" t="n"/>
      <c r="W182" s="20" t="n"/>
      <c r="X182" s="17" t="n"/>
      <c r="Y182" s="17" t="n"/>
      <c r="Z182" s="20" t="n"/>
      <c r="AA182" s="20" t="n"/>
      <c r="AB182" s="20" t="n"/>
      <c r="AC182" s="20" t="n"/>
      <c r="AD182" s="20" t="n"/>
      <c r="AE182" s="17" t="n"/>
      <c r="AF182" s="19" t="n"/>
    </row>
    <row r="183" ht="16" customHeight="1">
      <c r="A183" s="16" t="inlineStr">
        <is>
          <t>Behrendt</t>
        </is>
      </c>
      <c r="B183" s="18" t="n"/>
      <c r="C183" s="17" t="n"/>
      <c r="D183" s="17" t="n"/>
      <c r="E183" s="18" t="n"/>
      <c r="F183" s="18" t="n"/>
      <c r="G183" s="18" t="n"/>
      <c r="H183" s="18" t="n"/>
      <c r="I183" s="18" t="n"/>
      <c r="J183" s="17" t="n"/>
      <c r="K183" s="17" t="n"/>
      <c r="L183" s="18" t="n"/>
      <c r="M183" s="18" t="n"/>
      <c r="N183" s="18" t="n"/>
      <c r="O183" s="18" t="n"/>
      <c r="P183" s="18" t="n"/>
      <c r="Q183" s="17" t="n"/>
      <c r="R183" s="17" t="n"/>
      <c r="S183" s="18" t="n"/>
      <c r="T183" s="18" t="n"/>
      <c r="U183" s="18" t="n"/>
      <c r="V183" s="18" t="n"/>
      <c r="W183" s="18" t="n"/>
      <c r="X183" s="17" t="n"/>
      <c r="Y183" s="17" t="n"/>
      <c r="Z183" s="18" t="n"/>
      <c r="AA183" s="18" t="n"/>
      <c r="AB183" s="18" t="n"/>
      <c r="AC183" s="18" t="n"/>
      <c r="AD183" s="18" t="n"/>
      <c r="AE183" s="17" t="n"/>
      <c r="AF183" s="19" t="n"/>
    </row>
    <row r="184" ht="16" customHeight="1">
      <c r="A184" s="16" t="inlineStr">
        <is>
          <t>Krempl</t>
        </is>
      </c>
      <c r="B184" s="20" t="n"/>
      <c r="C184" s="17" t="n"/>
      <c r="D184" s="17" t="n"/>
      <c r="E184" s="20" t="n"/>
      <c r="F184" s="20" t="n"/>
      <c r="G184" s="20" t="n"/>
      <c r="H184" s="20" t="n"/>
      <c r="I184" s="20" t="n"/>
      <c r="J184" s="17" t="n"/>
      <c r="K184" s="17" t="n"/>
      <c r="L184" s="20" t="n"/>
      <c r="M184" s="20" t="n"/>
      <c r="N184" s="20" t="n"/>
      <c r="O184" s="20" t="n"/>
      <c r="P184" s="20" t="n"/>
      <c r="Q184" s="17" t="n"/>
      <c r="R184" s="17" t="n"/>
      <c r="S184" s="20" t="n"/>
      <c r="T184" s="20" t="n"/>
      <c r="U184" s="20" t="n"/>
      <c r="V184" s="20" t="n"/>
      <c r="W184" s="20" t="n"/>
      <c r="X184" s="17" t="n"/>
      <c r="Y184" s="17" t="n"/>
      <c r="Z184" s="20" t="n"/>
      <c r="AA184" s="20" t="n"/>
      <c r="AB184" s="20" t="n"/>
      <c r="AC184" s="20" t="n"/>
      <c r="AD184" s="20" t="n"/>
      <c r="AE184" s="17" t="n"/>
      <c r="AF184" s="19" t="n"/>
    </row>
    <row r="185" ht="16" customHeight="1">
      <c r="A185" s="16" t="inlineStr">
        <is>
          <t>Putschler</t>
        </is>
      </c>
      <c r="B185" s="18" t="n"/>
      <c r="C185" s="17" t="n"/>
      <c r="D185" s="17" t="n"/>
      <c r="E185" s="18" t="n"/>
      <c r="F185" s="18" t="n"/>
      <c r="G185" s="18" t="n"/>
      <c r="H185" s="18" t="n"/>
      <c r="I185" s="18" t="n"/>
      <c r="J185" s="17" t="n"/>
      <c r="K185" s="17" t="n"/>
      <c r="L185" s="18" t="n"/>
      <c r="M185" s="18" t="n"/>
      <c r="N185" s="18" t="n"/>
      <c r="O185" s="18" t="n"/>
      <c r="P185" s="18" t="n"/>
      <c r="Q185" s="17" t="n"/>
      <c r="R185" s="17" t="n"/>
      <c r="S185" s="18" t="n"/>
      <c r="T185" s="18" t="n"/>
      <c r="U185" s="18" t="n"/>
      <c r="V185" s="18" t="n"/>
      <c r="W185" s="18" t="n"/>
      <c r="X185" s="17" t="n"/>
      <c r="Y185" s="17" t="n"/>
      <c r="Z185" s="18" t="n"/>
      <c r="AA185" s="18" t="n"/>
      <c r="AB185" s="18" t="n"/>
      <c r="AC185" s="18" t="n"/>
      <c r="AD185" s="18" t="n"/>
      <c r="AE185" s="17" t="n"/>
      <c r="AF185" s="19" t="n"/>
    </row>
    <row r="186" ht="16" customHeight="1">
      <c r="A186" s="16" t="inlineStr">
        <is>
          <t>Kunz</t>
        </is>
      </c>
      <c r="B186" s="20" t="n"/>
      <c r="C186" s="17" t="n"/>
      <c r="D186" s="17" t="n"/>
      <c r="E186" s="20" t="n"/>
      <c r="F186" s="20" t="n"/>
      <c r="G186" s="20" t="n"/>
      <c r="H186" s="20" t="n"/>
      <c r="I186" s="20" t="n"/>
      <c r="J186" s="17" t="n"/>
      <c r="K186" s="17" t="n"/>
      <c r="L186" s="20" t="n"/>
      <c r="M186" s="20" t="n"/>
      <c r="N186" s="20" t="n"/>
      <c r="O186" s="20" t="n"/>
      <c r="P186" s="20" t="n"/>
      <c r="Q186" s="17" t="n"/>
      <c r="R186" s="17" t="n"/>
      <c r="S186" s="20" t="n"/>
      <c r="T186" s="20" t="n"/>
      <c r="U186" s="20" t="n"/>
      <c r="V186" s="20" t="n"/>
      <c r="W186" s="20" t="n"/>
      <c r="X186" s="17" t="n"/>
      <c r="Y186" s="17" t="n"/>
      <c r="Z186" s="20" t="n"/>
      <c r="AA186" s="20" t="n"/>
      <c r="AB186" s="20" t="n"/>
      <c r="AC186" s="20" t="n"/>
      <c r="AD186" s="20" t="n"/>
      <c r="AE186" s="17" t="n"/>
      <c r="AF186" s="19" t="n"/>
    </row>
    <row r="187" ht="16" customHeight="1">
      <c r="A187" s="16" t="inlineStr">
        <is>
          <t>Schmidt</t>
        </is>
      </c>
      <c r="B187" s="18" t="n"/>
      <c r="C187" s="17" t="n"/>
      <c r="D187" s="17" t="n"/>
      <c r="E187" s="18" t="n"/>
      <c r="F187" s="18" t="n"/>
      <c r="G187" s="18" t="n"/>
      <c r="H187" s="18" t="n"/>
      <c r="I187" s="18" t="n"/>
      <c r="J187" s="17" t="n"/>
      <c r="K187" s="17" t="n"/>
      <c r="L187" s="18" t="n"/>
      <c r="M187" s="18" t="n"/>
      <c r="N187" s="18" t="n"/>
      <c r="O187" s="18" t="n"/>
      <c r="P187" s="18" t="n"/>
      <c r="Q187" s="17" t="n"/>
      <c r="R187" s="17" t="n"/>
      <c r="S187" s="18" t="n"/>
      <c r="T187" s="18" t="n"/>
      <c r="U187" s="18" t="n"/>
      <c r="V187" s="18" t="n"/>
      <c r="W187" s="18" t="n"/>
      <c r="X187" s="17" t="n"/>
      <c r="Y187" s="17" t="n"/>
      <c r="Z187" s="18" t="n"/>
      <c r="AA187" s="18" t="n"/>
      <c r="AB187" s="18" t="n"/>
      <c r="AC187" s="18" t="n"/>
      <c r="AD187" s="18" t="n"/>
      <c r="AE187" s="17" t="n"/>
      <c r="AF187" s="19" t="n"/>
    </row>
    <row r="188" ht="16" customHeight="1">
      <c r="A188" s="16" t="inlineStr">
        <is>
          <t>Radimersky</t>
        </is>
      </c>
      <c r="B188" s="20" t="n"/>
      <c r="C188" s="17" t="n"/>
      <c r="D188" s="17" t="n"/>
      <c r="E188" s="20" t="n"/>
      <c r="F188" s="20" t="n"/>
      <c r="G188" s="20" t="n"/>
      <c r="H188" s="20" t="n"/>
      <c r="I188" s="20" t="n"/>
      <c r="J188" s="17" t="n"/>
      <c r="K188" s="17" t="n"/>
      <c r="L188" s="20" t="n"/>
      <c r="M188" s="20" t="n"/>
      <c r="N188" s="20" t="n"/>
      <c r="O188" s="20" t="n"/>
      <c r="P188" s="20" t="n"/>
      <c r="Q188" s="17" t="n"/>
      <c r="R188" s="17" t="n"/>
      <c r="S188" s="20" t="n"/>
      <c r="T188" s="20" t="n"/>
      <c r="U188" s="20" t="n"/>
      <c r="V188" s="20" t="n"/>
      <c r="W188" s="20" t="n"/>
      <c r="X188" s="17" t="n"/>
      <c r="Y188" s="17" t="n"/>
      <c r="Z188" s="20" t="n"/>
      <c r="AA188" s="20" t="n"/>
      <c r="AB188" s="20" t="n"/>
      <c r="AC188" s="20" t="n"/>
      <c r="AD188" s="20" t="n"/>
      <c r="AE188" s="17" t="n"/>
      <c r="AF188" s="19" t="n"/>
    </row>
    <row r="189" ht="15" customHeight="1">
      <c r="A189" s="21" t="inlineStr">
        <is>
          <t>Besetzung</t>
        </is>
      </c>
      <c r="B189" s="23">
        <f>IF(AND(COUNTIF(B177:B188,"FI")&gt;0,COUNTIF(B177:B188,"SI")&gt;0),"","!")</f>
        <v/>
      </c>
      <c r="C189" s="22" t="n"/>
      <c r="D189" s="22" t="n"/>
      <c r="E189" s="23">
        <f>IF(AND(COUNTIF(E177:E188,"FI")&gt;0,COUNTIF(E177:E188,"SI")&gt;0,COUNTIF(E177:E188,"NI")&gt;0),"","!")</f>
        <v/>
      </c>
      <c r="F189" s="23">
        <f>IF(AND(COUNTIF(F177:F188,"FI")&gt;0,COUNTIF(F177:F188,"SI")&gt;0,COUNTIF(F177:F188,"NI")&gt;0),"","!")</f>
        <v/>
      </c>
      <c r="G189" s="23">
        <f>IF(AND(COUNTIF(G177:G188,"FI")&gt;0,COUNTIF(G177:G188,"SI")&gt;0,COUNTIF(G177:G188,"NI")&gt;0),"","!")</f>
        <v/>
      </c>
      <c r="H189" s="23">
        <f>IF(AND(COUNTIF(H177:H188,"FI")&gt;0,COUNTIF(H177:H188,"SI")&gt;0,COUNTIF(H177:H188,"NI")&gt;0),"","!")</f>
        <v/>
      </c>
      <c r="I189" s="23">
        <f>IF(AND(COUNTIF(I177:I188,"FI")&gt;0,COUNTIF(I177:I188,"SI")&gt;0),"","!")</f>
        <v/>
      </c>
      <c r="J189" s="22" t="n"/>
      <c r="K189" s="22" t="n"/>
      <c r="L189" s="23">
        <f>IF(AND(COUNTIF(L177:L188,"FI")&gt;0,COUNTIF(L177:L188,"SI")&gt;0,COUNTIF(L177:L188,"NI")&gt;0),"","!")</f>
        <v/>
      </c>
      <c r="M189" s="23">
        <f>IF(AND(COUNTIF(M177:M188,"FI")&gt;0,COUNTIF(M177:M188,"SI")&gt;0,COUNTIF(M177:M188,"NI")&gt;0),"","!")</f>
        <v/>
      </c>
      <c r="N189" s="23">
        <f>IF(AND(COUNTIF(N177:N188,"FI")&gt;0,COUNTIF(N177:N188,"SI")&gt;0,COUNTIF(N177:N188,"NI")&gt;0),"","!")</f>
        <v/>
      </c>
      <c r="O189" s="23">
        <f>IF(AND(COUNTIF(O177:O188,"FI")&gt;0,COUNTIF(O177:O188,"SI")&gt;0,COUNTIF(O177:O188,"NI")&gt;0),"","!")</f>
        <v/>
      </c>
      <c r="P189" s="23">
        <f>IF(AND(COUNTIF(P177:P188,"FI")&gt;0,COUNTIF(P177:P188,"SI")&gt;0),"","!")</f>
        <v/>
      </c>
      <c r="Q189" s="22" t="n"/>
      <c r="R189" s="22" t="n"/>
      <c r="S189" s="23">
        <f>IF(AND(COUNTIF(S177:S188,"FI")&gt;0,COUNTIF(S177:S188,"SI")&gt;0,COUNTIF(S177:S188,"NI")&gt;0),"","!")</f>
        <v/>
      </c>
      <c r="T189" s="23">
        <f>IF(AND(COUNTIF(T177:T188,"FI")&gt;0,COUNTIF(T177:T188,"SI")&gt;0,COUNTIF(T177:T188,"NI")&gt;0),"","!")</f>
        <v/>
      </c>
      <c r="U189" s="23">
        <f>IF(AND(COUNTIF(U177:U188,"FI")&gt;0,COUNTIF(U177:U188,"SI")&gt;0,COUNTIF(U177:U188,"NI")&gt;0),"","!")</f>
        <v/>
      </c>
      <c r="V189" s="23">
        <f>IF(AND(COUNTIF(V177:V188,"FI")&gt;0,COUNTIF(V177:V188,"SI")&gt;0,COUNTIF(V177:V188,"NI")&gt;0),"","!")</f>
        <v/>
      </c>
      <c r="W189" s="23">
        <f>IF(AND(COUNTIF(W177:W188,"FI")&gt;0,COUNTIF(W177:W188,"SI")&gt;0),"","!")</f>
        <v/>
      </c>
      <c r="X189" s="22" t="n"/>
      <c r="Y189" s="22" t="n"/>
      <c r="Z189" s="23">
        <f>IF(AND(COUNTIF(Z177:Z188,"FI")&gt;0,COUNTIF(Z177:Z188,"SI")&gt;0,COUNTIF(Z177:Z188,"NI")&gt;0),"","!")</f>
        <v/>
      </c>
      <c r="AA189" s="23">
        <f>IF(AND(COUNTIF(AA177:AA188,"FI")&gt;0,COUNTIF(AA177:AA188,"SI")&gt;0,COUNTIF(AA177:AA188,"NI")&gt;0),"","!")</f>
        <v/>
      </c>
      <c r="AB189" s="23">
        <f>IF(AND(COUNTIF(AB177:AB188,"FI")&gt;0,COUNTIF(AB177:AB188,"SI")&gt;0,COUNTIF(AB177:AB188,"NI")&gt;0),"","!")</f>
        <v/>
      </c>
      <c r="AC189" s="23">
        <f>IF(AND(COUNTIF(AC177:AC188,"FI")&gt;0,COUNTIF(AC177:AC188,"SI")&gt;0,COUNTIF(AC177:AC188,"NI")&gt;0),"","!")</f>
        <v/>
      </c>
      <c r="AD189" s="23">
        <f>IF(AND(COUNTIF(AD177:AD188,"FI")&gt;0,COUNTIF(AD177:AD188,"SI")&gt;0),"","!")</f>
        <v/>
      </c>
      <c r="AE189" s="22" t="n"/>
      <c r="AF189" s="24" t="n"/>
    </row>
    <row r="191" ht="20" customHeight="1">
      <c r="A191" s="2" t="inlineStr">
        <is>
          <t>November</t>
        </is>
      </c>
    </row>
    <row r="192" ht="15" customHeight="1">
      <c r="A192" s="3" t="inlineStr">
        <is>
          <t>KW</t>
        </is>
      </c>
      <c r="B192" s="4" t="n">
        <v>44</v>
      </c>
      <c r="C192" s="7" t="n"/>
      <c r="D192" s="7" t="n"/>
      <c r="E192" s="7" t="n"/>
      <c r="F192" s="7" t="n"/>
      <c r="G192" s="5" t="n"/>
      <c r="H192" s="5" t="n"/>
      <c r="I192" s="6" t="n">
        <v>45</v>
      </c>
      <c r="J192" s="7" t="n"/>
      <c r="K192" s="7" t="n"/>
      <c r="L192" s="7" t="n"/>
      <c r="M192" s="7" t="n"/>
      <c r="N192" s="5" t="n"/>
      <c r="O192" s="5" t="n"/>
      <c r="P192" s="6" t="n">
        <v>46</v>
      </c>
      <c r="Q192" s="7" t="n"/>
      <c r="R192" s="7" t="n"/>
      <c r="S192" s="7" t="n"/>
      <c r="T192" s="7" t="n"/>
      <c r="U192" s="5" t="n"/>
      <c r="V192" s="5" t="n"/>
      <c r="W192" s="6" t="n">
        <v>47</v>
      </c>
      <c r="X192" s="7" t="n"/>
      <c r="Y192" s="7" t="n"/>
      <c r="Z192" s="7" t="n"/>
      <c r="AA192" s="7" t="n"/>
      <c r="AB192" s="5" t="n"/>
      <c r="AC192" s="5" t="n"/>
      <c r="AD192" s="6" t="n">
        <v>48</v>
      </c>
      <c r="AE192" s="26" t="n"/>
    </row>
    <row r="193" ht="18" customHeight="1">
      <c r="A193" s="9" t="inlineStr">
        <is>
          <t>Tag</t>
        </is>
      </c>
      <c r="B193" s="10" t="n">
        <v>1</v>
      </c>
      <c r="C193" s="11" t="n">
        <v>2</v>
      </c>
      <c r="D193" s="11" t="n">
        <v>3</v>
      </c>
      <c r="E193" s="11" t="n">
        <v>4</v>
      </c>
      <c r="F193" s="11" t="n">
        <v>5</v>
      </c>
      <c r="G193" s="10" t="n">
        <v>6</v>
      </c>
      <c r="H193" s="10" t="n">
        <v>7</v>
      </c>
      <c r="I193" s="11" t="n">
        <v>8</v>
      </c>
      <c r="J193" s="11" t="n">
        <v>9</v>
      </c>
      <c r="K193" s="11" t="n">
        <v>10</v>
      </c>
      <c r="L193" s="11" t="n">
        <v>11</v>
      </c>
      <c r="M193" s="11" t="n">
        <v>12</v>
      </c>
      <c r="N193" s="10" t="n">
        <v>13</v>
      </c>
      <c r="O193" s="10" t="n">
        <v>14</v>
      </c>
      <c r="P193" s="11" t="n">
        <v>15</v>
      </c>
      <c r="Q193" s="11" t="n">
        <v>16</v>
      </c>
      <c r="R193" s="11" t="n">
        <v>17</v>
      </c>
      <c r="S193" s="11" t="n">
        <v>18</v>
      </c>
      <c r="T193" s="11" t="n">
        <v>19</v>
      </c>
      <c r="U193" s="10" t="n">
        <v>20</v>
      </c>
      <c r="V193" s="10" t="n">
        <v>21</v>
      </c>
      <c r="W193" s="11" t="n">
        <v>22</v>
      </c>
      <c r="X193" s="11" t="n">
        <v>23</v>
      </c>
      <c r="Y193" s="11" t="n">
        <v>24</v>
      </c>
      <c r="Z193" s="11" t="n">
        <v>25</v>
      </c>
      <c r="AA193" s="11" t="n">
        <v>26</v>
      </c>
      <c r="AB193" s="10" t="n">
        <v>27</v>
      </c>
      <c r="AC193" s="10" t="n">
        <v>28</v>
      </c>
      <c r="AD193" s="11" t="n">
        <v>29</v>
      </c>
      <c r="AE193" s="27" t="n">
        <v>30</v>
      </c>
    </row>
    <row r="194" ht="18" customHeight="1">
      <c r="A194" s="9" t="inlineStr">
        <is>
          <t>WT</t>
        </is>
      </c>
      <c r="B194" s="13" t="inlineStr">
        <is>
          <t>Mo</t>
        </is>
      </c>
      <c r="C194" s="14" t="inlineStr">
        <is>
          <t>Di</t>
        </is>
      </c>
      <c r="D194" s="14" t="inlineStr">
        <is>
          <t>Mi</t>
        </is>
      </c>
      <c r="E194" s="14" t="inlineStr">
        <is>
          <t>Do</t>
        </is>
      </c>
      <c r="F194" s="14" t="inlineStr">
        <is>
          <t>Fr</t>
        </is>
      </c>
      <c r="G194" s="13" t="inlineStr">
        <is>
          <t>Sa</t>
        </is>
      </c>
      <c r="H194" s="13" t="inlineStr">
        <is>
          <t>So</t>
        </is>
      </c>
      <c r="I194" s="14" t="inlineStr">
        <is>
          <t>Mo</t>
        </is>
      </c>
      <c r="J194" s="14" t="inlineStr">
        <is>
          <t>Di</t>
        </is>
      </c>
      <c r="K194" s="14" t="inlineStr">
        <is>
          <t>Mi</t>
        </is>
      </c>
      <c r="L194" s="14" t="inlineStr">
        <is>
          <t>Do</t>
        </is>
      </c>
      <c r="M194" s="14" t="inlineStr">
        <is>
          <t>Fr</t>
        </is>
      </c>
      <c r="N194" s="13" t="inlineStr">
        <is>
          <t>Sa</t>
        </is>
      </c>
      <c r="O194" s="13" t="inlineStr">
        <is>
          <t>So</t>
        </is>
      </c>
      <c r="P194" s="14" t="inlineStr">
        <is>
          <t>Mo</t>
        </is>
      </c>
      <c r="Q194" s="14" t="inlineStr">
        <is>
          <t>Di</t>
        </is>
      </c>
      <c r="R194" s="14" t="inlineStr">
        <is>
          <t>Mi</t>
        </is>
      </c>
      <c r="S194" s="14" t="inlineStr">
        <is>
          <t>Do</t>
        </is>
      </c>
      <c r="T194" s="14" t="inlineStr">
        <is>
          <t>Fr</t>
        </is>
      </c>
      <c r="U194" s="13" t="inlineStr">
        <is>
          <t>Sa</t>
        </is>
      </c>
      <c r="V194" s="13" t="inlineStr">
        <is>
          <t>So</t>
        </is>
      </c>
      <c r="W194" s="14" t="inlineStr">
        <is>
          <t>Mo</t>
        </is>
      </c>
      <c r="X194" s="14" t="inlineStr">
        <is>
          <t>Di</t>
        </is>
      </c>
      <c r="Y194" s="14" t="inlineStr">
        <is>
          <t>Mi</t>
        </is>
      </c>
      <c r="Z194" s="14" t="inlineStr">
        <is>
          <t>Do</t>
        </is>
      </c>
      <c r="AA194" s="14" t="inlineStr">
        <is>
          <t>Fr</t>
        </is>
      </c>
      <c r="AB194" s="13" t="inlineStr">
        <is>
          <t>Sa</t>
        </is>
      </c>
      <c r="AC194" s="13" t="inlineStr">
        <is>
          <t>So</t>
        </is>
      </c>
      <c r="AD194" s="14" t="inlineStr">
        <is>
          <t>Mo</t>
        </is>
      </c>
      <c r="AE194" s="28" t="inlineStr">
        <is>
          <t>Di</t>
        </is>
      </c>
    </row>
    <row r="195" ht="16" customHeight="1">
      <c r="A195" s="16" t="inlineStr">
        <is>
          <t>Breig</t>
        </is>
      </c>
      <c r="B195" s="17" t="n"/>
      <c r="C195" s="18" t="n"/>
      <c r="D195" s="18" t="n"/>
      <c r="E195" s="18" t="n"/>
      <c r="F195" s="18" t="n"/>
      <c r="G195" s="17" t="n"/>
      <c r="H195" s="17" t="n"/>
      <c r="I195" s="18" t="n"/>
      <c r="J195" s="18" t="n"/>
      <c r="K195" s="18" t="n"/>
      <c r="L195" s="18" t="n"/>
      <c r="M195" s="18" t="n"/>
      <c r="N195" s="17" t="n"/>
      <c r="O195" s="17" t="n"/>
      <c r="P195" s="18" t="n"/>
      <c r="Q195" s="18" t="n"/>
      <c r="R195" s="18" t="n"/>
      <c r="S195" s="18" t="n"/>
      <c r="T195" s="18" t="n"/>
      <c r="U195" s="17" t="n"/>
      <c r="V195" s="17" t="n"/>
      <c r="W195" s="18" t="n"/>
      <c r="X195" s="18" t="n"/>
      <c r="Y195" s="18" t="n"/>
      <c r="Z195" s="18" t="n"/>
      <c r="AA195" s="18" t="n"/>
      <c r="AB195" s="17" t="n"/>
      <c r="AC195" s="17" t="n"/>
      <c r="AD195" s="18" t="n"/>
      <c r="AE195" s="29" t="n"/>
    </row>
    <row r="196" ht="16" customHeight="1">
      <c r="A196" s="16" t="inlineStr">
        <is>
          <t>Siebert</t>
        </is>
      </c>
      <c r="B196" s="17" t="n"/>
      <c r="C196" s="20" t="n"/>
      <c r="D196" s="20" t="n"/>
      <c r="E196" s="20" t="n"/>
      <c r="F196" s="20" t="n"/>
      <c r="G196" s="17" t="n"/>
      <c r="H196" s="17" t="n"/>
      <c r="I196" s="20" t="n"/>
      <c r="J196" s="20" t="n"/>
      <c r="K196" s="20" t="n"/>
      <c r="L196" s="20" t="n"/>
      <c r="M196" s="20" t="n"/>
      <c r="N196" s="17" t="n"/>
      <c r="O196" s="17" t="n"/>
      <c r="P196" s="20" t="n"/>
      <c r="Q196" s="20" t="n"/>
      <c r="R196" s="20" t="n"/>
      <c r="S196" s="20" t="n"/>
      <c r="T196" s="20" t="n"/>
      <c r="U196" s="17" t="n"/>
      <c r="V196" s="17" t="n"/>
      <c r="W196" s="20" t="n"/>
      <c r="X196" s="20" t="n"/>
      <c r="Y196" s="20" t="n"/>
      <c r="Z196" s="20" t="n"/>
      <c r="AA196" s="20" t="n"/>
      <c r="AB196" s="17" t="n"/>
      <c r="AC196" s="17" t="n"/>
      <c r="AD196" s="20" t="n"/>
      <c r="AE196" s="30" t="n"/>
    </row>
    <row r="197" ht="16" customHeight="1">
      <c r="A197" s="16" t="inlineStr">
        <is>
          <t>Jochim</t>
        </is>
      </c>
      <c r="B197" s="17" t="n"/>
      <c r="C197" s="18" t="n"/>
      <c r="D197" s="18" t="n"/>
      <c r="E197" s="18" t="n"/>
      <c r="F197" s="18" t="n"/>
      <c r="G197" s="17" t="n"/>
      <c r="H197" s="17" t="n"/>
      <c r="I197" s="18" t="n"/>
      <c r="J197" s="18" t="n"/>
      <c r="K197" s="18" t="n"/>
      <c r="L197" s="18" t="n"/>
      <c r="M197" s="18" t="n"/>
      <c r="N197" s="17" t="n"/>
      <c r="O197" s="17" t="n"/>
      <c r="P197" s="18" t="n"/>
      <c r="Q197" s="18" t="n"/>
      <c r="R197" s="18" t="n"/>
      <c r="S197" s="18" t="n"/>
      <c r="T197" s="18" t="n"/>
      <c r="U197" s="17" t="n"/>
      <c r="V197" s="17" t="n"/>
      <c r="W197" s="18" t="n"/>
      <c r="X197" s="18" t="n"/>
      <c r="Y197" s="18" t="n"/>
      <c r="Z197" s="18" t="n"/>
      <c r="AA197" s="18" t="n"/>
      <c r="AB197" s="17" t="n"/>
      <c r="AC197" s="17" t="n"/>
      <c r="AD197" s="18" t="n"/>
      <c r="AE197" s="29" t="n"/>
    </row>
    <row r="198" ht="16" customHeight="1">
      <c r="A198" s="16" t="inlineStr">
        <is>
          <t>Wunsch</t>
        </is>
      </c>
      <c r="B198" s="17" t="n"/>
      <c r="C198" s="20" t="n"/>
      <c r="D198" s="20" t="n"/>
      <c r="E198" s="20" t="n"/>
      <c r="F198" s="20" t="n"/>
      <c r="G198" s="17" t="n"/>
      <c r="H198" s="17" t="n"/>
      <c r="I198" s="20" t="n"/>
      <c r="J198" s="20" t="n"/>
      <c r="K198" s="20" t="n"/>
      <c r="L198" s="20" t="n"/>
      <c r="M198" s="20" t="n"/>
      <c r="N198" s="17" t="n"/>
      <c r="O198" s="17" t="n"/>
      <c r="P198" s="20" t="n"/>
      <c r="Q198" s="20" t="n"/>
      <c r="R198" s="20" t="n"/>
      <c r="S198" s="20" t="n"/>
      <c r="T198" s="20" t="n"/>
      <c r="U198" s="17" t="n"/>
      <c r="V198" s="17" t="n"/>
      <c r="W198" s="20" t="n"/>
      <c r="X198" s="20" t="n"/>
      <c r="Y198" s="20" t="n"/>
      <c r="Z198" s="20" t="n"/>
      <c r="AA198" s="20" t="n"/>
      <c r="AB198" s="17" t="n"/>
      <c r="AC198" s="17" t="n"/>
      <c r="AD198" s="20" t="n"/>
      <c r="AE198" s="30" t="n"/>
    </row>
    <row r="199" ht="16" customHeight="1">
      <c r="A199" s="16" t="inlineStr">
        <is>
          <t>Göpfrich</t>
        </is>
      </c>
      <c r="B199" s="17" t="n"/>
      <c r="C199" s="18" t="n"/>
      <c r="D199" s="18" t="n"/>
      <c r="E199" s="18" t="n"/>
      <c r="F199" s="18" t="n"/>
      <c r="G199" s="17" t="n"/>
      <c r="H199" s="17" t="n"/>
      <c r="I199" s="18" t="n"/>
      <c r="J199" s="18" t="n"/>
      <c r="K199" s="18" t="n"/>
      <c r="L199" s="18" t="n"/>
      <c r="M199" s="18" t="n"/>
      <c r="N199" s="17" t="n"/>
      <c r="O199" s="17" t="n"/>
      <c r="P199" s="18" t="n"/>
      <c r="Q199" s="18" t="n"/>
      <c r="R199" s="18" t="n"/>
      <c r="S199" s="18" t="n"/>
      <c r="T199" s="18" t="n"/>
      <c r="U199" s="17" t="n"/>
      <c r="V199" s="17" t="n"/>
      <c r="W199" s="18" t="n"/>
      <c r="X199" s="18" t="n"/>
      <c r="Y199" s="18" t="n"/>
      <c r="Z199" s="18" t="n"/>
      <c r="AA199" s="18" t="n"/>
      <c r="AB199" s="17" t="n"/>
      <c r="AC199" s="17" t="n"/>
      <c r="AD199" s="18" t="n"/>
      <c r="AE199" s="29" t="n"/>
    </row>
    <row r="200" ht="16" customHeight="1">
      <c r="A200" s="16" t="inlineStr">
        <is>
          <t>Zeller</t>
        </is>
      </c>
      <c r="B200" s="17" t="n"/>
      <c r="C200" s="20" t="n"/>
      <c r="D200" s="20" t="n"/>
      <c r="E200" s="20" t="n"/>
      <c r="F200" s="20" t="n"/>
      <c r="G200" s="17" t="n"/>
      <c r="H200" s="17" t="n"/>
      <c r="I200" s="20" t="n"/>
      <c r="J200" s="20" t="n"/>
      <c r="K200" s="20" t="n"/>
      <c r="L200" s="20" t="n"/>
      <c r="M200" s="20" t="n"/>
      <c r="N200" s="17" t="n"/>
      <c r="O200" s="17" t="n"/>
      <c r="P200" s="20" t="n"/>
      <c r="Q200" s="20" t="n"/>
      <c r="R200" s="20" t="n"/>
      <c r="S200" s="20" t="n"/>
      <c r="T200" s="20" t="n"/>
      <c r="U200" s="17" t="n"/>
      <c r="V200" s="17" t="n"/>
      <c r="W200" s="20" t="n"/>
      <c r="X200" s="20" t="n"/>
      <c r="Y200" s="20" t="n"/>
      <c r="Z200" s="20" t="n"/>
      <c r="AA200" s="20" t="n"/>
      <c r="AB200" s="17" t="n"/>
      <c r="AC200" s="17" t="n"/>
      <c r="AD200" s="20" t="n"/>
      <c r="AE200" s="30" t="n"/>
    </row>
    <row r="201" ht="16" customHeight="1">
      <c r="A201" s="16" t="inlineStr">
        <is>
          <t>Behrendt</t>
        </is>
      </c>
      <c r="B201" s="17" t="n"/>
      <c r="C201" s="18" t="n"/>
      <c r="D201" s="18" t="n"/>
      <c r="E201" s="18" t="n"/>
      <c r="F201" s="18" t="n"/>
      <c r="G201" s="17" t="n"/>
      <c r="H201" s="17" t="n"/>
      <c r="I201" s="18" t="n"/>
      <c r="J201" s="18" t="n"/>
      <c r="K201" s="18" t="n"/>
      <c r="L201" s="18" t="n"/>
      <c r="M201" s="18" t="n"/>
      <c r="N201" s="17" t="n"/>
      <c r="O201" s="17" t="n"/>
      <c r="P201" s="18" t="n"/>
      <c r="Q201" s="18" t="n"/>
      <c r="R201" s="18" t="n"/>
      <c r="S201" s="18" t="n"/>
      <c r="T201" s="18" t="n"/>
      <c r="U201" s="17" t="n"/>
      <c r="V201" s="17" t="n"/>
      <c r="W201" s="18" t="n"/>
      <c r="X201" s="18" t="n"/>
      <c r="Y201" s="18" t="n"/>
      <c r="Z201" s="18" t="n"/>
      <c r="AA201" s="18" t="n"/>
      <c r="AB201" s="17" t="n"/>
      <c r="AC201" s="17" t="n"/>
      <c r="AD201" s="18" t="n"/>
      <c r="AE201" s="29" t="n"/>
    </row>
    <row r="202" ht="16" customHeight="1">
      <c r="A202" s="16" t="inlineStr">
        <is>
          <t>Krempl</t>
        </is>
      </c>
      <c r="B202" s="17" t="n"/>
      <c r="C202" s="20" t="n"/>
      <c r="D202" s="20" t="n"/>
      <c r="E202" s="20" t="n"/>
      <c r="F202" s="20" t="n"/>
      <c r="G202" s="17" t="n"/>
      <c r="H202" s="17" t="n"/>
      <c r="I202" s="20" t="n"/>
      <c r="J202" s="20" t="n"/>
      <c r="K202" s="20" t="n"/>
      <c r="L202" s="20" t="n"/>
      <c r="M202" s="20" t="n"/>
      <c r="N202" s="17" t="n"/>
      <c r="O202" s="17" t="n"/>
      <c r="P202" s="20" t="n"/>
      <c r="Q202" s="20" t="n"/>
      <c r="R202" s="20" t="n"/>
      <c r="S202" s="20" t="n"/>
      <c r="T202" s="20" t="n"/>
      <c r="U202" s="17" t="n"/>
      <c r="V202" s="17" t="n"/>
      <c r="W202" s="20" t="n"/>
      <c r="X202" s="20" t="n"/>
      <c r="Y202" s="20" t="n"/>
      <c r="Z202" s="20" t="n"/>
      <c r="AA202" s="20" t="n"/>
      <c r="AB202" s="17" t="n"/>
      <c r="AC202" s="17" t="n"/>
      <c r="AD202" s="20" t="n"/>
      <c r="AE202" s="30" t="n"/>
    </row>
    <row r="203" ht="16" customHeight="1">
      <c r="A203" s="16" t="inlineStr">
        <is>
          <t>Putschler</t>
        </is>
      </c>
      <c r="B203" s="17" t="n"/>
      <c r="C203" s="18" t="n"/>
      <c r="D203" s="18" t="n"/>
      <c r="E203" s="18" t="n"/>
      <c r="F203" s="18" t="n"/>
      <c r="G203" s="17" t="n"/>
      <c r="H203" s="17" t="n"/>
      <c r="I203" s="18" t="n"/>
      <c r="J203" s="18" t="n"/>
      <c r="K203" s="18" t="n"/>
      <c r="L203" s="18" t="n"/>
      <c r="M203" s="18" t="n"/>
      <c r="N203" s="17" t="n"/>
      <c r="O203" s="17" t="n"/>
      <c r="P203" s="18" t="n"/>
      <c r="Q203" s="18" t="n"/>
      <c r="R203" s="18" t="n"/>
      <c r="S203" s="18" t="n"/>
      <c r="T203" s="18" t="n"/>
      <c r="U203" s="17" t="n"/>
      <c r="V203" s="17" t="n"/>
      <c r="W203" s="18" t="n"/>
      <c r="X203" s="18" t="n"/>
      <c r="Y203" s="18" t="n"/>
      <c r="Z203" s="18" t="n"/>
      <c r="AA203" s="18" t="n"/>
      <c r="AB203" s="17" t="n"/>
      <c r="AC203" s="17" t="n"/>
      <c r="AD203" s="18" t="n"/>
      <c r="AE203" s="29" t="n"/>
    </row>
    <row r="204" ht="16" customHeight="1">
      <c r="A204" s="16" t="inlineStr">
        <is>
          <t>Kunz</t>
        </is>
      </c>
      <c r="B204" s="17" t="n"/>
      <c r="C204" s="20" t="n"/>
      <c r="D204" s="20" t="n"/>
      <c r="E204" s="20" t="n"/>
      <c r="F204" s="20" t="n"/>
      <c r="G204" s="17" t="n"/>
      <c r="H204" s="17" t="n"/>
      <c r="I204" s="20" t="n"/>
      <c r="J204" s="20" t="n"/>
      <c r="K204" s="20" t="n"/>
      <c r="L204" s="20" t="n"/>
      <c r="M204" s="20" t="n"/>
      <c r="N204" s="17" t="n"/>
      <c r="O204" s="17" t="n"/>
      <c r="P204" s="20" t="n"/>
      <c r="Q204" s="20" t="n"/>
      <c r="R204" s="20" t="n"/>
      <c r="S204" s="20" t="n"/>
      <c r="T204" s="20" t="n"/>
      <c r="U204" s="17" t="n"/>
      <c r="V204" s="17" t="n"/>
      <c r="W204" s="20" t="n"/>
      <c r="X204" s="20" t="n"/>
      <c r="Y204" s="20" t="n"/>
      <c r="Z204" s="20" t="n"/>
      <c r="AA204" s="20" t="n"/>
      <c r="AB204" s="17" t="n"/>
      <c r="AC204" s="17" t="n"/>
      <c r="AD204" s="20" t="n"/>
      <c r="AE204" s="30" t="n"/>
    </row>
    <row r="205" ht="16" customHeight="1">
      <c r="A205" s="16" t="inlineStr">
        <is>
          <t>Schmidt</t>
        </is>
      </c>
      <c r="B205" s="17" t="n"/>
      <c r="C205" s="18" t="n"/>
      <c r="D205" s="18" t="n"/>
      <c r="E205" s="18" t="n"/>
      <c r="F205" s="18" t="n"/>
      <c r="G205" s="17" t="n"/>
      <c r="H205" s="17" t="n"/>
      <c r="I205" s="18" t="n"/>
      <c r="J205" s="18" t="n"/>
      <c r="K205" s="18" t="n"/>
      <c r="L205" s="18" t="n"/>
      <c r="M205" s="18" t="n"/>
      <c r="N205" s="17" t="n"/>
      <c r="O205" s="17" t="n"/>
      <c r="P205" s="18" t="n"/>
      <c r="Q205" s="18" t="n"/>
      <c r="R205" s="18" t="n"/>
      <c r="S205" s="18" t="n"/>
      <c r="T205" s="18" t="n"/>
      <c r="U205" s="17" t="n"/>
      <c r="V205" s="17" t="n"/>
      <c r="W205" s="18" t="n"/>
      <c r="X205" s="18" t="n"/>
      <c r="Y205" s="18" t="n"/>
      <c r="Z205" s="18" t="n"/>
      <c r="AA205" s="18" t="n"/>
      <c r="AB205" s="17" t="n"/>
      <c r="AC205" s="17" t="n"/>
      <c r="AD205" s="18" t="n"/>
      <c r="AE205" s="29" t="n"/>
    </row>
    <row r="206" ht="16" customHeight="1">
      <c r="A206" s="16" t="inlineStr">
        <is>
          <t>Radimersky</t>
        </is>
      </c>
      <c r="B206" s="17" t="n"/>
      <c r="C206" s="20" t="n"/>
      <c r="D206" s="20" t="n"/>
      <c r="E206" s="20" t="n"/>
      <c r="F206" s="20" t="n"/>
      <c r="G206" s="17" t="n"/>
      <c r="H206" s="17" t="n"/>
      <c r="I206" s="20" t="n"/>
      <c r="J206" s="20" t="n"/>
      <c r="K206" s="20" t="n"/>
      <c r="L206" s="20" t="n"/>
      <c r="M206" s="20" t="n"/>
      <c r="N206" s="17" t="n"/>
      <c r="O206" s="17" t="n"/>
      <c r="P206" s="20" t="n"/>
      <c r="Q206" s="20" t="n"/>
      <c r="R206" s="20" t="n"/>
      <c r="S206" s="20" t="n"/>
      <c r="T206" s="20" t="n"/>
      <c r="U206" s="17" t="n"/>
      <c r="V206" s="17" t="n"/>
      <c r="W206" s="20" t="n"/>
      <c r="X206" s="20" t="n"/>
      <c r="Y206" s="20" t="n"/>
      <c r="Z206" s="20" t="n"/>
      <c r="AA206" s="20" t="n"/>
      <c r="AB206" s="17" t="n"/>
      <c r="AC206" s="17" t="n"/>
      <c r="AD206" s="20" t="n"/>
      <c r="AE206" s="30" t="n"/>
    </row>
    <row r="207" ht="15" customHeight="1">
      <c r="A207" s="21" t="inlineStr">
        <is>
          <t>Besetzung</t>
        </is>
      </c>
      <c r="B207" s="22" t="n"/>
      <c r="C207" s="23">
        <f>IF(AND(COUNTIF(C195:C206,"FI")&gt;0,COUNTIF(C195:C206,"SI")&gt;0,COUNTIF(C195:C206,"NI")&gt;0),"","!")</f>
        <v/>
      </c>
      <c r="D207" s="23">
        <f>IF(AND(COUNTIF(D195:D206,"FI")&gt;0,COUNTIF(D195:D206,"SI")&gt;0,COUNTIF(D195:D206,"NI")&gt;0),"","!")</f>
        <v/>
      </c>
      <c r="E207" s="23">
        <f>IF(AND(COUNTIF(E195:E206,"FI")&gt;0,COUNTIF(E195:E206,"SI")&gt;0,COUNTIF(E195:E206,"NI")&gt;0),"","!")</f>
        <v/>
      </c>
      <c r="F207" s="23">
        <f>IF(AND(COUNTIF(F195:F206,"FI")&gt;0,COUNTIF(F195:F206,"SI")&gt;0),"","!")</f>
        <v/>
      </c>
      <c r="G207" s="22" t="n"/>
      <c r="H207" s="22" t="n"/>
      <c r="I207" s="23">
        <f>IF(AND(COUNTIF(I195:I206,"FI")&gt;0,COUNTIF(I195:I206,"SI")&gt;0,COUNTIF(I195:I206,"NI")&gt;0),"","!")</f>
        <v/>
      </c>
      <c r="J207" s="23">
        <f>IF(AND(COUNTIF(J195:J206,"FI")&gt;0,COUNTIF(J195:J206,"SI")&gt;0,COUNTIF(J195:J206,"NI")&gt;0),"","!")</f>
        <v/>
      </c>
      <c r="K207" s="23">
        <f>IF(AND(COUNTIF(K195:K206,"FI")&gt;0,COUNTIF(K195:K206,"SI")&gt;0,COUNTIF(K195:K206,"NI")&gt;0),"","!")</f>
        <v/>
      </c>
      <c r="L207" s="23">
        <f>IF(AND(COUNTIF(L195:L206,"FI")&gt;0,COUNTIF(L195:L206,"SI")&gt;0,COUNTIF(L195:L206,"NI")&gt;0),"","!")</f>
        <v/>
      </c>
      <c r="M207" s="23">
        <f>IF(AND(COUNTIF(M195:M206,"FI")&gt;0,COUNTIF(M195:M206,"SI")&gt;0),"","!")</f>
        <v/>
      </c>
      <c r="N207" s="22" t="n"/>
      <c r="O207" s="22" t="n"/>
      <c r="P207" s="23">
        <f>IF(AND(COUNTIF(P195:P206,"FI")&gt;0,COUNTIF(P195:P206,"SI")&gt;0,COUNTIF(P195:P206,"NI")&gt;0),"","!")</f>
        <v/>
      </c>
      <c r="Q207" s="23">
        <f>IF(AND(COUNTIF(Q195:Q206,"FI")&gt;0,COUNTIF(Q195:Q206,"SI")&gt;0,COUNTIF(Q195:Q206,"NI")&gt;0),"","!")</f>
        <v/>
      </c>
      <c r="R207" s="23">
        <f>IF(AND(COUNTIF(R195:R206,"FI")&gt;0,COUNTIF(R195:R206,"SI")&gt;0,COUNTIF(R195:R206,"NI")&gt;0),"","!")</f>
        <v/>
      </c>
      <c r="S207" s="23">
        <f>IF(AND(COUNTIF(S195:S206,"FI")&gt;0,COUNTIF(S195:S206,"SI")&gt;0,COUNTIF(S195:S206,"NI")&gt;0),"","!")</f>
        <v/>
      </c>
      <c r="T207" s="23">
        <f>IF(AND(COUNTIF(T195:T206,"FI")&gt;0,COUNTIF(T195:T206,"SI")&gt;0),"","!")</f>
        <v/>
      </c>
      <c r="U207" s="22" t="n"/>
      <c r="V207" s="22" t="n"/>
      <c r="W207" s="23">
        <f>IF(AND(COUNTIF(W195:W206,"FI")&gt;0,COUNTIF(W195:W206,"SI")&gt;0,COUNTIF(W195:W206,"NI")&gt;0),"","!")</f>
        <v/>
      </c>
      <c r="X207" s="23">
        <f>IF(AND(COUNTIF(X195:X206,"FI")&gt;0,COUNTIF(X195:X206,"SI")&gt;0,COUNTIF(X195:X206,"NI")&gt;0),"","!")</f>
        <v/>
      </c>
      <c r="Y207" s="23">
        <f>IF(AND(COUNTIF(Y195:Y206,"FI")&gt;0,COUNTIF(Y195:Y206,"SI")&gt;0,COUNTIF(Y195:Y206,"NI")&gt;0),"","!")</f>
        <v/>
      </c>
      <c r="Z207" s="23">
        <f>IF(AND(COUNTIF(Z195:Z206,"FI")&gt;0,COUNTIF(Z195:Z206,"SI")&gt;0,COUNTIF(Z195:Z206,"NI")&gt;0),"","!")</f>
        <v/>
      </c>
      <c r="AA207" s="23">
        <f>IF(AND(COUNTIF(AA195:AA206,"FI")&gt;0,COUNTIF(AA195:AA206,"SI")&gt;0),"","!")</f>
        <v/>
      </c>
      <c r="AB207" s="22" t="n"/>
      <c r="AC207" s="22" t="n"/>
      <c r="AD207" s="23">
        <f>IF(AND(COUNTIF(AD195:AD206,"FI")&gt;0,COUNTIF(AD195:AD206,"SI")&gt;0,COUNTIF(AD195:AD206,"NI")&gt;0),"","!")</f>
        <v/>
      </c>
      <c r="AE207" s="31">
        <f>IF(AND(COUNTIF(AE195:AE206,"FI")&gt;0,COUNTIF(AE195:AE206,"SI")&gt;0,COUNTIF(AE195:AE206,"NI")&gt;0),"","!")</f>
        <v/>
      </c>
    </row>
    <row r="209">
      <c r="X209" s="25" t="inlineStr">
        <is>
          <t>Weihnachtsferien</t>
        </is>
      </c>
    </row>
    <row r="210" ht="20" customHeight="1">
      <c r="A210" s="2" t="inlineStr">
        <is>
          <t>Dezember</t>
        </is>
      </c>
    </row>
    <row r="211" ht="15" customHeight="1">
      <c r="A211" s="3" t="inlineStr">
        <is>
          <t>KW</t>
        </is>
      </c>
      <c r="B211" s="6" t="n">
        <v>48</v>
      </c>
      <c r="C211" s="7" t="n"/>
      <c r="D211" s="7" t="n"/>
      <c r="E211" s="5" t="n"/>
      <c r="F211" s="5" t="n"/>
      <c r="G211" s="6" t="n">
        <v>49</v>
      </c>
      <c r="H211" s="7" t="n"/>
      <c r="I211" s="7" t="n"/>
      <c r="J211" s="7" t="n"/>
      <c r="K211" s="7" t="n"/>
      <c r="L211" s="5" t="n"/>
      <c r="M211" s="5" t="n"/>
      <c r="N211" s="6" t="n">
        <v>50</v>
      </c>
      <c r="O211" s="7" t="n"/>
      <c r="P211" s="7" t="n"/>
      <c r="Q211" s="7" t="n"/>
      <c r="R211" s="7" t="n"/>
      <c r="S211" s="5" t="n"/>
      <c r="T211" s="5" t="n"/>
      <c r="U211" s="6" t="n">
        <v>51</v>
      </c>
      <c r="V211" s="7" t="n"/>
      <c r="W211" s="7" t="n"/>
      <c r="X211" s="7" t="n"/>
      <c r="Y211" s="7" t="n"/>
      <c r="Z211" s="5" t="n"/>
      <c r="AA211" s="5" t="n"/>
      <c r="AB211" s="6" t="n">
        <v>52</v>
      </c>
      <c r="AC211" s="7" t="n"/>
      <c r="AD211" s="7" t="n"/>
      <c r="AE211" s="7" t="n"/>
      <c r="AF211" s="26" t="n"/>
    </row>
    <row r="212" ht="18" customHeight="1">
      <c r="A212" s="9" t="inlineStr">
        <is>
          <t>Tag</t>
        </is>
      </c>
      <c r="B212" s="11" t="n">
        <v>1</v>
      </c>
      <c r="C212" s="11" t="n">
        <v>2</v>
      </c>
      <c r="D212" s="11" t="n">
        <v>3</v>
      </c>
      <c r="E212" s="10" t="n">
        <v>4</v>
      </c>
      <c r="F212" s="10" t="n">
        <v>5</v>
      </c>
      <c r="G212" s="11" t="n">
        <v>6</v>
      </c>
      <c r="H212" s="11" t="n">
        <v>7</v>
      </c>
      <c r="I212" s="11" t="n">
        <v>8</v>
      </c>
      <c r="J212" s="11" t="n">
        <v>9</v>
      </c>
      <c r="K212" s="11" t="n">
        <v>10</v>
      </c>
      <c r="L212" s="10" t="n">
        <v>11</v>
      </c>
      <c r="M212" s="10" t="n">
        <v>12</v>
      </c>
      <c r="N212" s="11" t="n">
        <v>13</v>
      </c>
      <c r="O212" s="11" t="n">
        <v>14</v>
      </c>
      <c r="P212" s="11" t="n">
        <v>15</v>
      </c>
      <c r="Q212" s="11" t="n">
        <v>16</v>
      </c>
      <c r="R212" s="11" t="n">
        <v>17</v>
      </c>
      <c r="S212" s="10" t="n">
        <v>18</v>
      </c>
      <c r="T212" s="10" t="n">
        <v>19</v>
      </c>
      <c r="U212" s="11" t="n">
        <v>20</v>
      </c>
      <c r="V212" s="11" t="n">
        <v>21</v>
      </c>
      <c r="W212" s="11" t="n">
        <v>22</v>
      </c>
      <c r="X212" s="11" t="n">
        <v>23</v>
      </c>
      <c r="Y212" s="11" t="n">
        <v>24</v>
      </c>
      <c r="Z212" s="10" t="n">
        <v>25</v>
      </c>
      <c r="AA212" s="10" t="n">
        <v>26</v>
      </c>
      <c r="AB212" s="11" t="n">
        <v>27</v>
      </c>
      <c r="AC212" s="11" t="n">
        <v>28</v>
      </c>
      <c r="AD212" s="11" t="n">
        <v>29</v>
      </c>
      <c r="AE212" s="11" t="n">
        <v>30</v>
      </c>
      <c r="AF212" s="27" t="n">
        <v>31</v>
      </c>
    </row>
    <row r="213" ht="18" customHeight="1">
      <c r="A213" s="9" t="inlineStr">
        <is>
          <t>WT</t>
        </is>
      </c>
      <c r="B213" s="14" t="inlineStr">
        <is>
          <t>Mi</t>
        </is>
      </c>
      <c r="C213" s="14" t="inlineStr">
        <is>
          <t>Do</t>
        </is>
      </c>
      <c r="D213" s="14" t="inlineStr">
        <is>
          <t>Fr</t>
        </is>
      </c>
      <c r="E213" s="13" t="inlineStr">
        <is>
          <t>Sa</t>
        </is>
      </c>
      <c r="F213" s="13" t="inlineStr">
        <is>
          <t>So</t>
        </is>
      </c>
      <c r="G213" s="14" t="inlineStr">
        <is>
          <t>Mo</t>
        </is>
      </c>
      <c r="H213" s="14" t="inlineStr">
        <is>
          <t>Di</t>
        </is>
      </c>
      <c r="I213" s="14" t="inlineStr">
        <is>
          <t>Mi</t>
        </is>
      </c>
      <c r="J213" s="14" t="inlineStr">
        <is>
          <t>Do</t>
        </is>
      </c>
      <c r="K213" s="14" t="inlineStr">
        <is>
          <t>Fr</t>
        </is>
      </c>
      <c r="L213" s="13" t="inlineStr">
        <is>
          <t>Sa</t>
        </is>
      </c>
      <c r="M213" s="13" t="inlineStr">
        <is>
          <t>So</t>
        </is>
      </c>
      <c r="N213" s="14" t="inlineStr">
        <is>
          <t>Mo</t>
        </is>
      </c>
      <c r="O213" s="14" t="inlineStr">
        <is>
          <t>Di</t>
        </is>
      </c>
      <c r="P213" s="14" t="inlineStr">
        <is>
          <t>Mi</t>
        </is>
      </c>
      <c r="Q213" s="14" t="inlineStr">
        <is>
          <t>Do</t>
        </is>
      </c>
      <c r="R213" s="14" t="inlineStr">
        <is>
          <t>Fr</t>
        </is>
      </c>
      <c r="S213" s="13" t="inlineStr">
        <is>
          <t>Sa</t>
        </is>
      </c>
      <c r="T213" s="13" t="inlineStr">
        <is>
          <t>So</t>
        </is>
      </c>
      <c r="U213" s="14" t="inlineStr">
        <is>
          <t>Mo</t>
        </is>
      </c>
      <c r="V213" s="14" t="inlineStr">
        <is>
          <t>Di</t>
        </is>
      </c>
      <c r="W213" s="14" t="inlineStr">
        <is>
          <t>Mi</t>
        </is>
      </c>
      <c r="X213" s="14" t="inlineStr">
        <is>
          <t>Do</t>
        </is>
      </c>
      <c r="Y213" s="14" t="inlineStr">
        <is>
          <t>Fr</t>
        </is>
      </c>
      <c r="Z213" s="13" t="inlineStr">
        <is>
          <t>Sa</t>
        </is>
      </c>
      <c r="AA213" s="13" t="inlineStr">
        <is>
          <t>So</t>
        </is>
      </c>
      <c r="AB213" s="14" t="inlineStr">
        <is>
          <t>Mo</t>
        </is>
      </c>
      <c r="AC213" s="14" t="inlineStr">
        <is>
          <t>Di</t>
        </is>
      </c>
      <c r="AD213" s="14" t="inlineStr">
        <is>
          <t>Mi</t>
        </is>
      </c>
      <c r="AE213" s="14" t="inlineStr">
        <is>
          <t>Do</t>
        </is>
      </c>
      <c r="AF213" s="28" t="inlineStr">
        <is>
          <t>Fr</t>
        </is>
      </c>
    </row>
    <row r="214" ht="16" customHeight="1">
      <c r="A214" s="16" t="inlineStr">
        <is>
          <t>Breig</t>
        </is>
      </c>
      <c r="B214" s="18" t="n"/>
      <c r="C214" s="18" t="n"/>
      <c r="D214" s="18" t="n"/>
      <c r="E214" s="17" t="n"/>
      <c r="F214" s="17" t="n"/>
      <c r="G214" s="18" t="n"/>
      <c r="H214" s="18" t="n"/>
      <c r="I214" s="18" t="n"/>
      <c r="J214" s="18" t="n"/>
      <c r="K214" s="18" t="n"/>
      <c r="L214" s="17" t="n"/>
      <c r="M214" s="17" t="n"/>
      <c r="N214" s="18" t="n"/>
      <c r="O214" s="18" t="n"/>
      <c r="P214" s="18" t="n"/>
      <c r="Q214" s="18" t="n"/>
      <c r="R214" s="18" t="n"/>
      <c r="S214" s="17" t="n"/>
      <c r="T214" s="17" t="n"/>
      <c r="U214" s="18" t="n"/>
      <c r="V214" s="18" t="n"/>
      <c r="W214" s="18" t="n"/>
      <c r="X214" s="18" t="n"/>
      <c r="Y214" s="18" t="n"/>
      <c r="Z214" s="17" t="n"/>
      <c r="AA214" s="17" t="n"/>
      <c r="AB214" s="18" t="n"/>
      <c r="AC214" s="18" t="n"/>
      <c r="AD214" s="18" t="n"/>
      <c r="AE214" s="18" t="n"/>
      <c r="AF214" s="29" t="n"/>
    </row>
    <row r="215" ht="16" customHeight="1">
      <c r="A215" s="16" t="inlineStr">
        <is>
          <t>Siebert</t>
        </is>
      </c>
      <c r="B215" s="20" t="n"/>
      <c r="C215" s="20" t="n"/>
      <c r="D215" s="20" t="n"/>
      <c r="E215" s="17" t="n"/>
      <c r="F215" s="17" t="n"/>
      <c r="G215" s="20" t="n"/>
      <c r="H215" s="20" t="n"/>
      <c r="I215" s="20" t="n"/>
      <c r="J215" s="20" t="n"/>
      <c r="K215" s="20" t="n"/>
      <c r="L215" s="17" t="n"/>
      <c r="M215" s="17" t="n"/>
      <c r="N215" s="20" t="n"/>
      <c r="O215" s="20" t="n"/>
      <c r="P215" s="20" t="n"/>
      <c r="Q215" s="20" t="n"/>
      <c r="R215" s="20" t="n"/>
      <c r="S215" s="17" t="n"/>
      <c r="T215" s="17" t="n"/>
      <c r="U215" s="20" t="n"/>
      <c r="V215" s="20" t="n"/>
      <c r="W215" s="20" t="n"/>
      <c r="X215" s="20" t="n"/>
      <c r="Y215" s="20" t="n"/>
      <c r="Z215" s="17" t="n"/>
      <c r="AA215" s="17" t="n"/>
      <c r="AB215" s="20" t="n"/>
      <c r="AC215" s="20" t="n"/>
      <c r="AD215" s="20" t="n"/>
      <c r="AE215" s="20" t="n"/>
      <c r="AF215" s="30" t="n"/>
    </row>
    <row r="216" ht="16" customHeight="1">
      <c r="A216" s="16" t="inlineStr">
        <is>
          <t>Jochim</t>
        </is>
      </c>
      <c r="B216" s="18" t="n"/>
      <c r="C216" s="18" t="n"/>
      <c r="D216" s="18" t="n"/>
      <c r="E216" s="17" t="n"/>
      <c r="F216" s="17" t="n"/>
      <c r="G216" s="18" t="n"/>
      <c r="H216" s="18" t="n"/>
      <c r="I216" s="18" t="n"/>
      <c r="J216" s="18" t="n"/>
      <c r="K216" s="18" t="n"/>
      <c r="L216" s="17" t="n"/>
      <c r="M216" s="17" t="n"/>
      <c r="N216" s="18" t="n"/>
      <c r="O216" s="18" t="n"/>
      <c r="P216" s="18" t="n"/>
      <c r="Q216" s="18" t="n"/>
      <c r="R216" s="18" t="n"/>
      <c r="S216" s="17" t="n"/>
      <c r="T216" s="17" t="n"/>
      <c r="U216" s="18" t="n"/>
      <c r="V216" s="18" t="n"/>
      <c r="W216" s="18" t="n"/>
      <c r="X216" s="18" t="n"/>
      <c r="Y216" s="18" t="n"/>
      <c r="Z216" s="17" t="n"/>
      <c r="AA216" s="17" t="n"/>
      <c r="AB216" s="18" t="n"/>
      <c r="AC216" s="18" t="n"/>
      <c r="AD216" s="18" t="n"/>
      <c r="AE216" s="18" t="n"/>
      <c r="AF216" s="29" t="n"/>
    </row>
    <row r="217" ht="16" customHeight="1">
      <c r="A217" s="16" t="inlineStr">
        <is>
          <t>Wunsch</t>
        </is>
      </c>
      <c r="B217" s="20" t="n"/>
      <c r="C217" s="20" t="n"/>
      <c r="D217" s="20" t="n"/>
      <c r="E217" s="17" t="n"/>
      <c r="F217" s="17" t="n"/>
      <c r="G217" s="20" t="n"/>
      <c r="H217" s="20" t="n"/>
      <c r="I217" s="20" t="n"/>
      <c r="J217" s="20" t="n"/>
      <c r="K217" s="20" t="n"/>
      <c r="L217" s="17" t="n"/>
      <c r="M217" s="17" t="n"/>
      <c r="N217" s="20" t="n"/>
      <c r="O217" s="20" t="n"/>
      <c r="P217" s="20" t="n"/>
      <c r="Q217" s="20" t="n"/>
      <c r="R217" s="20" t="n"/>
      <c r="S217" s="17" t="n"/>
      <c r="T217" s="17" t="n"/>
      <c r="U217" s="20" t="n"/>
      <c r="V217" s="20" t="n"/>
      <c r="W217" s="20" t="n"/>
      <c r="X217" s="20" t="n"/>
      <c r="Y217" s="20" t="n"/>
      <c r="Z217" s="17" t="n"/>
      <c r="AA217" s="17" t="n"/>
      <c r="AB217" s="20" t="n"/>
      <c r="AC217" s="20" t="n"/>
      <c r="AD217" s="20" t="n"/>
      <c r="AE217" s="20" t="n"/>
      <c r="AF217" s="30" t="n"/>
    </row>
    <row r="218" ht="16" customHeight="1">
      <c r="A218" s="16" t="inlineStr">
        <is>
          <t>Göpfrich</t>
        </is>
      </c>
      <c r="B218" s="18" t="n"/>
      <c r="C218" s="18" t="n"/>
      <c r="D218" s="18" t="n"/>
      <c r="E218" s="17" t="n"/>
      <c r="F218" s="17" t="n"/>
      <c r="G218" s="18" t="n"/>
      <c r="H218" s="18" t="n"/>
      <c r="I218" s="18" t="n"/>
      <c r="J218" s="18" t="n"/>
      <c r="K218" s="18" t="n"/>
      <c r="L218" s="17" t="n"/>
      <c r="M218" s="17" t="n"/>
      <c r="N218" s="18" t="n"/>
      <c r="O218" s="18" t="n"/>
      <c r="P218" s="18" t="n"/>
      <c r="Q218" s="18" t="n"/>
      <c r="R218" s="18" t="n"/>
      <c r="S218" s="17" t="n"/>
      <c r="T218" s="17" t="n"/>
      <c r="U218" s="18" t="n"/>
      <c r="V218" s="18" t="n"/>
      <c r="W218" s="18" t="n"/>
      <c r="X218" s="18" t="n"/>
      <c r="Y218" s="18" t="n"/>
      <c r="Z218" s="17" t="n"/>
      <c r="AA218" s="17" t="n"/>
      <c r="AB218" s="18" t="n"/>
      <c r="AC218" s="18" t="n"/>
      <c r="AD218" s="18" t="n"/>
      <c r="AE218" s="18" t="n"/>
      <c r="AF218" s="29" t="n"/>
    </row>
    <row r="219" ht="16" customHeight="1">
      <c r="A219" s="16" t="inlineStr">
        <is>
          <t>Zeller</t>
        </is>
      </c>
      <c r="B219" s="20" t="n"/>
      <c r="C219" s="20" t="n"/>
      <c r="D219" s="20" t="n"/>
      <c r="E219" s="17" t="n"/>
      <c r="F219" s="17" t="n"/>
      <c r="G219" s="20" t="n"/>
      <c r="H219" s="20" t="n"/>
      <c r="I219" s="20" t="n"/>
      <c r="J219" s="20" t="n"/>
      <c r="K219" s="20" t="n"/>
      <c r="L219" s="17" t="n"/>
      <c r="M219" s="17" t="n"/>
      <c r="N219" s="20" t="n"/>
      <c r="O219" s="20" t="n"/>
      <c r="P219" s="20" t="n"/>
      <c r="Q219" s="20" t="n"/>
      <c r="R219" s="20" t="n"/>
      <c r="S219" s="17" t="n"/>
      <c r="T219" s="17" t="n"/>
      <c r="U219" s="20" t="n"/>
      <c r="V219" s="20" t="n"/>
      <c r="W219" s="20" t="n"/>
      <c r="X219" s="20" t="n"/>
      <c r="Y219" s="20" t="n"/>
      <c r="Z219" s="17" t="n"/>
      <c r="AA219" s="17" t="n"/>
      <c r="AB219" s="20" t="n"/>
      <c r="AC219" s="20" t="n"/>
      <c r="AD219" s="20" t="n"/>
      <c r="AE219" s="20" t="n"/>
      <c r="AF219" s="30" t="n"/>
    </row>
    <row r="220" ht="16" customHeight="1">
      <c r="A220" s="16" t="inlineStr">
        <is>
          <t>Behrendt</t>
        </is>
      </c>
      <c r="B220" s="18" t="n"/>
      <c r="C220" s="18" t="n"/>
      <c r="D220" s="18" t="n"/>
      <c r="E220" s="17" t="n"/>
      <c r="F220" s="17" t="n"/>
      <c r="G220" s="18" t="n"/>
      <c r="H220" s="18" t="n"/>
      <c r="I220" s="18" t="n"/>
      <c r="J220" s="18" t="n"/>
      <c r="K220" s="18" t="n"/>
      <c r="L220" s="17" t="n"/>
      <c r="M220" s="17" t="n"/>
      <c r="N220" s="18" t="n"/>
      <c r="O220" s="18" t="n"/>
      <c r="P220" s="18" t="n"/>
      <c r="Q220" s="18" t="n"/>
      <c r="R220" s="18" t="n"/>
      <c r="S220" s="17" t="n"/>
      <c r="T220" s="17" t="n"/>
      <c r="U220" s="18" t="n"/>
      <c r="V220" s="18" t="n"/>
      <c r="W220" s="18" t="n"/>
      <c r="X220" s="18" t="n"/>
      <c r="Y220" s="18" t="n"/>
      <c r="Z220" s="17" t="n"/>
      <c r="AA220" s="17" t="n"/>
      <c r="AB220" s="18" t="n"/>
      <c r="AC220" s="18" t="n"/>
      <c r="AD220" s="18" t="n"/>
      <c r="AE220" s="18" t="n"/>
      <c r="AF220" s="29" t="n"/>
    </row>
    <row r="221" ht="16" customHeight="1">
      <c r="A221" s="16" t="inlineStr">
        <is>
          <t>Krempl</t>
        </is>
      </c>
      <c r="B221" s="20" t="n"/>
      <c r="C221" s="20" t="n"/>
      <c r="D221" s="20" t="n"/>
      <c r="E221" s="17" t="n"/>
      <c r="F221" s="17" t="n"/>
      <c r="G221" s="20" t="n"/>
      <c r="H221" s="20" t="n"/>
      <c r="I221" s="20" t="n"/>
      <c r="J221" s="20" t="n"/>
      <c r="K221" s="20" t="n"/>
      <c r="L221" s="17" t="n"/>
      <c r="M221" s="17" t="n"/>
      <c r="N221" s="20" t="n"/>
      <c r="O221" s="20" t="n"/>
      <c r="P221" s="20" t="n"/>
      <c r="Q221" s="20" t="n"/>
      <c r="R221" s="20" t="n"/>
      <c r="S221" s="17" t="n"/>
      <c r="T221" s="17" t="n"/>
      <c r="U221" s="20" t="n"/>
      <c r="V221" s="20" t="n"/>
      <c r="W221" s="20" t="n"/>
      <c r="X221" s="20" t="n"/>
      <c r="Y221" s="20" t="n"/>
      <c r="Z221" s="17" t="n"/>
      <c r="AA221" s="17" t="n"/>
      <c r="AB221" s="20" t="n"/>
      <c r="AC221" s="20" t="n"/>
      <c r="AD221" s="20" t="n"/>
      <c r="AE221" s="20" t="n"/>
      <c r="AF221" s="30" t="n"/>
    </row>
    <row r="222" ht="16" customHeight="1">
      <c r="A222" s="16" t="inlineStr">
        <is>
          <t>Putschler</t>
        </is>
      </c>
      <c r="B222" s="18" t="n"/>
      <c r="C222" s="18" t="n"/>
      <c r="D222" s="18" t="n"/>
      <c r="E222" s="17" t="n"/>
      <c r="F222" s="17" t="n"/>
      <c r="G222" s="18" t="n"/>
      <c r="H222" s="18" t="n"/>
      <c r="I222" s="18" t="n"/>
      <c r="J222" s="18" t="n"/>
      <c r="K222" s="18" t="n"/>
      <c r="L222" s="17" t="n"/>
      <c r="M222" s="17" t="n"/>
      <c r="N222" s="18" t="n"/>
      <c r="O222" s="18" t="n"/>
      <c r="P222" s="18" t="n"/>
      <c r="Q222" s="18" t="n"/>
      <c r="R222" s="18" t="n"/>
      <c r="S222" s="17" t="n"/>
      <c r="T222" s="17" t="n"/>
      <c r="U222" s="18" t="n"/>
      <c r="V222" s="18" t="n"/>
      <c r="W222" s="18" t="n"/>
      <c r="X222" s="18" t="n"/>
      <c r="Y222" s="18" t="n"/>
      <c r="Z222" s="17" t="n"/>
      <c r="AA222" s="17" t="n"/>
      <c r="AB222" s="18" t="n"/>
      <c r="AC222" s="18" t="n"/>
      <c r="AD222" s="18" t="n"/>
      <c r="AE222" s="18" t="n"/>
      <c r="AF222" s="29" t="n"/>
    </row>
    <row r="223" ht="16" customHeight="1">
      <c r="A223" s="16" t="inlineStr">
        <is>
          <t>Kunz</t>
        </is>
      </c>
      <c r="B223" s="20" t="n"/>
      <c r="C223" s="20" t="n"/>
      <c r="D223" s="20" t="n"/>
      <c r="E223" s="17" t="n"/>
      <c r="F223" s="17" t="n"/>
      <c r="G223" s="20" t="n"/>
      <c r="H223" s="20" t="n"/>
      <c r="I223" s="20" t="n"/>
      <c r="J223" s="20" t="n"/>
      <c r="K223" s="20" t="n"/>
      <c r="L223" s="17" t="n"/>
      <c r="M223" s="17" t="n"/>
      <c r="N223" s="20" t="n"/>
      <c r="O223" s="20" t="n"/>
      <c r="P223" s="20" t="n"/>
      <c r="Q223" s="20" t="n"/>
      <c r="R223" s="20" t="n"/>
      <c r="S223" s="17" t="n"/>
      <c r="T223" s="17" t="n"/>
      <c r="U223" s="20" t="n"/>
      <c r="V223" s="20" t="n"/>
      <c r="W223" s="20" t="n"/>
      <c r="X223" s="20" t="n"/>
      <c r="Y223" s="20" t="n"/>
      <c r="Z223" s="17" t="n"/>
      <c r="AA223" s="17" t="n"/>
      <c r="AB223" s="20" t="n"/>
      <c r="AC223" s="20" t="n"/>
      <c r="AD223" s="20" t="n"/>
      <c r="AE223" s="20" t="n"/>
      <c r="AF223" s="30" t="n"/>
    </row>
    <row r="224" ht="16" customHeight="1">
      <c r="A224" s="16" t="inlineStr">
        <is>
          <t>Schmidt</t>
        </is>
      </c>
      <c r="B224" s="18" t="n"/>
      <c r="C224" s="18" t="n"/>
      <c r="D224" s="18" t="n"/>
      <c r="E224" s="17" t="n"/>
      <c r="F224" s="17" t="n"/>
      <c r="G224" s="18" t="n"/>
      <c r="H224" s="18" t="n"/>
      <c r="I224" s="18" t="n"/>
      <c r="J224" s="18" t="n"/>
      <c r="K224" s="18" t="n"/>
      <c r="L224" s="17" t="n"/>
      <c r="M224" s="17" t="n"/>
      <c r="N224" s="18" t="n"/>
      <c r="O224" s="18" t="n"/>
      <c r="P224" s="18" t="n"/>
      <c r="Q224" s="18" t="n"/>
      <c r="R224" s="18" t="n"/>
      <c r="S224" s="17" t="n"/>
      <c r="T224" s="17" t="n"/>
      <c r="U224" s="18" t="n"/>
      <c r="V224" s="18" t="n"/>
      <c r="W224" s="18" t="n"/>
      <c r="X224" s="18" t="n"/>
      <c r="Y224" s="18" t="n"/>
      <c r="Z224" s="17" t="n"/>
      <c r="AA224" s="17" t="n"/>
      <c r="AB224" s="18" t="n"/>
      <c r="AC224" s="18" t="n"/>
      <c r="AD224" s="18" t="n"/>
      <c r="AE224" s="18" t="n"/>
      <c r="AF224" s="29" t="n"/>
    </row>
    <row r="225" ht="16" customHeight="1">
      <c r="A225" s="16" t="inlineStr">
        <is>
          <t>Radimersky</t>
        </is>
      </c>
      <c r="B225" s="20" t="n"/>
      <c r="C225" s="20" t="n"/>
      <c r="D225" s="20" t="n"/>
      <c r="E225" s="17" t="n"/>
      <c r="F225" s="17" t="n"/>
      <c r="G225" s="20" t="n"/>
      <c r="H225" s="20" t="n"/>
      <c r="I225" s="20" t="n"/>
      <c r="J225" s="20" t="n"/>
      <c r="K225" s="20" t="n"/>
      <c r="L225" s="17" t="n"/>
      <c r="M225" s="17" t="n"/>
      <c r="N225" s="20" t="n"/>
      <c r="O225" s="20" t="n"/>
      <c r="P225" s="20" t="n"/>
      <c r="Q225" s="20" t="n"/>
      <c r="R225" s="20" t="n"/>
      <c r="S225" s="17" t="n"/>
      <c r="T225" s="17" t="n"/>
      <c r="U225" s="20" t="n"/>
      <c r="V225" s="20" t="n"/>
      <c r="W225" s="20" t="n"/>
      <c r="X225" s="20" t="n"/>
      <c r="Y225" s="20" t="n"/>
      <c r="Z225" s="17" t="n"/>
      <c r="AA225" s="17" t="n"/>
      <c r="AB225" s="20" t="n"/>
      <c r="AC225" s="20" t="n"/>
      <c r="AD225" s="20" t="n"/>
      <c r="AE225" s="20" t="n"/>
      <c r="AF225" s="30" t="n"/>
    </row>
    <row r="226" ht="15" customHeight="1">
      <c r="A226" s="21" t="inlineStr">
        <is>
          <t>Besetzung</t>
        </is>
      </c>
      <c r="B226" s="23">
        <f>IF(AND(COUNTIF(B214:B225,"FI")&gt;0,COUNTIF(B214:B225,"SI")&gt;0,COUNTIF(B214:B225,"NI")&gt;0),"","!")</f>
        <v/>
      </c>
      <c r="C226" s="23">
        <f>IF(AND(COUNTIF(C214:C225,"FI")&gt;0,COUNTIF(C214:C225,"SI")&gt;0,COUNTIF(C214:C225,"NI")&gt;0),"","!")</f>
        <v/>
      </c>
      <c r="D226" s="23">
        <f>IF(AND(COUNTIF(D214:D225,"FI")&gt;0,COUNTIF(D214:D225,"SI")&gt;0),"","!")</f>
        <v/>
      </c>
      <c r="E226" s="22" t="n"/>
      <c r="F226" s="22" t="n"/>
      <c r="G226" s="23">
        <f>IF(AND(COUNTIF(G214:G225,"FI")&gt;0,COUNTIF(G214:G225,"SI")&gt;0,COUNTIF(G214:G225,"NI")&gt;0),"","!")</f>
        <v/>
      </c>
      <c r="H226" s="23">
        <f>IF(AND(COUNTIF(H214:H225,"FI")&gt;0,COUNTIF(H214:H225,"SI")&gt;0,COUNTIF(H214:H225,"NI")&gt;0),"","!")</f>
        <v/>
      </c>
      <c r="I226" s="23">
        <f>IF(AND(COUNTIF(I214:I225,"FI")&gt;0,COUNTIF(I214:I225,"SI")&gt;0,COUNTIF(I214:I225,"NI")&gt;0),"","!")</f>
        <v/>
      </c>
      <c r="J226" s="23">
        <f>IF(AND(COUNTIF(J214:J225,"FI")&gt;0,COUNTIF(J214:J225,"SI")&gt;0,COUNTIF(J214:J225,"NI")&gt;0),"","!")</f>
        <v/>
      </c>
      <c r="K226" s="23">
        <f>IF(AND(COUNTIF(K214:K225,"FI")&gt;0,COUNTIF(K214:K225,"SI")&gt;0),"","!")</f>
        <v/>
      </c>
      <c r="L226" s="22" t="n"/>
      <c r="M226" s="22" t="n"/>
      <c r="N226" s="23">
        <f>IF(AND(COUNTIF(N214:N225,"FI")&gt;0,COUNTIF(N214:N225,"SI")&gt;0,COUNTIF(N214:N225,"NI")&gt;0),"","!")</f>
        <v/>
      </c>
      <c r="O226" s="23">
        <f>IF(AND(COUNTIF(O214:O225,"FI")&gt;0,COUNTIF(O214:O225,"SI")&gt;0,COUNTIF(O214:O225,"NI")&gt;0),"","!")</f>
        <v/>
      </c>
      <c r="P226" s="23">
        <f>IF(AND(COUNTIF(P214:P225,"FI")&gt;0,COUNTIF(P214:P225,"SI")&gt;0,COUNTIF(P214:P225,"NI")&gt;0),"","!")</f>
        <v/>
      </c>
      <c r="Q226" s="23">
        <f>IF(AND(COUNTIF(Q214:Q225,"FI")&gt;0,COUNTIF(Q214:Q225,"SI")&gt;0,COUNTIF(Q214:Q225,"NI")&gt;0),"","!")</f>
        <v/>
      </c>
      <c r="R226" s="23">
        <f>IF(AND(COUNTIF(R214:R225,"FI")&gt;0,COUNTIF(R214:R225,"SI")&gt;0),"","!")</f>
        <v/>
      </c>
      <c r="S226" s="22" t="n"/>
      <c r="T226" s="22" t="n"/>
      <c r="U226" s="23">
        <f>IF(AND(COUNTIF(U214:U225,"FI")&gt;0,COUNTIF(U214:U225,"SI")&gt;0,COUNTIF(U214:U225,"NI")&gt;0),"","!")</f>
        <v/>
      </c>
      <c r="V226" s="23">
        <f>IF(AND(COUNTIF(V214:V225,"FI")&gt;0,COUNTIF(V214:V225,"SI")&gt;0,COUNTIF(V214:V225,"NI")&gt;0),"","!")</f>
        <v/>
      </c>
      <c r="W226" s="23">
        <f>IF(AND(COUNTIF(W214:W225,"FI")&gt;0,COUNTIF(W214:W225,"SI")&gt;0,COUNTIF(W214:W225,"NI")&gt;0),"","!")</f>
        <v/>
      </c>
      <c r="X226" s="23">
        <f>IF(AND(COUNTIF(X214:X225,"FI")&gt;0,COUNTIF(X214:X225,"SI")&gt;0,COUNTIF(X214:X225,"NI")&gt;0),"","!")</f>
        <v/>
      </c>
      <c r="Y226" s="23">
        <f>IF(AND(COUNTIF(Y214:Y225,"FI")&gt;0,COUNTIF(Y214:Y225,"SI")&gt;0),"","!")</f>
        <v/>
      </c>
      <c r="Z226" s="22" t="n"/>
      <c r="AA226" s="22" t="n"/>
      <c r="AB226" s="23">
        <f>IF(AND(COUNTIF(AB214:AB225,"FI")&gt;0,COUNTIF(AB214:AB225,"SI")&gt;0,COUNTIF(AB214:AB225,"NI")&gt;0),"","!")</f>
        <v/>
      </c>
      <c r="AC226" s="23">
        <f>IF(AND(COUNTIF(AC214:AC225,"FI")&gt;0,COUNTIF(AC214:AC225,"SI")&gt;0,COUNTIF(AC214:AC225,"NI")&gt;0),"","!")</f>
        <v/>
      </c>
      <c r="AD226" s="23">
        <f>IF(AND(COUNTIF(AD214:AD225,"FI")&gt;0,COUNTIF(AD214:AD225,"SI")&gt;0,COUNTIF(AD214:AD225,"NI")&gt;0),"","!")</f>
        <v/>
      </c>
      <c r="AE226" s="23">
        <f>IF(AND(COUNTIF(AE214:AE225,"FI")&gt;0,COUNTIF(AE214:AE225,"SI")&gt;0,COUNTIF(AE214:AE225,"NI")&gt;0),"","!")</f>
        <v/>
      </c>
      <c r="AF226" s="31">
        <f>IF(AND(COUNTIF(AF214:AF225,"FI")&gt;0,COUNTIF(AF214:AF225,"SI")&gt;0),"","!")</f>
        <v/>
      </c>
    </row>
  </sheetData>
  <mergeCells count="9">
    <mergeCell ref="X209:AF209"/>
    <mergeCell ref="B59:D59"/>
    <mergeCell ref="AB40:AF40"/>
    <mergeCell ref="B134:AF134"/>
    <mergeCell ref="P21:T21"/>
    <mergeCell ref="Z172:AD172"/>
    <mergeCell ref="AE115:AF115"/>
    <mergeCell ref="B153:M153"/>
    <mergeCell ref="R78:AC78"/>
  </mergeCells>
  <conditionalFormatting sqref="B7:AF18">
    <cfRule type="cellIs" priority="1" operator="equal" dxfId="0" stopIfTrue="1">
      <formula>"U"</formula>
    </cfRule>
    <cfRule type="cellIs" priority="2" operator="equal" dxfId="0" stopIfTrue="1">
      <formula>"U    alt"</formula>
    </cfRule>
    <cfRule type="cellIs" priority="3" operator="equal" dxfId="1" stopIfTrue="1">
      <formula>"EH"</formula>
    </cfRule>
    <cfRule type="cellIs" priority="4" operator="equal" dxfId="2" stopIfTrue="1">
      <formula>"KU"</formula>
    </cfRule>
    <cfRule type="cellIs" priority="5" operator="equal" dxfId="3" stopIfTrue="1">
      <formula>"A"</formula>
    </cfRule>
    <cfRule type="cellIs" priority="6" operator="equal" dxfId="0" stopIfTrue="1">
      <formula>"T-ZUG"</formula>
    </cfRule>
    <cfRule type="cellIs" priority="7" operator="equal" dxfId="0" stopIfTrue="1">
      <formula>"T-ZG"</formula>
    </cfRule>
    <cfRule type="cellIs" priority="8" operator="equal" dxfId="4" stopIfTrue="1">
      <formula>"Fobi"</formula>
    </cfRule>
    <cfRule type="cellIs" priority="9" operator="equal" dxfId="4" stopIfTrue="1">
      <formula>"GT"</formula>
    </cfRule>
    <cfRule type="cellIs" priority="10" operator="equal" dxfId="4" stopIfTrue="1">
      <formula>"NST"</formula>
    </cfRule>
  </conditionalFormatting>
  <conditionalFormatting sqref="B19:AF19">
    <cfRule type="cellIs" priority="11" operator="equal" dxfId="5" stopIfTrue="1">
      <formula>"!"</formula>
    </cfRule>
  </conditionalFormatting>
  <conditionalFormatting sqref="B26:AC37">
    <cfRule type="cellIs" priority="12" operator="equal" dxfId="0" stopIfTrue="1">
      <formula>"U"</formula>
    </cfRule>
    <cfRule type="cellIs" priority="13" operator="equal" dxfId="0" stopIfTrue="1">
      <formula>"U    alt"</formula>
    </cfRule>
    <cfRule type="cellIs" priority="14" operator="equal" dxfId="1" stopIfTrue="1">
      <formula>"EH"</formula>
    </cfRule>
    <cfRule type="cellIs" priority="15" operator="equal" dxfId="2" stopIfTrue="1">
      <formula>"KU"</formula>
    </cfRule>
    <cfRule type="cellIs" priority="16" operator="equal" dxfId="3" stopIfTrue="1">
      <formula>"A"</formula>
    </cfRule>
    <cfRule type="cellIs" priority="17" operator="equal" dxfId="0" stopIfTrue="1">
      <formula>"T-ZUG"</formula>
    </cfRule>
    <cfRule type="cellIs" priority="18" operator="equal" dxfId="0" stopIfTrue="1">
      <formula>"T-ZG"</formula>
    </cfRule>
    <cfRule type="cellIs" priority="19" operator="equal" dxfId="4" stopIfTrue="1">
      <formula>"Fobi"</formula>
    </cfRule>
    <cfRule type="cellIs" priority="20" operator="equal" dxfId="4" stopIfTrue="1">
      <formula>"GT"</formula>
    </cfRule>
    <cfRule type="cellIs" priority="21" operator="equal" dxfId="4" stopIfTrue="1">
      <formula>"NST"</formula>
    </cfRule>
  </conditionalFormatting>
  <conditionalFormatting sqref="B38:AC38">
    <cfRule type="cellIs" priority="22" operator="equal" dxfId="5" stopIfTrue="1">
      <formula>"!"</formula>
    </cfRule>
  </conditionalFormatting>
  <conditionalFormatting sqref="B45:AF56">
    <cfRule type="cellIs" priority="23" operator="equal" dxfId="0" stopIfTrue="1">
      <formula>"U"</formula>
    </cfRule>
    <cfRule type="cellIs" priority="24" operator="equal" dxfId="0" stopIfTrue="1">
      <formula>"U    alt"</formula>
    </cfRule>
    <cfRule type="cellIs" priority="25" operator="equal" dxfId="1" stopIfTrue="1">
      <formula>"EH"</formula>
    </cfRule>
    <cfRule type="cellIs" priority="26" operator="equal" dxfId="2" stopIfTrue="1">
      <formula>"KU"</formula>
    </cfRule>
    <cfRule type="cellIs" priority="27" operator="equal" dxfId="3" stopIfTrue="1">
      <formula>"A"</formula>
    </cfRule>
    <cfRule type="cellIs" priority="28" operator="equal" dxfId="0" stopIfTrue="1">
      <formula>"T-ZUG"</formula>
    </cfRule>
    <cfRule type="cellIs" priority="29" operator="equal" dxfId="0" stopIfTrue="1">
      <formula>"T-ZG"</formula>
    </cfRule>
    <cfRule type="cellIs" priority="30" operator="equal" dxfId="4" stopIfTrue="1">
      <formula>"Fobi"</formula>
    </cfRule>
    <cfRule type="cellIs" priority="31" operator="equal" dxfId="4" stopIfTrue="1">
      <formula>"GT"</formula>
    </cfRule>
    <cfRule type="cellIs" priority="32" operator="equal" dxfId="4" stopIfTrue="1">
      <formula>"NST"</formula>
    </cfRule>
  </conditionalFormatting>
  <conditionalFormatting sqref="B57:AF57">
    <cfRule type="cellIs" priority="33" operator="equal" dxfId="5" stopIfTrue="1">
      <formula>"!"</formula>
    </cfRule>
  </conditionalFormatting>
  <conditionalFormatting sqref="B64:AE75">
    <cfRule type="cellIs" priority="34" operator="equal" dxfId="0" stopIfTrue="1">
      <formula>"U"</formula>
    </cfRule>
    <cfRule type="cellIs" priority="35" operator="equal" dxfId="0" stopIfTrue="1">
      <formula>"U    alt"</formula>
    </cfRule>
    <cfRule type="cellIs" priority="36" operator="equal" dxfId="1" stopIfTrue="1">
      <formula>"EH"</formula>
    </cfRule>
    <cfRule type="cellIs" priority="37" operator="equal" dxfId="2" stopIfTrue="1">
      <formula>"KU"</formula>
    </cfRule>
    <cfRule type="cellIs" priority="38" operator="equal" dxfId="3" stopIfTrue="1">
      <formula>"A"</formula>
    </cfRule>
    <cfRule type="cellIs" priority="39" operator="equal" dxfId="0" stopIfTrue="1">
      <formula>"T-ZUG"</formula>
    </cfRule>
    <cfRule type="cellIs" priority="40" operator="equal" dxfId="0" stopIfTrue="1">
      <formula>"T-ZG"</formula>
    </cfRule>
    <cfRule type="cellIs" priority="41" operator="equal" dxfId="4" stopIfTrue="1">
      <formula>"Fobi"</formula>
    </cfRule>
    <cfRule type="cellIs" priority="42" operator="equal" dxfId="4" stopIfTrue="1">
      <formula>"GT"</formula>
    </cfRule>
    <cfRule type="cellIs" priority="43" operator="equal" dxfId="4" stopIfTrue="1">
      <formula>"NST"</formula>
    </cfRule>
  </conditionalFormatting>
  <conditionalFormatting sqref="B76:AE76">
    <cfRule type="cellIs" priority="44" operator="equal" dxfId="5" stopIfTrue="1">
      <formula>"!"</formula>
    </cfRule>
  </conditionalFormatting>
  <conditionalFormatting sqref="B83:AF94">
    <cfRule type="cellIs" priority="45" operator="equal" dxfId="0" stopIfTrue="1">
      <formula>"U"</formula>
    </cfRule>
    <cfRule type="cellIs" priority="46" operator="equal" dxfId="0" stopIfTrue="1">
      <formula>"U    alt"</formula>
    </cfRule>
    <cfRule type="cellIs" priority="47" operator="equal" dxfId="1" stopIfTrue="1">
      <formula>"EH"</formula>
    </cfRule>
    <cfRule type="cellIs" priority="48" operator="equal" dxfId="2" stopIfTrue="1">
      <formula>"KU"</formula>
    </cfRule>
    <cfRule type="cellIs" priority="49" operator="equal" dxfId="3" stopIfTrue="1">
      <formula>"A"</formula>
    </cfRule>
    <cfRule type="cellIs" priority="50" operator="equal" dxfId="0" stopIfTrue="1">
      <formula>"T-ZUG"</formula>
    </cfRule>
    <cfRule type="cellIs" priority="51" operator="equal" dxfId="0" stopIfTrue="1">
      <formula>"T-ZG"</formula>
    </cfRule>
    <cfRule type="cellIs" priority="52" operator="equal" dxfId="4" stopIfTrue="1">
      <formula>"Fobi"</formula>
    </cfRule>
    <cfRule type="cellIs" priority="53" operator="equal" dxfId="4" stopIfTrue="1">
      <formula>"GT"</formula>
    </cfRule>
    <cfRule type="cellIs" priority="54" operator="equal" dxfId="4" stopIfTrue="1">
      <formula>"NST"</formula>
    </cfRule>
  </conditionalFormatting>
  <conditionalFormatting sqref="B95:AF95">
    <cfRule type="cellIs" priority="55" operator="equal" dxfId="5" stopIfTrue="1">
      <formula>"!"</formula>
    </cfRule>
  </conditionalFormatting>
  <conditionalFormatting sqref="B101:AE112">
    <cfRule type="cellIs" priority="56" operator="equal" dxfId="0" stopIfTrue="1">
      <formula>"U"</formula>
    </cfRule>
    <cfRule type="cellIs" priority="57" operator="equal" dxfId="0" stopIfTrue="1">
      <formula>"U    alt"</formula>
    </cfRule>
    <cfRule type="cellIs" priority="58" operator="equal" dxfId="1" stopIfTrue="1">
      <formula>"EH"</formula>
    </cfRule>
    <cfRule type="cellIs" priority="59" operator="equal" dxfId="2" stopIfTrue="1">
      <formula>"KU"</formula>
    </cfRule>
    <cfRule type="cellIs" priority="60" operator="equal" dxfId="3" stopIfTrue="1">
      <formula>"A"</formula>
    </cfRule>
    <cfRule type="cellIs" priority="61" operator="equal" dxfId="0" stopIfTrue="1">
      <formula>"T-ZUG"</formula>
    </cfRule>
    <cfRule type="cellIs" priority="62" operator="equal" dxfId="0" stopIfTrue="1">
      <formula>"T-ZG"</formula>
    </cfRule>
    <cfRule type="cellIs" priority="63" operator="equal" dxfId="4" stopIfTrue="1">
      <formula>"Fobi"</formula>
    </cfRule>
    <cfRule type="cellIs" priority="64" operator="equal" dxfId="4" stopIfTrue="1">
      <formula>"GT"</formula>
    </cfRule>
    <cfRule type="cellIs" priority="65" operator="equal" dxfId="4" stopIfTrue="1">
      <formula>"NST"</formula>
    </cfRule>
  </conditionalFormatting>
  <conditionalFormatting sqref="B113:AE113">
    <cfRule type="cellIs" priority="66" operator="equal" dxfId="5" stopIfTrue="1">
      <formula>"!"</formula>
    </cfRule>
  </conditionalFormatting>
  <conditionalFormatting sqref="B120:AF131">
    <cfRule type="cellIs" priority="67" operator="equal" dxfId="0" stopIfTrue="1">
      <formula>"U"</formula>
    </cfRule>
    <cfRule type="cellIs" priority="68" operator="equal" dxfId="0" stopIfTrue="1">
      <formula>"U    alt"</formula>
    </cfRule>
    <cfRule type="cellIs" priority="69" operator="equal" dxfId="1" stopIfTrue="1">
      <formula>"EH"</formula>
    </cfRule>
    <cfRule type="cellIs" priority="70" operator="equal" dxfId="2" stopIfTrue="1">
      <formula>"KU"</formula>
    </cfRule>
    <cfRule type="cellIs" priority="71" operator="equal" dxfId="3" stopIfTrue="1">
      <formula>"A"</formula>
    </cfRule>
    <cfRule type="cellIs" priority="72" operator="equal" dxfId="0" stopIfTrue="1">
      <formula>"T-ZUG"</formula>
    </cfRule>
    <cfRule type="cellIs" priority="73" operator="equal" dxfId="0" stopIfTrue="1">
      <formula>"T-ZG"</formula>
    </cfRule>
    <cfRule type="cellIs" priority="74" operator="equal" dxfId="4" stopIfTrue="1">
      <formula>"Fobi"</formula>
    </cfRule>
    <cfRule type="cellIs" priority="75" operator="equal" dxfId="4" stopIfTrue="1">
      <formula>"GT"</formula>
    </cfRule>
    <cfRule type="cellIs" priority="76" operator="equal" dxfId="4" stopIfTrue="1">
      <formula>"NST"</formula>
    </cfRule>
  </conditionalFormatting>
  <conditionalFormatting sqref="B132:AF132">
    <cfRule type="cellIs" priority="77" operator="equal" dxfId="5" stopIfTrue="1">
      <formula>"!"</formula>
    </cfRule>
  </conditionalFormatting>
  <conditionalFormatting sqref="B139:AF150">
    <cfRule type="cellIs" priority="78" operator="equal" dxfId="0" stopIfTrue="1">
      <formula>"U"</formula>
    </cfRule>
    <cfRule type="cellIs" priority="79" operator="equal" dxfId="0" stopIfTrue="1">
      <formula>"U    alt"</formula>
    </cfRule>
    <cfRule type="cellIs" priority="80" operator="equal" dxfId="1" stopIfTrue="1">
      <formula>"EH"</formula>
    </cfRule>
    <cfRule type="cellIs" priority="81" operator="equal" dxfId="2" stopIfTrue="1">
      <formula>"KU"</formula>
    </cfRule>
    <cfRule type="cellIs" priority="82" operator="equal" dxfId="3" stopIfTrue="1">
      <formula>"A"</formula>
    </cfRule>
    <cfRule type="cellIs" priority="83" operator="equal" dxfId="0" stopIfTrue="1">
      <formula>"T-ZUG"</formula>
    </cfRule>
    <cfRule type="cellIs" priority="84" operator="equal" dxfId="0" stopIfTrue="1">
      <formula>"T-ZG"</formula>
    </cfRule>
    <cfRule type="cellIs" priority="85" operator="equal" dxfId="4" stopIfTrue="1">
      <formula>"Fobi"</formula>
    </cfRule>
    <cfRule type="cellIs" priority="86" operator="equal" dxfId="4" stopIfTrue="1">
      <formula>"GT"</formula>
    </cfRule>
    <cfRule type="cellIs" priority="87" operator="equal" dxfId="4" stopIfTrue="1">
      <formula>"NST"</formula>
    </cfRule>
  </conditionalFormatting>
  <conditionalFormatting sqref="B151:AF151">
    <cfRule type="cellIs" priority="88" operator="equal" dxfId="5" stopIfTrue="1">
      <formula>"!"</formula>
    </cfRule>
  </conditionalFormatting>
  <conditionalFormatting sqref="B158:AE169">
    <cfRule type="cellIs" priority="89" operator="equal" dxfId="0" stopIfTrue="1">
      <formula>"U"</formula>
    </cfRule>
    <cfRule type="cellIs" priority="90" operator="equal" dxfId="0" stopIfTrue="1">
      <formula>"U    alt"</formula>
    </cfRule>
    <cfRule type="cellIs" priority="91" operator="equal" dxfId="1" stopIfTrue="1">
      <formula>"EH"</formula>
    </cfRule>
    <cfRule type="cellIs" priority="92" operator="equal" dxfId="2" stopIfTrue="1">
      <formula>"KU"</formula>
    </cfRule>
    <cfRule type="cellIs" priority="93" operator="equal" dxfId="3" stopIfTrue="1">
      <formula>"A"</formula>
    </cfRule>
    <cfRule type="cellIs" priority="94" operator="equal" dxfId="0" stopIfTrue="1">
      <formula>"T-ZUG"</formula>
    </cfRule>
    <cfRule type="cellIs" priority="95" operator="equal" dxfId="0" stopIfTrue="1">
      <formula>"T-ZG"</formula>
    </cfRule>
    <cfRule type="cellIs" priority="96" operator="equal" dxfId="4" stopIfTrue="1">
      <formula>"Fobi"</formula>
    </cfRule>
    <cfRule type="cellIs" priority="97" operator="equal" dxfId="4" stopIfTrue="1">
      <formula>"GT"</formula>
    </cfRule>
    <cfRule type="cellIs" priority="98" operator="equal" dxfId="4" stopIfTrue="1">
      <formula>"NST"</formula>
    </cfRule>
  </conditionalFormatting>
  <conditionalFormatting sqref="B170:AE170">
    <cfRule type="cellIs" priority="99" operator="equal" dxfId="5" stopIfTrue="1">
      <formula>"!"</formula>
    </cfRule>
  </conditionalFormatting>
  <conditionalFormatting sqref="B177:AF188">
    <cfRule type="cellIs" priority="100" operator="equal" dxfId="0" stopIfTrue="1">
      <formula>"U"</formula>
    </cfRule>
    <cfRule type="cellIs" priority="101" operator="equal" dxfId="0" stopIfTrue="1">
      <formula>"U    alt"</formula>
    </cfRule>
    <cfRule type="cellIs" priority="102" operator="equal" dxfId="1" stopIfTrue="1">
      <formula>"EH"</formula>
    </cfRule>
    <cfRule type="cellIs" priority="103" operator="equal" dxfId="2" stopIfTrue="1">
      <formula>"KU"</formula>
    </cfRule>
    <cfRule type="cellIs" priority="104" operator="equal" dxfId="3" stopIfTrue="1">
      <formula>"A"</formula>
    </cfRule>
    <cfRule type="cellIs" priority="105" operator="equal" dxfId="0" stopIfTrue="1">
      <formula>"T-ZUG"</formula>
    </cfRule>
    <cfRule type="cellIs" priority="106" operator="equal" dxfId="0" stopIfTrue="1">
      <formula>"T-ZG"</formula>
    </cfRule>
    <cfRule type="cellIs" priority="107" operator="equal" dxfId="4" stopIfTrue="1">
      <formula>"Fobi"</formula>
    </cfRule>
    <cfRule type="cellIs" priority="108" operator="equal" dxfId="4" stopIfTrue="1">
      <formula>"GT"</formula>
    </cfRule>
    <cfRule type="cellIs" priority="109" operator="equal" dxfId="4" stopIfTrue="1">
      <formula>"NST"</formula>
    </cfRule>
  </conditionalFormatting>
  <conditionalFormatting sqref="B189:AF189">
    <cfRule type="cellIs" priority="110" operator="equal" dxfId="5" stopIfTrue="1">
      <formula>"!"</formula>
    </cfRule>
  </conditionalFormatting>
  <conditionalFormatting sqref="B195:AE206">
    <cfRule type="cellIs" priority="111" operator="equal" dxfId="0" stopIfTrue="1">
      <formula>"U"</formula>
    </cfRule>
    <cfRule type="cellIs" priority="112" operator="equal" dxfId="0" stopIfTrue="1">
      <formula>"U    alt"</formula>
    </cfRule>
    <cfRule type="cellIs" priority="113" operator="equal" dxfId="1" stopIfTrue="1">
      <formula>"EH"</formula>
    </cfRule>
    <cfRule type="cellIs" priority="114" operator="equal" dxfId="2" stopIfTrue="1">
      <formula>"KU"</formula>
    </cfRule>
    <cfRule type="cellIs" priority="115" operator="equal" dxfId="3" stopIfTrue="1">
      <formula>"A"</formula>
    </cfRule>
    <cfRule type="cellIs" priority="116" operator="equal" dxfId="0" stopIfTrue="1">
      <formula>"T-ZUG"</formula>
    </cfRule>
    <cfRule type="cellIs" priority="117" operator="equal" dxfId="0" stopIfTrue="1">
      <formula>"T-ZG"</formula>
    </cfRule>
    <cfRule type="cellIs" priority="118" operator="equal" dxfId="4" stopIfTrue="1">
      <formula>"Fobi"</formula>
    </cfRule>
    <cfRule type="cellIs" priority="119" operator="equal" dxfId="4" stopIfTrue="1">
      <formula>"GT"</formula>
    </cfRule>
    <cfRule type="cellIs" priority="120" operator="equal" dxfId="4" stopIfTrue="1">
      <formula>"NST"</formula>
    </cfRule>
  </conditionalFormatting>
  <conditionalFormatting sqref="B207:AE207">
    <cfRule type="cellIs" priority="121" operator="equal" dxfId="5" stopIfTrue="1">
      <formula>"!"</formula>
    </cfRule>
  </conditionalFormatting>
  <conditionalFormatting sqref="B214:AF225">
    <cfRule type="cellIs" priority="122" operator="equal" dxfId="0" stopIfTrue="1">
      <formula>"U"</formula>
    </cfRule>
    <cfRule type="cellIs" priority="123" operator="equal" dxfId="0" stopIfTrue="1">
      <formula>"U    alt"</formula>
    </cfRule>
    <cfRule type="cellIs" priority="124" operator="equal" dxfId="1" stopIfTrue="1">
      <formula>"EH"</formula>
    </cfRule>
    <cfRule type="cellIs" priority="125" operator="equal" dxfId="2" stopIfTrue="1">
      <formula>"KU"</formula>
    </cfRule>
    <cfRule type="cellIs" priority="126" operator="equal" dxfId="3" stopIfTrue="1">
      <formula>"A"</formula>
    </cfRule>
    <cfRule type="cellIs" priority="127" operator="equal" dxfId="0" stopIfTrue="1">
      <formula>"T-ZUG"</formula>
    </cfRule>
    <cfRule type="cellIs" priority="128" operator="equal" dxfId="0" stopIfTrue="1">
      <formula>"T-ZG"</formula>
    </cfRule>
    <cfRule type="cellIs" priority="129" operator="equal" dxfId="4" stopIfTrue="1">
      <formula>"Fobi"</formula>
    </cfRule>
    <cfRule type="cellIs" priority="130" operator="equal" dxfId="4" stopIfTrue="1">
      <formula>"GT"</formula>
    </cfRule>
    <cfRule type="cellIs" priority="131" operator="equal" dxfId="4" stopIfTrue="1">
      <formula>"NST"</formula>
    </cfRule>
  </conditionalFormatting>
  <conditionalFormatting sqref="B226:AF226">
    <cfRule type="cellIs" priority="132" operator="equal" dxfId="5" stopIfTrue="1">
      <formula>"!"</formula>
    </cfRule>
  </conditionalFormatting>
  <dataValidations count="1">
    <dataValidation sqref="B7:AF18 B26:AC37 B45:AF56 B64:AE75 B83:AF94 B101:AE112 B120:AF131 B139:AF150 B158:AE169 B177:AF188 B195:AE206 B214:AF225" showDropDown="0" showInputMessage="1" showErrorMessage="1" allowBlank="1" errorTitle="Ungültige Schicht" error="Bitte wähle eine gültige Schicht aus der Liste." promptTitle="Schicht" prompt="Schicht auswählen oder frei eingeben" type="list" errorStyle="warning">
      <formula1>"FI,FII,SI,SII,NI,DI,DII,KU,EH,SD,GT,NST,KT,Fobi,U,A,T-ZUG"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Januar 2027</t>
        </is>
      </c>
      <c r="AC1" s="33" t="inlineStr">
        <is>
          <t>AT: 19   Sa: 5</t>
        </is>
      </c>
    </row>
    <row r="3" ht="18" customHeight="1">
      <c r="A3" s="34" t="inlineStr">
        <is>
          <t>Tag</t>
        </is>
      </c>
      <c r="B3" s="35" t="n">
        <v>1</v>
      </c>
      <c r="C3" s="35" t="n">
        <v>2</v>
      </c>
      <c r="D3" s="35" t="n">
        <v>3</v>
      </c>
      <c r="E3" s="36" t="n">
        <v>4</v>
      </c>
      <c r="F3" s="36" t="n">
        <v>5</v>
      </c>
      <c r="G3" s="35" t="n">
        <v>6</v>
      </c>
      <c r="H3" s="36" t="n">
        <v>7</v>
      </c>
      <c r="I3" s="36" t="n">
        <v>8</v>
      </c>
      <c r="J3" s="35" t="n">
        <v>9</v>
      </c>
      <c r="K3" s="35" t="n">
        <v>10</v>
      </c>
      <c r="L3" s="36" t="n">
        <v>11</v>
      </c>
      <c r="M3" s="36" t="n">
        <v>12</v>
      </c>
      <c r="N3" s="36" t="n">
        <v>13</v>
      </c>
      <c r="O3" s="36" t="n">
        <v>14</v>
      </c>
      <c r="P3" s="36" t="n">
        <v>15</v>
      </c>
      <c r="Q3" s="35" t="n">
        <v>16</v>
      </c>
      <c r="R3" s="35" t="n">
        <v>17</v>
      </c>
      <c r="S3" s="36" t="n">
        <v>18</v>
      </c>
      <c r="T3" s="36" t="n">
        <v>19</v>
      </c>
      <c r="U3" s="36" t="n">
        <v>20</v>
      </c>
      <c r="V3" s="36" t="n">
        <v>21</v>
      </c>
      <c r="W3" s="36" t="n">
        <v>22</v>
      </c>
      <c r="X3" s="35" t="n">
        <v>23</v>
      </c>
      <c r="Y3" s="35" t="n">
        <v>24</v>
      </c>
      <c r="Z3" s="36" t="n">
        <v>25</v>
      </c>
      <c r="AA3" s="36" t="n">
        <v>26</v>
      </c>
      <c r="AB3" s="36" t="n">
        <v>27</v>
      </c>
      <c r="AC3" s="36" t="n">
        <v>28</v>
      </c>
      <c r="AD3" s="36" t="n">
        <v>29</v>
      </c>
      <c r="AE3" s="35" t="n">
        <v>30</v>
      </c>
      <c r="AF3" s="37" t="n">
        <v>31</v>
      </c>
    </row>
    <row r="4" ht="18" customHeight="1">
      <c r="A4" s="9" t="inlineStr">
        <is>
          <t>WT</t>
        </is>
      </c>
      <c r="B4" s="13" t="inlineStr">
        <is>
          <t>Fr</t>
        </is>
      </c>
      <c r="C4" s="13" t="inlineStr">
        <is>
          <t>Sa</t>
        </is>
      </c>
      <c r="D4" s="13" t="inlineStr">
        <is>
          <t>So</t>
        </is>
      </c>
      <c r="E4" s="14" t="inlineStr">
        <is>
          <t>Mo</t>
        </is>
      </c>
      <c r="F4" s="14" t="inlineStr">
        <is>
          <t>Di</t>
        </is>
      </c>
      <c r="G4" s="13" t="inlineStr">
        <is>
          <t>Mi</t>
        </is>
      </c>
      <c r="H4" s="14" t="inlineStr">
        <is>
          <t>Do</t>
        </is>
      </c>
      <c r="I4" s="14" t="inlineStr">
        <is>
          <t>Fr</t>
        </is>
      </c>
      <c r="J4" s="13" t="inlineStr">
        <is>
          <t>Sa</t>
        </is>
      </c>
      <c r="K4" s="13" t="inlineStr">
        <is>
          <t>So</t>
        </is>
      </c>
      <c r="L4" s="14" t="inlineStr">
        <is>
          <t>Mo</t>
        </is>
      </c>
      <c r="M4" s="14" t="inlineStr">
        <is>
          <t>Di</t>
        </is>
      </c>
      <c r="N4" s="14" t="inlineStr">
        <is>
          <t>Mi</t>
        </is>
      </c>
      <c r="O4" s="14" t="inlineStr">
        <is>
          <t>Do</t>
        </is>
      </c>
      <c r="P4" s="14" t="inlineStr">
        <is>
          <t>Fr</t>
        </is>
      </c>
      <c r="Q4" s="13" t="inlineStr">
        <is>
          <t>Sa</t>
        </is>
      </c>
      <c r="R4" s="13" t="inlineStr">
        <is>
          <t>So</t>
        </is>
      </c>
      <c r="S4" s="14" t="inlineStr">
        <is>
          <t>Mo</t>
        </is>
      </c>
      <c r="T4" s="14" t="inlineStr">
        <is>
          <t>Di</t>
        </is>
      </c>
      <c r="U4" s="14" t="inlineStr">
        <is>
          <t>Mi</t>
        </is>
      </c>
      <c r="V4" s="14" t="inlineStr">
        <is>
          <t>Do</t>
        </is>
      </c>
      <c r="W4" s="14" t="inlineStr">
        <is>
          <t>Fr</t>
        </is>
      </c>
      <c r="X4" s="13" t="inlineStr">
        <is>
          <t>Sa</t>
        </is>
      </c>
      <c r="Y4" s="13" t="inlineStr">
        <is>
          <t>So</t>
        </is>
      </c>
      <c r="Z4" s="14" t="inlineStr">
        <is>
          <t>Mo</t>
        </is>
      </c>
      <c r="AA4" s="14" t="inlineStr">
        <is>
          <t>Di</t>
        </is>
      </c>
      <c r="AB4" s="14" t="inlineStr">
        <is>
          <t>Mi</t>
        </is>
      </c>
      <c r="AC4" s="14" t="inlineStr">
        <is>
          <t>Do</t>
        </is>
      </c>
      <c r="AD4" s="14" t="inlineStr">
        <is>
          <t>Fr</t>
        </is>
      </c>
      <c r="AE4" s="13" t="inlineStr">
        <is>
          <t>Sa</t>
        </is>
      </c>
      <c r="AF4" s="15" t="inlineStr">
        <is>
          <t>So</t>
        </is>
      </c>
    </row>
    <row r="5" ht="15" customHeight="1">
      <c r="A5" s="9" t="inlineStr">
        <is>
          <t>KW</t>
        </is>
      </c>
      <c r="B5" s="38" t="n">
        <v>53</v>
      </c>
      <c r="C5" s="39" t="n"/>
      <c r="D5" s="39" t="n"/>
      <c r="E5" s="40" t="n">
        <v>1</v>
      </c>
      <c r="F5" s="41" t="n"/>
      <c r="G5" s="39" t="n"/>
      <c r="H5" s="41" t="n"/>
      <c r="I5" s="41" t="n"/>
      <c r="J5" s="39" t="n"/>
      <c r="K5" s="39" t="n"/>
      <c r="L5" s="40" t="n">
        <v>2</v>
      </c>
      <c r="M5" s="41" t="n"/>
      <c r="N5" s="41" t="n"/>
      <c r="O5" s="41" t="n"/>
      <c r="P5" s="41" t="n"/>
      <c r="Q5" s="39" t="n"/>
      <c r="R5" s="39" t="n"/>
      <c r="S5" s="40" t="n">
        <v>3</v>
      </c>
      <c r="T5" s="41" t="n"/>
      <c r="U5" s="41" t="n"/>
      <c r="V5" s="41" t="n"/>
      <c r="W5" s="41" t="n"/>
      <c r="X5" s="39" t="n"/>
      <c r="Y5" s="39" t="n"/>
      <c r="Z5" s="40" t="n">
        <v>4</v>
      </c>
      <c r="AA5" s="41" t="n"/>
      <c r="AB5" s="41" t="n"/>
      <c r="AC5" s="41" t="n"/>
      <c r="AD5" s="41" t="n"/>
      <c r="AE5" s="39" t="n"/>
      <c r="AF5" s="42" t="n"/>
    </row>
    <row r="6" ht="16" customHeight="1">
      <c r="A6" s="43" t="inlineStr">
        <is>
          <t>Breig</t>
        </is>
      </c>
      <c r="B6" s="17">
        <f>IF(Dienstplan!B7="","",Dienstplan!B7)</f>
        <v/>
      </c>
      <c r="C6" s="17">
        <f>IF(Dienstplan!C7="","",Dienstplan!C7)</f>
        <v/>
      </c>
      <c r="D6" s="17">
        <f>IF(Dienstplan!D7="","",Dienstplan!D7)</f>
        <v/>
      </c>
      <c r="E6" s="18">
        <f>IF(Dienstplan!E7="","",Dienstplan!E7)</f>
        <v/>
      </c>
      <c r="F6" s="18">
        <f>IF(Dienstplan!F7="","",Dienstplan!F7)</f>
        <v/>
      </c>
      <c r="G6" s="17">
        <f>IF(Dienstplan!G7="","",Dienstplan!G7)</f>
        <v/>
      </c>
      <c r="H6" s="18">
        <f>IF(Dienstplan!H7="","",Dienstplan!H7)</f>
        <v/>
      </c>
      <c r="I6" s="18">
        <f>IF(Dienstplan!I7="","",Dienstplan!I7)</f>
        <v/>
      </c>
      <c r="J6" s="17">
        <f>IF(Dienstplan!J7="","",Dienstplan!J7)</f>
        <v/>
      </c>
      <c r="K6" s="17">
        <f>IF(Dienstplan!K7="","",Dienstplan!K7)</f>
        <v/>
      </c>
      <c r="L6" s="18">
        <f>IF(Dienstplan!L7="","",Dienstplan!L7)</f>
        <v/>
      </c>
      <c r="M6" s="18">
        <f>IF(Dienstplan!M7="","",Dienstplan!M7)</f>
        <v/>
      </c>
      <c r="N6" s="18">
        <f>IF(Dienstplan!N7="","",Dienstplan!N7)</f>
        <v/>
      </c>
      <c r="O6" s="18">
        <f>IF(Dienstplan!O7="","",Dienstplan!O7)</f>
        <v/>
      </c>
      <c r="P6" s="18">
        <f>IF(Dienstplan!P7="","",Dienstplan!P7)</f>
        <v/>
      </c>
      <c r="Q6" s="17">
        <f>IF(Dienstplan!Q7="","",Dienstplan!Q7)</f>
        <v/>
      </c>
      <c r="R6" s="17">
        <f>IF(Dienstplan!R7="","",Dienstplan!R7)</f>
        <v/>
      </c>
      <c r="S6" s="18">
        <f>IF(Dienstplan!S7="","",Dienstplan!S7)</f>
        <v/>
      </c>
      <c r="T6" s="18">
        <f>IF(Dienstplan!T7="","",Dienstplan!T7)</f>
        <v/>
      </c>
      <c r="U6" s="18">
        <f>IF(Dienstplan!U7="","",Dienstplan!U7)</f>
        <v/>
      </c>
      <c r="V6" s="18">
        <f>IF(Dienstplan!V7="","",Dienstplan!V7)</f>
        <v/>
      </c>
      <c r="W6" s="18">
        <f>IF(Dienstplan!W7="","",Dienstplan!W7)</f>
        <v/>
      </c>
      <c r="X6" s="17">
        <f>IF(Dienstplan!X7="","",Dienstplan!X7)</f>
        <v/>
      </c>
      <c r="Y6" s="17">
        <f>IF(Dienstplan!Y7="","",Dienstplan!Y7)</f>
        <v/>
      </c>
      <c r="Z6" s="18">
        <f>IF(Dienstplan!Z7="","",Dienstplan!Z7)</f>
        <v/>
      </c>
      <c r="AA6" s="18">
        <f>IF(Dienstplan!AA7="","",Dienstplan!AA7)</f>
        <v/>
      </c>
      <c r="AB6" s="18">
        <f>IF(Dienstplan!AB7="","",Dienstplan!AB7)</f>
        <v/>
      </c>
      <c r="AC6" s="18">
        <f>IF(Dienstplan!AC7="","",Dienstplan!AC7)</f>
        <v/>
      </c>
      <c r="AD6" s="18">
        <f>IF(Dienstplan!AD7="","",Dienstplan!AD7)</f>
        <v/>
      </c>
      <c r="AE6" s="17">
        <f>IF(Dienstplan!AE7="","",Dienstplan!AE7)</f>
        <v/>
      </c>
      <c r="AF6" s="19">
        <f>IF(Dienstplan!AF7="","",Dienstplan!AF7)</f>
        <v/>
      </c>
    </row>
    <row r="7" ht="16" customHeight="1">
      <c r="A7" s="43" t="inlineStr">
        <is>
          <t>Siebert</t>
        </is>
      </c>
      <c r="B7" s="17">
        <f>IF(Dienstplan!B8="","",Dienstplan!B8)</f>
        <v/>
      </c>
      <c r="C7" s="17">
        <f>IF(Dienstplan!C8="","",Dienstplan!C8)</f>
        <v/>
      </c>
      <c r="D7" s="17">
        <f>IF(Dienstplan!D8="","",Dienstplan!D8)</f>
        <v/>
      </c>
      <c r="E7" s="20">
        <f>IF(Dienstplan!E8="","",Dienstplan!E8)</f>
        <v/>
      </c>
      <c r="F7" s="20">
        <f>IF(Dienstplan!F8="","",Dienstplan!F8)</f>
        <v/>
      </c>
      <c r="G7" s="17">
        <f>IF(Dienstplan!G8="","",Dienstplan!G8)</f>
        <v/>
      </c>
      <c r="H7" s="20">
        <f>IF(Dienstplan!H8="","",Dienstplan!H8)</f>
        <v/>
      </c>
      <c r="I7" s="20">
        <f>IF(Dienstplan!I8="","",Dienstplan!I8)</f>
        <v/>
      </c>
      <c r="J7" s="17">
        <f>IF(Dienstplan!J8="","",Dienstplan!J8)</f>
        <v/>
      </c>
      <c r="K7" s="17">
        <f>IF(Dienstplan!K8="","",Dienstplan!K8)</f>
        <v/>
      </c>
      <c r="L7" s="20">
        <f>IF(Dienstplan!L8="","",Dienstplan!L8)</f>
        <v/>
      </c>
      <c r="M7" s="20">
        <f>IF(Dienstplan!M8="","",Dienstplan!M8)</f>
        <v/>
      </c>
      <c r="N7" s="20">
        <f>IF(Dienstplan!N8="","",Dienstplan!N8)</f>
        <v/>
      </c>
      <c r="O7" s="20">
        <f>IF(Dienstplan!O8="","",Dienstplan!O8)</f>
        <v/>
      </c>
      <c r="P7" s="20">
        <f>IF(Dienstplan!P8="","",Dienstplan!P8)</f>
        <v/>
      </c>
      <c r="Q7" s="17">
        <f>IF(Dienstplan!Q8="","",Dienstplan!Q8)</f>
        <v/>
      </c>
      <c r="R7" s="17">
        <f>IF(Dienstplan!R8="","",Dienstplan!R8)</f>
        <v/>
      </c>
      <c r="S7" s="20">
        <f>IF(Dienstplan!S8="","",Dienstplan!S8)</f>
        <v/>
      </c>
      <c r="T7" s="20">
        <f>IF(Dienstplan!T8="","",Dienstplan!T8)</f>
        <v/>
      </c>
      <c r="U7" s="20">
        <f>IF(Dienstplan!U8="","",Dienstplan!U8)</f>
        <v/>
      </c>
      <c r="V7" s="20">
        <f>IF(Dienstplan!V8="","",Dienstplan!V8)</f>
        <v/>
      </c>
      <c r="W7" s="20">
        <f>IF(Dienstplan!W8="","",Dienstplan!W8)</f>
        <v/>
      </c>
      <c r="X7" s="17">
        <f>IF(Dienstplan!X8="","",Dienstplan!X8)</f>
        <v/>
      </c>
      <c r="Y7" s="17">
        <f>IF(Dienstplan!Y8="","",Dienstplan!Y8)</f>
        <v/>
      </c>
      <c r="Z7" s="20">
        <f>IF(Dienstplan!Z8="","",Dienstplan!Z8)</f>
        <v/>
      </c>
      <c r="AA7" s="20">
        <f>IF(Dienstplan!AA8="","",Dienstplan!AA8)</f>
        <v/>
      </c>
      <c r="AB7" s="20">
        <f>IF(Dienstplan!AB8="","",Dienstplan!AB8)</f>
        <v/>
      </c>
      <c r="AC7" s="20">
        <f>IF(Dienstplan!AC8="","",Dienstplan!AC8)</f>
        <v/>
      </c>
      <c r="AD7" s="20">
        <f>IF(Dienstplan!AD8="","",Dienstplan!AD8)</f>
        <v/>
      </c>
      <c r="AE7" s="17">
        <f>IF(Dienstplan!AE8="","",Dienstplan!AE8)</f>
        <v/>
      </c>
      <c r="AF7" s="19">
        <f>IF(Dienstplan!AF8="","",Dienstplan!AF8)</f>
        <v/>
      </c>
    </row>
    <row r="8" ht="16" customHeight="1">
      <c r="A8" s="43" t="inlineStr">
        <is>
          <t>Jochim</t>
        </is>
      </c>
      <c r="B8" s="17">
        <f>IF(Dienstplan!B9="","",Dienstplan!B9)</f>
        <v/>
      </c>
      <c r="C8" s="17">
        <f>IF(Dienstplan!C9="","",Dienstplan!C9)</f>
        <v/>
      </c>
      <c r="D8" s="17">
        <f>IF(Dienstplan!D9="","",Dienstplan!D9)</f>
        <v/>
      </c>
      <c r="E8" s="18">
        <f>IF(Dienstplan!E9="","",Dienstplan!E9)</f>
        <v/>
      </c>
      <c r="F8" s="18">
        <f>IF(Dienstplan!F9="","",Dienstplan!F9)</f>
        <v/>
      </c>
      <c r="G8" s="17">
        <f>IF(Dienstplan!G9="","",Dienstplan!G9)</f>
        <v/>
      </c>
      <c r="H8" s="18">
        <f>IF(Dienstplan!H9="","",Dienstplan!H9)</f>
        <v/>
      </c>
      <c r="I8" s="18">
        <f>IF(Dienstplan!I9="","",Dienstplan!I9)</f>
        <v/>
      </c>
      <c r="J8" s="17">
        <f>IF(Dienstplan!J9="","",Dienstplan!J9)</f>
        <v/>
      </c>
      <c r="K8" s="17">
        <f>IF(Dienstplan!K9="","",Dienstplan!K9)</f>
        <v/>
      </c>
      <c r="L8" s="18">
        <f>IF(Dienstplan!L9="","",Dienstplan!L9)</f>
        <v/>
      </c>
      <c r="M8" s="18">
        <f>IF(Dienstplan!M9="","",Dienstplan!M9)</f>
        <v/>
      </c>
      <c r="N8" s="18">
        <f>IF(Dienstplan!N9="","",Dienstplan!N9)</f>
        <v/>
      </c>
      <c r="O8" s="18">
        <f>IF(Dienstplan!O9="","",Dienstplan!O9)</f>
        <v/>
      </c>
      <c r="P8" s="18">
        <f>IF(Dienstplan!P9="","",Dienstplan!P9)</f>
        <v/>
      </c>
      <c r="Q8" s="17">
        <f>IF(Dienstplan!Q9="","",Dienstplan!Q9)</f>
        <v/>
      </c>
      <c r="R8" s="17">
        <f>IF(Dienstplan!R9="","",Dienstplan!R9)</f>
        <v/>
      </c>
      <c r="S8" s="18">
        <f>IF(Dienstplan!S9="","",Dienstplan!S9)</f>
        <v/>
      </c>
      <c r="T8" s="18">
        <f>IF(Dienstplan!T9="","",Dienstplan!T9)</f>
        <v/>
      </c>
      <c r="U8" s="18">
        <f>IF(Dienstplan!U9="","",Dienstplan!U9)</f>
        <v/>
      </c>
      <c r="V8" s="18">
        <f>IF(Dienstplan!V9="","",Dienstplan!V9)</f>
        <v/>
      </c>
      <c r="W8" s="18">
        <f>IF(Dienstplan!W9="","",Dienstplan!W9)</f>
        <v/>
      </c>
      <c r="X8" s="17">
        <f>IF(Dienstplan!X9="","",Dienstplan!X9)</f>
        <v/>
      </c>
      <c r="Y8" s="17">
        <f>IF(Dienstplan!Y9="","",Dienstplan!Y9)</f>
        <v/>
      </c>
      <c r="Z8" s="18">
        <f>IF(Dienstplan!Z9="","",Dienstplan!Z9)</f>
        <v/>
      </c>
      <c r="AA8" s="18">
        <f>IF(Dienstplan!AA9="","",Dienstplan!AA9)</f>
        <v/>
      </c>
      <c r="AB8" s="18">
        <f>IF(Dienstplan!AB9="","",Dienstplan!AB9)</f>
        <v/>
      </c>
      <c r="AC8" s="18">
        <f>IF(Dienstplan!AC9="","",Dienstplan!AC9)</f>
        <v/>
      </c>
      <c r="AD8" s="18">
        <f>IF(Dienstplan!AD9="","",Dienstplan!AD9)</f>
        <v/>
      </c>
      <c r="AE8" s="17">
        <f>IF(Dienstplan!AE9="","",Dienstplan!AE9)</f>
        <v/>
      </c>
      <c r="AF8" s="19">
        <f>IF(Dienstplan!AF9="","",Dienstplan!AF9)</f>
        <v/>
      </c>
    </row>
    <row r="9" ht="16" customHeight="1">
      <c r="A9" s="43" t="inlineStr">
        <is>
          <t>Wunsch</t>
        </is>
      </c>
      <c r="B9" s="17">
        <f>IF(Dienstplan!B10="","",Dienstplan!B10)</f>
        <v/>
      </c>
      <c r="C9" s="17">
        <f>IF(Dienstplan!C10="","",Dienstplan!C10)</f>
        <v/>
      </c>
      <c r="D9" s="17">
        <f>IF(Dienstplan!D10="","",Dienstplan!D10)</f>
        <v/>
      </c>
      <c r="E9" s="20">
        <f>IF(Dienstplan!E10="","",Dienstplan!E10)</f>
        <v/>
      </c>
      <c r="F9" s="20">
        <f>IF(Dienstplan!F10="","",Dienstplan!F10)</f>
        <v/>
      </c>
      <c r="G9" s="17">
        <f>IF(Dienstplan!G10="","",Dienstplan!G10)</f>
        <v/>
      </c>
      <c r="H9" s="20">
        <f>IF(Dienstplan!H10="","",Dienstplan!H10)</f>
        <v/>
      </c>
      <c r="I9" s="20">
        <f>IF(Dienstplan!I10="","",Dienstplan!I10)</f>
        <v/>
      </c>
      <c r="J9" s="17">
        <f>IF(Dienstplan!J10="","",Dienstplan!J10)</f>
        <v/>
      </c>
      <c r="K9" s="17">
        <f>IF(Dienstplan!K10="","",Dienstplan!K10)</f>
        <v/>
      </c>
      <c r="L9" s="20">
        <f>IF(Dienstplan!L10="","",Dienstplan!L10)</f>
        <v/>
      </c>
      <c r="M9" s="20">
        <f>IF(Dienstplan!M10="","",Dienstplan!M10)</f>
        <v/>
      </c>
      <c r="N9" s="20">
        <f>IF(Dienstplan!N10="","",Dienstplan!N10)</f>
        <v/>
      </c>
      <c r="O9" s="20">
        <f>IF(Dienstplan!O10="","",Dienstplan!O10)</f>
        <v/>
      </c>
      <c r="P9" s="20">
        <f>IF(Dienstplan!P10="","",Dienstplan!P10)</f>
        <v/>
      </c>
      <c r="Q9" s="17">
        <f>IF(Dienstplan!Q10="","",Dienstplan!Q10)</f>
        <v/>
      </c>
      <c r="R9" s="17">
        <f>IF(Dienstplan!R10="","",Dienstplan!R10)</f>
        <v/>
      </c>
      <c r="S9" s="20">
        <f>IF(Dienstplan!S10="","",Dienstplan!S10)</f>
        <v/>
      </c>
      <c r="T9" s="20">
        <f>IF(Dienstplan!T10="","",Dienstplan!T10)</f>
        <v/>
      </c>
      <c r="U9" s="20">
        <f>IF(Dienstplan!U10="","",Dienstplan!U10)</f>
        <v/>
      </c>
      <c r="V9" s="20">
        <f>IF(Dienstplan!V10="","",Dienstplan!V10)</f>
        <v/>
      </c>
      <c r="W9" s="20">
        <f>IF(Dienstplan!W10="","",Dienstplan!W10)</f>
        <v/>
      </c>
      <c r="X9" s="17">
        <f>IF(Dienstplan!X10="","",Dienstplan!X10)</f>
        <v/>
      </c>
      <c r="Y9" s="17">
        <f>IF(Dienstplan!Y10="","",Dienstplan!Y10)</f>
        <v/>
      </c>
      <c r="Z9" s="20">
        <f>IF(Dienstplan!Z10="","",Dienstplan!Z10)</f>
        <v/>
      </c>
      <c r="AA9" s="20">
        <f>IF(Dienstplan!AA10="","",Dienstplan!AA10)</f>
        <v/>
      </c>
      <c r="AB9" s="20">
        <f>IF(Dienstplan!AB10="","",Dienstplan!AB10)</f>
        <v/>
      </c>
      <c r="AC9" s="20">
        <f>IF(Dienstplan!AC10="","",Dienstplan!AC10)</f>
        <v/>
      </c>
      <c r="AD9" s="20">
        <f>IF(Dienstplan!AD10="","",Dienstplan!AD10)</f>
        <v/>
      </c>
      <c r="AE9" s="17">
        <f>IF(Dienstplan!AE10="","",Dienstplan!AE10)</f>
        <v/>
      </c>
      <c r="AF9" s="19">
        <f>IF(Dienstplan!AF10="","",Dienstplan!AF10)</f>
        <v/>
      </c>
    </row>
    <row r="10" ht="16" customHeight="1">
      <c r="A10" s="43" t="inlineStr">
        <is>
          <t>Göpfrich</t>
        </is>
      </c>
      <c r="B10" s="17">
        <f>IF(Dienstplan!B11="","",Dienstplan!B11)</f>
        <v/>
      </c>
      <c r="C10" s="17">
        <f>IF(Dienstplan!C11="","",Dienstplan!C11)</f>
        <v/>
      </c>
      <c r="D10" s="17">
        <f>IF(Dienstplan!D11="","",Dienstplan!D11)</f>
        <v/>
      </c>
      <c r="E10" s="18">
        <f>IF(Dienstplan!E11="","",Dienstplan!E11)</f>
        <v/>
      </c>
      <c r="F10" s="18">
        <f>IF(Dienstplan!F11="","",Dienstplan!F11)</f>
        <v/>
      </c>
      <c r="G10" s="17">
        <f>IF(Dienstplan!G11="","",Dienstplan!G11)</f>
        <v/>
      </c>
      <c r="H10" s="18">
        <f>IF(Dienstplan!H11="","",Dienstplan!H11)</f>
        <v/>
      </c>
      <c r="I10" s="18">
        <f>IF(Dienstplan!I11="","",Dienstplan!I11)</f>
        <v/>
      </c>
      <c r="J10" s="17">
        <f>IF(Dienstplan!J11="","",Dienstplan!J11)</f>
        <v/>
      </c>
      <c r="K10" s="17">
        <f>IF(Dienstplan!K11="","",Dienstplan!K11)</f>
        <v/>
      </c>
      <c r="L10" s="18">
        <f>IF(Dienstplan!L11="","",Dienstplan!L11)</f>
        <v/>
      </c>
      <c r="M10" s="18">
        <f>IF(Dienstplan!M11="","",Dienstplan!M11)</f>
        <v/>
      </c>
      <c r="N10" s="18">
        <f>IF(Dienstplan!N11="","",Dienstplan!N11)</f>
        <v/>
      </c>
      <c r="O10" s="18">
        <f>IF(Dienstplan!O11="","",Dienstplan!O11)</f>
        <v/>
      </c>
      <c r="P10" s="18">
        <f>IF(Dienstplan!P11="","",Dienstplan!P11)</f>
        <v/>
      </c>
      <c r="Q10" s="17">
        <f>IF(Dienstplan!Q11="","",Dienstplan!Q11)</f>
        <v/>
      </c>
      <c r="R10" s="17">
        <f>IF(Dienstplan!R11="","",Dienstplan!R11)</f>
        <v/>
      </c>
      <c r="S10" s="18">
        <f>IF(Dienstplan!S11="","",Dienstplan!S11)</f>
        <v/>
      </c>
      <c r="T10" s="18">
        <f>IF(Dienstplan!T11="","",Dienstplan!T11)</f>
        <v/>
      </c>
      <c r="U10" s="18">
        <f>IF(Dienstplan!U11="","",Dienstplan!U11)</f>
        <v/>
      </c>
      <c r="V10" s="18">
        <f>IF(Dienstplan!V11="","",Dienstplan!V11)</f>
        <v/>
      </c>
      <c r="W10" s="18">
        <f>IF(Dienstplan!W11="","",Dienstplan!W11)</f>
        <v/>
      </c>
      <c r="X10" s="17">
        <f>IF(Dienstplan!X11="","",Dienstplan!X11)</f>
        <v/>
      </c>
      <c r="Y10" s="17">
        <f>IF(Dienstplan!Y11="","",Dienstplan!Y11)</f>
        <v/>
      </c>
      <c r="Z10" s="18">
        <f>IF(Dienstplan!Z11="","",Dienstplan!Z11)</f>
        <v/>
      </c>
      <c r="AA10" s="18">
        <f>IF(Dienstplan!AA11="","",Dienstplan!AA11)</f>
        <v/>
      </c>
      <c r="AB10" s="18">
        <f>IF(Dienstplan!AB11="","",Dienstplan!AB11)</f>
        <v/>
      </c>
      <c r="AC10" s="18">
        <f>IF(Dienstplan!AC11="","",Dienstplan!AC11)</f>
        <v/>
      </c>
      <c r="AD10" s="18">
        <f>IF(Dienstplan!AD11="","",Dienstplan!AD11)</f>
        <v/>
      </c>
      <c r="AE10" s="17">
        <f>IF(Dienstplan!AE11="","",Dienstplan!AE11)</f>
        <v/>
      </c>
      <c r="AF10" s="19">
        <f>IF(Dienstplan!AF11="","",Dienstplan!AF11)</f>
        <v/>
      </c>
    </row>
    <row r="11" ht="16" customHeight="1">
      <c r="A11" s="43" t="inlineStr">
        <is>
          <t>Zeller</t>
        </is>
      </c>
      <c r="B11" s="17">
        <f>IF(Dienstplan!B12="","",Dienstplan!B12)</f>
        <v/>
      </c>
      <c r="C11" s="17">
        <f>IF(Dienstplan!C12="","",Dienstplan!C12)</f>
        <v/>
      </c>
      <c r="D11" s="17">
        <f>IF(Dienstplan!D12="","",Dienstplan!D12)</f>
        <v/>
      </c>
      <c r="E11" s="20">
        <f>IF(Dienstplan!E12="","",Dienstplan!E12)</f>
        <v/>
      </c>
      <c r="F11" s="20">
        <f>IF(Dienstplan!F12="","",Dienstplan!F12)</f>
        <v/>
      </c>
      <c r="G11" s="17">
        <f>IF(Dienstplan!G12="","",Dienstplan!G12)</f>
        <v/>
      </c>
      <c r="H11" s="20">
        <f>IF(Dienstplan!H12="","",Dienstplan!H12)</f>
        <v/>
      </c>
      <c r="I11" s="20">
        <f>IF(Dienstplan!I12="","",Dienstplan!I12)</f>
        <v/>
      </c>
      <c r="J11" s="17">
        <f>IF(Dienstplan!J12="","",Dienstplan!J12)</f>
        <v/>
      </c>
      <c r="K11" s="17">
        <f>IF(Dienstplan!K12="","",Dienstplan!K12)</f>
        <v/>
      </c>
      <c r="L11" s="20">
        <f>IF(Dienstplan!L12="","",Dienstplan!L12)</f>
        <v/>
      </c>
      <c r="M11" s="20">
        <f>IF(Dienstplan!M12="","",Dienstplan!M12)</f>
        <v/>
      </c>
      <c r="N11" s="20">
        <f>IF(Dienstplan!N12="","",Dienstplan!N12)</f>
        <v/>
      </c>
      <c r="O11" s="20">
        <f>IF(Dienstplan!O12="","",Dienstplan!O12)</f>
        <v/>
      </c>
      <c r="P11" s="20">
        <f>IF(Dienstplan!P12="","",Dienstplan!P12)</f>
        <v/>
      </c>
      <c r="Q11" s="17">
        <f>IF(Dienstplan!Q12="","",Dienstplan!Q12)</f>
        <v/>
      </c>
      <c r="R11" s="17">
        <f>IF(Dienstplan!R12="","",Dienstplan!R12)</f>
        <v/>
      </c>
      <c r="S11" s="20">
        <f>IF(Dienstplan!S12="","",Dienstplan!S12)</f>
        <v/>
      </c>
      <c r="T11" s="20">
        <f>IF(Dienstplan!T12="","",Dienstplan!T12)</f>
        <v/>
      </c>
      <c r="U11" s="20">
        <f>IF(Dienstplan!U12="","",Dienstplan!U12)</f>
        <v/>
      </c>
      <c r="V11" s="20">
        <f>IF(Dienstplan!V12="","",Dienstplan!V12)</f>
        <v/>
      </c>
      <c r="W11" s="20">
        <f>IF(Dienstplan!W12="","",Dienstplan!W12)</f>
        <v/>
      </c>
      <c r="X11" s="17">
        <f>IF(Dienstplan!X12="","",Dienstplan!X12)</f>
        <v/>
      </c>
      <c r="Y11" s="17">
        <f>IF(Dienstplan!Y12="","",Dienstplan!Y12)</f>
        <v/>
      </c>
      <c r="Z11" s="20">
        <f>IF(Dienstplan!Z12="","",Dienstplan!Z12)</f>
        <v/>
      </c>
      <c r="AA11" s="20">
        <f>IF(Dienstplan!AA12="","",Dienstplan!AA12)</f>
        <v/>
      </c>
      <c r="AB11" s="20">
        <f>IF(Dienstplan!AB12="","",Dienstplan!AB12)</f>
        <v/>
      </c>
      <c r="AC11" s="20">
        <f>IF(Dienstplan!AC12="","",Dienstplan!AC12)</f>
        <v/>
      </c>
      <c r="AD11" s="20">
        <f>IF(Dienstplan!AD12="","",Dienstplan!AD12)</f>
        <v/>
      </c>
      <c r="AE11" s="17">
        <f>IF(Dienstplan!AE12="","",Dienstplan!AE12)</f>
        <v/>
      </c>
      <c r="AF11" s="19">
        <f>IF(Dienstplan!AF12="","",Dienstplan!AF12)</f>
        <v/>
      </c>
    </row>
    <row r="12" ht="16" customHeight="1">
      <c r="A12" s="43" t="inlineStr">
        <is>
          <t>Behrendt</t>
        </is>
      </c>
      <c r="B12" s="17">
        <f>IF(Dienstplan!B13="","",Dienstplan!B13)</f>
        <v/>
      </c>
      <c r="C12" s="17">
        <f>IF(Dienstplan!C13="","",Dienstplan!C13)</f>
        <v/>
      </c>
      <c r="D12" s="17">
        <f>IF(Dienstplan!D13="","",Dienstplan!D13)</f>
        <v/>
      </c>
      <c r="E12" s="18">
        <f>IF(Dienstplan!E13="","",Dienstplan!E13)</f>
        <v/>
      </c>
      <c r="F12" s="18">
        <f>IF(Dienstplan!F13="","",Dienstplan!F13)</f>
        <v/>
      </c>
      <c r="G12" s="17">
        <f>IF(Dienstplan!G13="","",Dienstplan!G13)</f>
        <v/>
      </c>
      <c r="H12" s="18">
        <f>IF(Dienstplan!H13="","",Dienstplan!H13)</f>
        <v/>
      </c>
      <c r="I12" s="18">
        <f>IF(Dienstplan!I13="","",Dienstplan!I13)</f>
        <v/>
      </c>
      <c r="J12" s="17">
        <f>IF(Dienstplan!J13="","",Dienstplan!J13)</f>
        <v/>
      </c>
      <c r="K12" s="17">
        <f>IF(Dienstplan!K13="","",Dienstplan!K13)</f>
        <v/>
      </c>
      <c r="L12" s="18">
        <f>IF(Dienstplan!L13="","",Dienstplan!L13)</f>
        <v/>
      </c>
      <c r="M12" s="18">
        <f>IF(Dienstplan!M13="","",Dienstplan!M13)</f>
        <v/>
      </c>
      <c r="N12" s="18">
        <f>IF(Dienstplan!N13="","",Dienstplan!N13)</f>
        <v/>
      </c>
      <c r="O12" s="18">
        <f>IF(Dienstplan!O13="","",Dienstplan!O13)</f>
        <v/>
      </c>
      <c r="P12" s="18">
        <f>IF(Dienstplan!P13="","",Dienstplan!P13)</f>
        <v/>
      </c>
      <c r="Q12" s="17">
        <f>IF(Dienstplan!Q13="","",Dienstplan!Q13)</f>
        <v/>
      </c>
      <c r="R12" s="17">
        <f>IF(Dienstplan!R13="","",Dienstplan!R13)</f>
        <v/>
      </c>
      <c r="S12" s="18">
        <f>IF(Dienstplan!S13="","",Dienstplan!S13)</f>
        <v/>
      </c>
      <c r="T12" s="18">
        <f>IF(Dienstplan!T13="","",Dienstplan!T13)</f>
        <v/>
      </c>
      <c r="U12" s="18">
        <f>IF(Dienstplan!U13="","",Dienstplan!U13)</f>
        <v/>
      </c>
      <c r="V12" s="18">
        <f>IF(Dienstplan!V13="","",Dienstplan!V13)</f>
        <v/>
      </c>
      <c r="W12" s="18">
        <f>IF(Dienstplan!W13="","",Dienstplan!W13)</f>
        <v/>
      </c>
      <c r="X12" s="17">
        <f>IF(Dienstplan!X13="","",Dienstplan!X13)</f>
        <v/>
      </c>
      <c r="Y12" s="17">
        <f>IF(Dienstplan!Y13="","",Dienstplan!Y13)</f>
        <v/>
      </c>
      <c r="Z12" s="18">
        <f>IF(Dienstplan!Z13="","",Dienstplan!Z13)</f>
        <v/>
      </c>
      <c r="AA12" s="18">
        <f>IF(Dienstplan!AA13="","",Dienstplan!AA13)</f>
        <v/>
      </c>
      <c r="AB12" s="18">
        <f>IF(Dienstplan!AB13="","",Dienstplan!AB13)</f>
        <v/>
      </c>
      <c r="AC12" s="18">
        <f>IF(Dienstplan!AC13="","",Dienstplan!AC13)</f>
        <v/>
      </c>
      <c r="AD12" s="18">
        <f>IF(Dienstplan!AD13="","",Dienstplan!AD13)</f>
        <v/>
      </c>
      <c r="AE12" s="17">
        <f>IF(Dienstplan!AE13="","",Dienstplan!AE13)</f>
        <v/>
      </c>
      <c r="AF12" s="19">
        <f>IF(Dienstplan!AF13="","",Dienstplan!AF13)</f>
        <v/>
      </c>
    </row>
    <row r="13" ht="16" customHeight="1">
      <c r="A13" s="43" t="inlineStr">
        <is>
          <t>Krempl</t>
        </is>
      </c>
      <c r="B13" s="17">
        <f>IF(Dienstplan!B14="","",Dienstplan!B14)</f>
        <v/>
      </c>
      <c r="C13" s="17">
        <f>IF(Dienstplan!C14="","",Dienstplan!C14)</f>
        <v/>
      </c>
      <c r="D13" s="17">
        <f>IF(Dienstplan!D14="","",Dienstplan!D14)</f>
        <v/>
      </c>
      <c r="E13" s="20">
        <f>IF(Dienstplan!E14="","",Dienstplan!E14)</f>
        <v/>
      </c>
      <c r="F13" s="20">
        <f>IF(Dienstplan!F14="","",Dienstplan!F14)</f>
        <v/>
      </c>
      <c r="G13" s="17">
        <f>IF(Dienstplan!G14="","",Dienstplan!G14)</f>
        <v/>
      </c>
      <c r="H13" s="20">
        <f>IF(Dienstplan!H14="","",Dienstplan!H14)</f>
        <v/>
      </c>
      <c r="I13" s="20">
        <f>IF(Dienstplan!I14="","",Dienstplan!I14)</f>
        <v/>
      </c>
      <c r="J13" s="17">
        <f>IF(Dienstplan!J14="","",Dienstplan!J14)</f>
        <v/>
      </c>
      <c r="K13" s="17">
        <f>IF(Dienstplan!K14="","",Dienstplan!K14)</f>
        <v/>
      </c>
      <c r="L13" s="20">
        <f>IF(Dienstplan!L14="","",Dienstplan!L14)</f>
        <v/>
      </c>
      <c r="M13" s="20">
        <f>IF(Dienstplan!M14="","",Dienstplan!M14)</f>
        <v/>
      </c>
      <c r="N13" s="20">
        <f>IF(Dienstplan!N14="","",Dienstplan!N14)</f>
        <v/>
      </c>
      <c r="O13" s="20">
        <f>IF(Dienstplan!O14="","",Dienstplan!O14)</f>
        <v/>
      </c>
      <c r="P13" s="20">
        <f>IF(Dienstplan!P14="","",Dienstplan!P14)</f>
        <v/>
      </c>
      <c r="Q13" s="17">
        <f>IF(Dienstplan!Q14="","",Dienstplan!Q14)</f>
        <v/>
      </c>
      <c r="R13" s="17">
        <f>IF(Dienstplan!R14="","",Dienstplan!R14)</f>
        <v/>
      </c>
      <c r="S13" s="20">
        <f>IF(Dienstplan!S14="","",Dienstplan!S14)</f>
        <v/>
      </c>
      <c r="T13" s="20">
        <f>IF(Dienstplan!T14="","",Dienstplan!T14)</f>
        <v/>
      </c>
      <c r="U13" s="20">
        <f>IF(Dienstplan!U14="","",Dienstplan!U14)</f>
        <v/>
      </c>
      <c r="V13" s="20">
        <f>IF(Dienstplan!V14="","",Dienstplan!V14)</f>
        <v/>
      </c>
      <c r="W13" s="20">
        <f>IF(Dienstplan!W14="","",Dienstplan!W14)</f>
        <v/>
      </c>
      <c r="X13" s="17">
        <f>IF(Dienstplan!X14="","",Dienstplan!X14)</f>
        <v/>
      </c>
      <c r="Y13" s="17">
        <f>IF(Dienstplan!Y14="","",Dienstplan!Y14)</f>
        <v/>
      </c>
      <c r="Z13" s="20">
        <f>IF(Dienstplan!Z14="","",Dienstplan!Z14)</f>
        <v/>
      </c>
      <c r="AA13" s="20">
        <f>IF(Dienstplan!AA14="","",Dienstplan!AA14)</f>
        <v/>
      </c>
      <c r="AB13" s="20">
        <f>IF(Dienstplan!AB14="","",Dienstplan!AB14)</f>
        <v/>
      </c>
      <c r="AC13" s="20">
        <f>IF(Dienstplan!AC14="","",Dienstplan!AC14)</f>
        <v/>
      </c>
      <c r="AD13" s="20">
        <f>IF(Dienstplan!AD14="","",Dienstplan!AD14)</f>
        <v/>
      </c>
      <c r="AE13" s="17">
        <f>IF(Dienstplan!AE14="","",Dienstplan!AE14)</f>
        <v/>
      </c>
      <c r="AF13" s="19">
        <f>IF(Dienstplan!AF14="","",Dienstplan!AF14)</f>
        <v/>
      </c>
    </row>
    <row r="14" ht="16" customHeight="1">
      <c r="A14" s="43" t="inlineStr">
        <is>
          <t>Putschler</t>
        </is>
      </c>
      <c r="B14" s="17">
        <f>IF(Dienstplan!B15="","",Dienstplan!B15)</f>
        <v/>
      </c>
      <c r="C14" s="17">
        <f>IF(Dienstplan!C15="","",Dienstplan!C15)</f>
        <v/>
      </c>
      <c r="D14" s="17">
        <f>IF(Dienstplan!D15="","",Dienstplan!D15)</f>
        <v/>
      </c>
      <c r="E14" s="18">
        <f>IF(Dienstplan!E15="","",Dienstplan!E15)</f>
        <v/>
      </c>
      <c r="F14" s="18">
        <f>IF(Dienstplan!F15="","",Dienstplan!F15)</f>
        <v/>
      </c>
      <c r="G14" s="17">
        <f>IF(Dienstplan!G15="","",Dienstplan!G15)</f>
        <v/>
      </c>
      <c r="H14" s="18">
        <f>IF(Dienstplan!H15="","",Dienstplan!H15)</f>
        <v/>
      </c>
      <c r="I14" s="18">
        <f>IF(Dienstplan!I15="","",Dienstplan!I15)</f>
        <v/>
      </c>
      <c r="J14" s="17">
        <f>IF(Dienstplan!J15="","",Dienstplan!J15)</f>
        <v/>
      </c>
      <c r="K14" s="17">
        <f>IF(Dienstplan!K15="","",Dienstplan!K15)</f>
        <v/>
      </c>
      <c r="L14" s="18">
        <f>IF(Dienstplan!L15="","",Dienstplan!L15)</f>
        <v/>
      </c>
      <c r="M14" s="18">
        <f>IF(Dienstplan!M15="","",Dienstplan!M15)</f>
        <v/>
      </c>
      <c r="N14" s="18">
        <f>IF(Dienstplan!N15="","",Dienstplan!N15)</f>
        <v/>
      </c>
      <c r="O14" s="18">
        <f>IF(Dienstplan!O15="","",Dienstplan!O15)</f>
        <v/>
      </c>
      <c r="P14" s="18">
        <f>IF(Dienstplan!P15="","",Dienstplan!P15)</f>
        <v/>
      </c>
      <c r="Q14" s="17">
        <f>IF(Dienstplan!Q15="","",Dienstplan!Q15)</f>
        <v/>
      </c>
      <c r="R14" s="17">
        <f>IF(Dienstplan!R15="","",Dienstplan!R15)</f>
        <v/>
      </c>
      <c r="S14" s="18">
        <f>IF(Dienstplan!S15="","",Dienstplan!S15)</f>
        <v/>
      </c>
      <c r="T14" s="18">
        <f>IF(Dienstplan!T15="","",Dienstplan!T15)</f>
        <v/>
      </c>
      <c r="U14" s="18">
        <f>IF(Dienstplan!U15="","",Dienstplan!U15)</f>
        <v/>
      </c>
      <c r="V14" s="18">
        <f>IF(Dienstplan!V15="","",Dienstplan!V15)</f>
        <v/>
      </c>
      <c r="W14" s="18">
        <f>IF(Dienstplan!W15="","",Dienstplan!W15)</f>
        <v/>
      </c>
      <c r="X14" s="17">
        <f>IF(Dienstplan!X15="","",Dienstplan!X15)</f>
        <v/>
      </c>
      <c r="Y14" s="17">
        <f>IF(Dienstplan!Y15="","",Dienstplan!Y15)</f>
        <v/>
      </c>
      <c r="Z14" s="18">
        <f>IF(Dienstplan!Z15="","",Dienstplan!Z15)</f>
        <v/>
      </c>
      <c r="AA14" s="18">
        <f>IF(Dienstplan!AA15="","",Dienstplan!AA15)</f>
        <v/>
      </c>
      <c r="AB14" s="18">
        <f>IF(Dienstplan!AB15="","",Dienstplan!AB15)</f>
        <v/>
      </c>
      <c r="AC14" s="18">
        <f>IF(Dienstplan!AC15="","",Dienstplan!AC15)</f>
        <v/>
      </c>
      <c r="AD14" s="18">
        <f>IF(Dienstplan!AD15="","",Dienstplan!AD15)</f>
        <v/>
      </c>
      <c r="AE14" s="17">
        <f>IF(Dienstplan!AE15="","",Dienstplan!AE15)</f>
        <v/>
      </c>
      <c r="AF14" s="19">
        <f>IF(Dienstplan!AF15="","",Dienstplan!AF15)</f>
        <v/>
      </c>
    </row>
    <row r="15" ht="16" customHeight="1">
      <c r="A15" s="43" t="inlineStr">
        <is>
          <t>Kunz</t>
        </is>
      </c>
      <c r="B15" s="17">
        <f>IF(Dienstplan!B16="","",Dienstplan!B16)</f>
        <v/>
      </c>
      <c r="C15" s="17">
        <f>IF(Dienstplan!C16="","",Dienstplan!C16)</f>
        <v/>
      </c>
      <c r="D15" s="17">
        <f>IF(Dienstplan!D16="","",Dienstplan!D16)</f>
        <v/>
      </c>
      <c r="E15" s="20">
        <f>IF(Dienstplan!E16="","",Dienstplan!E16)</f>
        <v/>
      </c>
      <c r="F15" s="20">
        <f>IF(Dienstplan!F16="","",Dienstplan!F16)</f>
        <v/>
      </c>
      <c r="G15" s="17">
        <f>IF(Dienstplan!G16="","",Dienstplan!G16)</f>
        <v/>
      </c>
      <c r="H15" s="20">
        <f>IF(Dienstplan!H16="","",Dienstplan!H16)</f>
        <v/>
      </c>
      <c r="I15" s="20">
        <f>IF(Dienstplan!I16="","",Dienstplan!I16)</f>
        <v/>
      </c>
      <c r="J15" s="17">
        <f>IF(Dienstplan!J16="","",Dienstplan!J16)</f>
        <v/>
      </c>
      <c r="K15" s="17">
        <f>IF(Dienstplan!K16="","",Dienstplan!K16)</f>
        <v/>
      </c>
      <c r="L15" s="20">
        <f>IF(Dienstplan!L16="","",Dienstplan!L16)</f>
        <v/>
      </c>
      <c r="M15" s="20">
        <f>IF(Dienstplan!M16="","",Dienstplan!M16)</f>
        <v/>
      </c>
      <c r="N15" s="20">
        <f>IF(Dienstplan!N16="","",Dienstplan!N16)</f>
        <v/>
      </c>
      <c r="O15" s="20">
        <f>IF(Dienstplan!O16="","",Dienstplan!O16)</f>
        <v/>
      </c>
      <c r="P15" s="20">
        <f>IF(Dienstplan!P16="","",Dienstplan!P16)</f>
        <v/>
      </c>
      <c r="Q15" s="17">
        <f>IF(Dienstplan!Q16="","",Dienstplan!Q16)</f>
        <v/>
      </c>
      <c r="R15" s="17">
        <f>IF(Dienstplan!R16="","",Dienstplan!R16)</f>
        <v/>
      </c>
      <c r="S15" s="20">
        <f>IF(Dienstplan!S16="","",Dienstplan!S16)</f>
        <v/>
      </c>
      <c r="T15" s="20">
        <f>IF(Dienstplan!T16="","",Dienstplan!T16)</f>
        <v/>
      </c>
      <c r="U15" s="20">
        <f>IF(Dienstplan!U16="","",Dienstplan!U16)</f>
        <v/>
      </c>
      <c r="V15" s="20">
        <f>IF(Dienstplan!V16="","",Dienstplan!V16)</f>
        <v/>
      </c>
      <c r="W15" s="20">
        <f>IF(Dienstplan!W16="","",Dienstplan!W16)</f>
        <v/>
      </c>
      <c r="X15" s="17">
        <f>IF(Dienstplan!X16="","",Dienstplan!X16)</f>
        <v/>
      </c>
      <c r="Y15" s="17">
        <f>IF(Dienstplan!Y16="","",Dienstplan!Y16)</f>
        <v/>
      </c>
      <c r="Z15" s="20">
        <f>IF(Dienstplan!Z16="","",Dienstplan!Z16)</f>
        <v/>
      </c>
      <c r="AA15" s="20">
        <f>IF(Dienstplan!AA16="","",Dienstplan!AA16)</f>
        <v/>
      </c>
      <c r="AB15" s="20">
        <f>IF(Dienstplan!AB16="","",Dienstplan!AB16)</f>
        <v/>
      </c>
      <c r="AC15" s="20">
        <f>IF(Dienstplan!AC16="","",Dienstplan!AC16)</f>
        <v/>
      </c>
      <c r="AD15" s="20">
        <f>IF(Dienstplan!AD16="","",Dienstplan!AD16)</f>
        <v/>
      </c>
      <c r="AE15" s="17">
        <f>IF(Dienstplan!AE16="","",Dienstplan!AE16)</f>
        <v/>
      </c>
      <c r="AF15" s="19">
        <f>IF(Dienstplan!AF16="","",Dienstplan!AF16)</f>
        <v/>
      </c>
    </row>
    <row r="16" hidden="1" ht="16" customHeight="1">
      <c r="A16" s="44" t="inlineStr">
        <is>
          <t>Schmidt</t>
        </is>
      </c>
      <c r="B16" s="17">
        <f>IF(Dienstplan!B17="","",Dienstplan!B17)</f>
        <v/>
      </c>
      <c r="C16" s="17">
        <f>IF(Dienstplan!C17="","",Dienstplan!C17)</f>
        <v/>
      </c>
      <c r="D16" s="17">
        <f>IF(Dienstplan!D17="","",Dienstplan!D17)</f>
        <v/>
      </c>
      <c r="E16" s="18">
        <f>IF(Dienstplan!E17="","",Dienstplan!E17)</f>
        <v/>
      </c>
      <c r="F16" s="18">
        <f>IF(Dienstplan!F17="","",Dienstplan!F17)</f>
        <v/>
      </c>
      <c r="G16" s="17">
        <f>IF(Dienstplan!G17="","",Dienstplan!G17)</f>
        <v/>
      </c>
      <c r="H16" s="18">
        <f>IF(Dienstplan!H17="","",Dienstplan!H17)</f>
        <v/>
      </c>
      <c r="I16" s="18">
        <f>IF(Dienstplan!I17="","",Dienstplan!I17)</f>
        <v/>
      </c>
      <c r="J16" s="17">
        <f>IF(Dienstplan!J17="","",Dienstplan!J17)</f>
        <v/>
      </c>
      <c r="K16" s="17">
        <f>IF(Dienstplan!K17="","",Dienstplan!K17)</f>
        <v/>
      </c>
      <c r="L16" s="18">
        <f>IF(Dienstplan!L17="","",Dienstplan!L17)</f>
        <v/>
      </c>
      <c r="M16" s="18">
        <f>IF(Dienstplan!M17="","",Dienstplan!M17)</f>
        <v/>
      </c>
      <c r="N16" s="18">
        <f>IF(Dienstplan!N17="","",Dienstplan!N17)</f>
        <v/>
      </c>
      <c r="O16" s="18">
        <f>IF(Dienstplan!O17="","",Dienstplan!O17)</f>
        <v/>
      </c>
      <c r="P16" s="18">
        <f>IF(Dienstplan!P17="","",Dienstplan!P17)</f>
        <v/>
      </c>
      <c r="Q16" s="17">
        <f>IF(Dienstplan!Q17="","",Dienstplan!Q17)</f>
        <v/>
      </c>
      <c r="R16" s="17">
        <f>IF(Dienstplan!R17="","",Dienstplan!R17)</f>
        <v/>
      </c>
      <c r="S16" s="18">
        <f>IF(Dienstplan!S17="","",Dienstplan!S17)</f>
        <v/>
      </c>
      <c r="T16" s="18">
        <f>IF(Dienstplan!T17="","",Dienstplan!T17)</f>
        <v/>
      </c>
      <c r="U16" s="18">
        <f>IF(Dienstplan!U17="","",Dienstplan!U17)</f>
        <v/>
      </c>
      <c r="V16" s="18">
        <f>IF(Dienstplan!V17="","",Dienstplan!V17)</f>
        <v/>
      </c>
      <c r="W16" s="18">
        <f>IF(Dienstplan!W17="","",Dienstplan!W17)</f>
        <v/>
      </c>
      <c r="X16" s="17">
        <f>IF(Dienstplan!X17="","",Dienstplan!X17)</f>
        <v/>
      </c>
      <c r="Y16" s="17">
        <f>IF(Dienstplan!Y17="","",Dienstplan!Y17)</f>
        <v/>
      </c>
      <c r="Z16" s="18">
        <f>IF(Dienstplan!Z17="","",Dienstplan!Z17)</f>
        <v/>
      </c>
      <c r="AA16" s="18">
        <f>IF(Dienstplan!AA17="","",Dienstplan!AA17)</f>
        <v/>
      </c>
      <c r="AB16" s="18">
        <f>IF(Dienstplan!AB17="","",Dienstplan!AB17)</f>
        <v/>
      </c>
      <c r="AC16" s="18">
        <f>IF(Dienstplan!AC17="","",Dienstplan!AC17)</f>
        <v/>
      </c>
      <c r="AD16" s="18">
        <f>IF(Dienstplan!AD17="","",Dienstplan!AD17)</f>
        <v/>
      </c>
      <c r="AE16" s="17">
        <f>IF(Dienstplan!AE17="","",Dienstplan!AE17)</f>
        <v/>
      </c>
      <c r="AF16" s="19">
        <f>IF(Dienstplan!AF17="","",Dienstplan!AF17)</f>
        <v/>
      </c>
    </row>
    <row r="17" hidden="1" ht="16" customHeight="1">
      <c r="A17" s="44" t="inlineStr">
        <is>
          <t>Radimersky</t>
        </is>
      </c>
      <c r="B17" s="17">
        <f>IF(Dienstplan!B18="","",Dienstplan!B18)</f>
        <v/>
      </c>
      <c r="C17" s="17">
        <f>IF(Dienstplan!C18="","",Dienstplan!C18)</f>
        <v/>
      </c>
      <c r="D17" s="17">
        <f>IF(Dienstplan!D18="","",Dienstplan!D18)</f>
        <v/>
      </c>
      <c r="E17" s="20">
        <f>IF(Dienstplan!E18="","",Dienstplan!E18)</f>
        <v/>
      </c>
      <c r="F17" s="20">
        <f>IF(Dienstplan!F18="","",Dienstplan!F18)</f>
        <v/>
      </c>
      <c r="G17" s="17">
        <f>IF(Dienstplan!G18="","",Dienstplan!G18)</f>
        <v/>
      </c>
      <c r="H17" s="20">
        <f>IF(Dienstplan!H18="","",Dienstplan!H18)</f>
        <v/>
      </c>
      <c r="I17" s="20">
        <f>IF(Dienstplan!I18="","",Dienstplan!I18)</f>
        <v/>
      </c>
      <c r="J17" s="17">
        <f>IF(Dienstplan!J18="","",Dienstplan!J18)</f>
        <v/>
      </c>
      <c r="K17" s="17">
        <f>IF(Dienstplan!K18="","",Dienstplan!K18)</f>
        <v/>
      </c>
      <c r="L17" s="20">
        <f>IF(Dienstplan!L18="","",Dienstplan!L18)</f>
        <v/>
      </c>
      <c r="M17" s="20">
        <f>IF(Dienstplan!M18="","",Dienstplan!M18)</f>
        <v/>
      </c>
      <c r="N17" s="20">
        <f>IF(Dienstplan!N18="","",Dienstplan!N18)</f>
        <v/>
      </c>
      <c r="O17" s="20">
        <f>IF(Dienstplan!O18="","",Dienstplan!O18)</f>
        <v/>
      </c>
      <c r="P17" s="20">
        <f>IF(Dienstplan!P18="","",Dienstplan!P18)</f>
        <v/>
      </c>
      <c r="Q17" s="17">
        <f>IF(Dienstplan!Q18="","",Dienstplan!Q18)</f>
        <v/>
      </c>
      <c r="R17" s="17">
        <f>IF(Dienstplan!R18="","",Dienstplan!R18)</f>
        <v/>
      </c>
      <c r="S17" s="20">
        <f>IF(Dienstplan!S18="","",Dienstplan!S18)</f>
        <v/>
      </c>
      <c r="T17" s="20">
        <f>IF(Dienstplan!T18="","",Dienstplan!T18)</f>
        <v/>
      </c>
      <c r="U17" s="20">
        <f>IF(Dienstplan!U18="","",Dienstplan!U18)</f>
        <v/>
      </c>
      <c r="V17" s="20">
        <f>IF(Dienstplan!V18="","",Dienstplan!V18)</f>
        <v/>
      </c>
      <c r="W17" s="20">
        <f>IF(Dienstplan!W18="","",Dienstplan!W18)</f>
        <v/>
      </c>
      <c r="X17" s="17">
        <f>IF(Dienstplan!X18="","",Dienstplan!X18)</f>
        <v/>
      </c>
      <c r="Y17" s="17">
        <f>IF(Dienstplan!Y18="","",Dienstplan!Y18)</f>
        <v/>
      </c>
      <c r="Z17" s="20">
        <f>IF(Dienstplan!Z18="","",Dienstplan!Z18)</f>
        <v/>
      </c>
      <c r="AA17" s="20">
        <f>IF(Dienstplan!AA18="","",Dienstplan!AA18)</f>
        <v/>
      </c>
      <c r="AB17" s="20">
        <f>IF(Dienstplan!AB18="","",Dienstplan!AB18)</f>
        <v/>
      </c>
      <c r="AC17" s="20">
        <f>IF(Dienstplan!AC18="","",Dienstplan!AC18)</f>
        <v/>
      </c>
      <c r="AD17" s="20">
        <f>IF(Dienstplan!AD18="","",Dienstplan!AD18)</f>
        <v/>
      </c>
      <c r="AE17" s="17">
        <f>IF(Dienstplan!AE18="","",Dienstplan!AE18)</f>
        <v/>
      </c>
      <c r="AF17" s="19">
        <f>IF(Dienstplan!AF18="","",Dienstplan!AF18)</f>
        <v/>
      </c>
    </row>
    <row r="18" ht="15" customHeight="1">
      <c r="A18" s="21" t="inlineStr">
        <is>
          <t>Besetzung</t>
        </is>
      </c>
      <c r="B18" s="22" t="n"/>
      <c r="C18" s="22" t="n"/>
      <c r="D18" s="22" t="n"/>
      <c r="E18" s="23">
        <f>IF(AND(COUNTIF(E6:E17,"FI")&gt;0,COUNTIF(E6:E17,"SI")&gt;0,COUNTIF(E6:E17,"NI")&gt;0),"","!")</f>
        <v/>
      </c>
      <c r="F18" s="23">
        <f>IF(AND(COUNTIF(F6:F17,"FI")&gt;0,COUNTIF(F6:F17,"SI")&gt;0,COUNTIF(F6:F17,"NI")&gt;0),"","!")</f>
        <v/>
      </c>
      <c r="G18" s="22" t="n"/>
      <c r="H18" s="23">
        <f>IF(AND(COUNTIF(H6:H17,"FI")&gt;0,COUNTIF(H6:H17,"SI")&gt;0,COUNTIF(H6:H17,"NI")&gt;0),"","!")</f>
        <v/>
      </c>
      <c r="I18" s="23">
        <f>IF(AND(COUNTIF(I6:I17,"FI")&gt;0,COUNTIF(I6:I17,"SI")&gt;0),"","!")</f>
        <v/>
      </c>
      <c r="J18" s="22" t="n"/>
      <c r="K18" s="22" t="n"/>
      <c r="L18" s="23">
        <f>IF(AND(COUNTIF(L6:L17,"FI")&gt;0,COUNTIF(L6:L17,"SI")&gt;0,COUNTIF(L6:L17,"NI")&gt;0),"","!")</f>
        <v/>
      </c>
      <c r="M18" s="23">
        <f>IF(AND(COUNTIF(M6:M17,"FI")&gt;0,COUNTIF(M6:M17,"SI")&gt;0,COUNTIF(M6:M17,"NI")&gt;0),"","!")</f>
        <v/>
      </c>
      <c r="N18" s="23">
        <f>IF(AND(COUNTIF(N6:N17,"FI")&gt;0,COUNTIF(N6:N17,"SI")&gt;0,COUNTIF(N6:N17,"NI")&gt;0),"","!")</f>
        <v/>
      </c>
      <c r="O18" s="23">
        <f>IF(AND(COUNTIF(O6:O17,"FI")&gt;0,COUNTIF(O6:O17,"SI")&gt;0,COUNTIF(O6:O17,"NI")&gt;0),"","!")</f>
        <v/>
      </c>
      <c r="P18" s="23">
        <f>IF(AND(COUNTIF(P6:P17,"FI")&gt;0,COUNTIF(P6:P17,"SI")&gt;0),"","!")</f>
        <v/>
      </c>
      <c r="Q18" s="22" t="n"/>
      <c r="R18" s="22" t="n"/>
      <c r="S18" s="23">
        <f>IF(AND(COUNTIF(S6:S17,"FI")&gt;0,COUNTIF(S6:S17,"SI")&gt;0,COUNTIF(S6:S17,"NI")&gt;0),"","!")</f>
        <v/>
      </c>
      <c r="T18" s="23">
        <f>IF(AND(COUNTIF(T6:T17,"FI")&gt;0,COUNTIF(T6:T17,"SI")&gt;0,COUNTIF(T6:T17,"NI")&gt;0),"","!")</f>
        <v/>
      </c>
      <c r="U18" s="23">
        <f>IF(AND(COUNTIF(U6:U17,"FI")&gt;0,COUNTIF(U6:U17,"SI")&gt;0,COUNTIF(U6:U17,"NI")&gt;0),"","!")</f>
        <v/>
      </c>
      <c r="V18" s="23">
        <f>IF(AND(COUNTIF(V6:V17,"FI")&gt;0,COUNTIF(V6:V17,"SI")&gt;0,COUNTIF(V6:V17,"NI")&gt;0),"","!")</f>
        <v/>
      </c>
      <c r="W18" s="23">
        <f>IF(AND(COUNTIF(W6:W17,"FI")&gt;0,COUNTIF(W6:W17,"SI")&gt;0),"","!")</f>
        <v/>
      </c>
      <c r="X18" s="22" t="n"/>
      <c r="Y18" s="22" t="n"/>
      <c r="Z18" s="23">
        <f>IF(AND(COUNTIF(Z6:Z17,"FI")&gt;0,COUNTIF(Z6:Z17,"SI")&gt;0,COUNTIF(Z6:Z17,"NI")&gt;0),"","!")</f>
        <v/>
      </c>
      <c r="AA18" s="23">
        <f>IF(AND(COUNTIF(AA6:AA17,"FI")&gt;0,COUNTIF(AA6:AA17,"SI")&gt;0,COUNTIF(AA6:AA17,"NI")&gt;0),"","!")</f>
        <v/>
      </c>
      <c r="AB18" s="23">
        <f>IF(AND(COUNTIF(AB6:AB17,"FI")&gt;0,COUNTIF(AB6:AB17,"SI")&gt;0,COUNTIF(AB6:AB17,"NI")&gt;0),"","!")</f>
        <v/>
      </c>
      <c r="AC18" s="23">
        <f>IF(AND(COUNTIF(AC6:AC17,"FI")&gt;0,COUNTIF(AC6:AC17,"SI")&gt;0,COUNTIF(AC6:AC17,"NI")&gt;0),"","!")</f>
        <v/>
      </c>
      <c r="AD18" s="23">
        <f>IF(AND(COUNTIF(AD6:AD17,"FI")&gt;0,COUNTIF(AD6:AD17,"SI")&gt;0),"","!")</f>
        <v/>
      </c>
      <c r="AE18" s="22" t="n"/>
      <c r="AF18" s="24" t="n"/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3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F18">
    <cfRule type="cellIs" priority="1" operator="equal" dxfId="5" stopIfTrue="1">
      <formula>"!"</formula>
    </cfRule>
  </conditionalFormatting>
  <conditionalFormatting sqref="B6:AF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>
      <c r="A1" s="1" t="inlineStr">
        <is>
          <t>Dienstplan Februar 2027</t>
        </is>
      </c>
      <c r="Z1" s="33" t="inlineStr">
        <is>
          <t>AT: 20   Sa: 4</t>
        </is>
      </c>
    </row>
    <row r="2">
      <c r="P2" s="25" t="inlineStr">
        <is>
          <t>Faschingsferien</t>
        </is>
      </c>
    </row>
    <row r="3" ht="18" customHeight="1">
      <c r="A3" s="34" t="inlineStr">
        <is>
          <t>Tag</t>
        </is>
      </c>
      <c r="B3" s="36" t="n">
        <v>1</v>
      </c>
      <c r="C3" s="36" t="n">
        <v>2</v>
      </c>
      <c r="D3" s="36" t="n">
        <v>3</v>
      </c>
      <c r="E3" s="36" t="n">
        <v>4</v>
      </c>
      <c r="F3" s="36" t="n">
        <v>5</v>
      </c>
      <c r="G3" s="35" t="n">
        <v>6</v>
      </c>
      <c r="H3" s="35" t="n">
        <v>7</v>
      </c>
      <c r="I3" s="36" t="n">
        <v>8</v>
      </c>
      <c r="J3" s="36" t="n">
        <v>9</v>
      </c>
      <c r="K3" s="36" t="n">
        <v>10</v>
      </c>
      <c r="L3" s="36" t="n">
        <v>11</v>
      </c>
      <c r="M3" s="36" t="n">
        <v>12</v>
      </c>
      <c r="N3" s="35" t="n">
        <v>13</v>
      </c>
      <c r="O3" s="35" t="n">
        <v>14</v>
      </c>
      <c r="P3" s="36" t="n">
        <v>15</v>
      </c>
      <c r="Q3" s="36" t="n">
        <v>16</v>
      </c>
      <c r="R3" s="36" t="n">
        <v>17</v>
      </c>
      <c r="S3" s="36" t="n">
        <v>18</v>
      </c>
      <c r="T3" s="36" t="n">
        <v>19</v>
      </c>
      <c r="U3" s="35" t="n">
        <v>20</v>
      </c>
      <c r="V3" s="35" t="n">
        <v>21</v>
      </c>
      <c r="W3" s="36" t="n">
        <v>22</v>
      </c>
      <c r="X3" s="36" t="n">
        <v>23</v>
      </c>
      <c r="Y3" s="36" t="n">
        <v>24</v>
      </c>
      <c r="Z3" s="36" t="n">
        <v>25</v>
      </c>
      <c r="AA3" s="36" t="n">
        <v>26</v>
      </c>
      <c r="AB3" s="35" t="n">
        <v>27</v>
      </c>
      <c r="AC3" s="37" t="n">
        <v>28</v>
      </c>
    </row>
    <row r="4" ht="18" customHeight="1">
      <c r="A4" s="9" t="inlineStr">
        <is>
          <t>WT</t>
        </is>
      </c>
      <c r="B4" s="14" t="inlineStr">
        <is>
          <t>Mo</t>
        </is>
      </c>
      <c r="C4" s="14" t="inlineStr">
        <is>
          <t>Di</t>
        </is>
      </c>
      <c r="D4" s="14" t="inlineStr">
        <is>
          <t>Mi</t>
        </is>
      </c>
      <c r="E4" s="14" t="inlineStr">
        <is>
          <t>Do</t>
        </is>
      </c>
      <c r="F4" s="14" t="inlineStr">
        <is>
          <t>Fr</t>
        </is>
      </c>
      <c r="G4" s="13" t="inlineStr">
        <is>
          <t>Sa</t>
        </is>
      </c>
      <c r="H4" s="13" t="inlineStr">
        <is>
          <t>So</t>
        </is>
      </c>
      <c r="I4" s="14" t="inlineStr">
        <is>
          <t>Mo</t>
        </is>
      </c>
      <c r="J4" s="14" t="inlineStr">
        <is>
          <t>Di</t>
        </is>
      </c>
      <c r="K4" s="14" t="inlineStr">
        <is>
          <t>Mi</t>
        </is>
      </c>
      <c r="L4" s="14" t="inlineStr">
        <is>
          <t>Do</t>
        </is>
      </c>
      <c r="M4" s="14" t="inlineStr">
        <is>
          <t>Fr</t>
        </is>
      </c>
      <c r="N4" s="13" t="inlineStr">
        <is>
          <t>Sa</t>
        </is>
      </c>
      <c r="O4" s="13" t="inlineStr">
        <is>
          <t>So</t>
        </is>
      </c>
      <c r="P4" s="14" t="inlineStr">
        <is>
          <t>Mo</t>
        </is>
      </c>
      <c r="Q4" s="14" t="inlineStr">
        <is>
          <t>Di</t>
        </is>
      </c>
      <c r="R4" s="14" t="inlineStr">
        <is>
          <t>Mi</t>
        </is>
      </c>
      <c r="S4" s="14" t="inlineStr">
        <is>
          <t>Do</t>
        </is>
      </c>
      <c r="T4" s="14" t="inlineStr">
        <is>
          <t>Fr</t>
        </is>
      </c>
      <c r="U4" s="13" t="inlineStr">
        <is>
          <t>Sa</t>
        </is>
      </c>
      <c r="V4" s="13" t="inlineStr">
        <is>
          <t>So</t>
        </is>
      </c>
      <c r="W4" s="14" t="inlineStr">
        <is>
          <t>Mo</t>
        </is>
      </c>
      <c r="X4" s="14" t="inlineStr">
        <is>
          <t>Di</t>
        </is>
      </c>
      <c r="Y4" s="14" t="inlineStr">
        <is>
          <t>Mi</t>
        </is>
      </c>
      <c r="Z4" s="14" t="inlineStr">
        <is>
          <t>Do</t>
        </is>
      </c>
      <c r="AA4" s="14" t="inlineStr">
        <is>
          <t>Fr</t>
        </is>
      </c>
      <c r="AB4" s="13" t="inlineStr">
        <is>
          <t>Sa</t>
        </is>
      </c>
      <c r="AC4" s="15" t="inlineStr">
        <is>
          <t>So</t>
        </is>
      </c>
    </row>
    <row r="5" ht="15" customHeight="1">
      <c r="A5" s="9" t="inlineStr">
        <is>
          <t>KW</t>
        </is>
      </c>
      <c r="B5" s="40" t="n">
        <v>5</v>
      </c>
      <c r="C5" s="41" t="n"/>
      <c r="D5" s="41" t="n"/>
      <c r="E5" s="41" t="n"/>
      <c r="F5" s="41" t="n"/>
      <c r="G5" s="39" t="n"/>
      <c r="H5" s="39" t="n"/>
      <c r="I5" s="40" t="n">
        <v>6</v>
      </c>
      <c r="J5" s="41" t="n"/>
      <c r="K5" s="41" t="n"/>
      <c r="L5" s="41" t="n"/>
      <c r="M5" s="41" t="n"/>
      <c r="N5" s="39" t="n"/>
      <c r="O5" s="39" t="n"/>
      <c r="P5" s="40" t="n">
        <v>7</v>
      </c>
      <c r="Q5" s="41" t="n"/>
      <c r="R5" s="41" t="n"/>
      <c r="S5" s="41" t="n"/>
      <c r="T5" s="41" t="n"/>
      <c r="U5" s="39" t="n"/>
      <c r="V5" s="39" t="n"/>
      <c r="W5" s="40" t="n">
        <v>8</v>
      </c>
      <c r="X5" s="41" t="n"/>
      <c r="Y5" s="41" t="n"/>
      <c r="Z5" s="41" t="n"/>
      <c r="AA5" s="41" t="n"/>
      <c r="AB5" s="39" t="n"/>
      <c r="AC5" s="42" t="n"/>
    </row>
    <row r="6" ht="16" customHeight="1">
      <c r="A6" s="43" t="inlineStr">
        <is>
          <t>Breig</t>
        </is>
      </c>
      <c r="B6" s="18">
        <f>IF(Dienstplan!B26="","",Dienstplan!B26)</f>
        <v/>
      </c>
      <c r="C6" s="18">
        <f>IF(Dienstplan!C26="","",Dienstplan!C26)</f>
        <v/>
      </c>
      <c r="D6" s="18">
        <f>IF(Dienstplan!D26="","",Dienstplan!D26)</f>
        <v/>
      </c>
      <c r="E6" s="18">
        <f>IF(Dienstplan!E26="","",Dienstplan!E26)</f>
        <v/>
      </c>
      <c r="F6" s="18">
        <f>IF(Dienstplan!F26="","",Dienstplan!F26)</f>
        <v/>
      </c>
      <c r="G6" s="17">
        <f>IF(Dienstplan!G26="","",Dienstplan!G26)</f>
        <v/>
      </c>
      <c r="H6" s="17">
        <f>IF(Dienstplan!H26="","",Dienstplan!H26)</f>
        <v/>
      </c>
      <c r="I6" s="18">
        <f>IF(Dienstplan!I26="","",Dienstplan!I26)</f>
        <v/>
      </c>
      <c r="J6" s="18">
        <f>IF(Dienstplan!J26="","",Dienstplan!J26)</f>
        <v/>
      </c>
      <c r="K6" s="18">
        <f>IF(Dienstplan!K26="","",Dienstplan!K26)</f>
        <v/>
      </c>
      <c r="L6" s="18">
        <f>IF(Dienstplan!L26="","",Dienstplan!L26)</f>
        <v/>
      </c>
      <c r="M6" s="18">
        <f>IF(Dienstplan!M26="","",Dienstplan!M26)</f>
        <v/>
      </c>
      <c r="N6" s="17">
        <f>IF(Dienstplan!N26="","",Dienstplan!N26)</f>
        <v/>
      </c>
      <c r="O6" s="17">
        <f>IF(Dienstplan!O26="","",Dienstplan!O26)</f>
        <v/>
      </c>
      <c r="P6" s="18">
        <f>IF(Dienstplan!P26="","",Dienstplan!P26)</f>
        <v/>
      </c>
      <c r="Q6" s="18">
        <f>IF(Dienstplan!Q26="","",Dienstplan!Q26)</f>
        <v/>
      </c>
      <c r="R6" s="18">
        <f>IF(Dienstplan!R26="","",Dienstplan!R26)</f>
        <v/>
      </c>
      <c r="S6" s="18">
        <f>IF(Dienstplan!S26="","",Dienstplan!S26)</f>
        <v/>
      </c>
      <c r="T6" s="18">
        <f>IF(Dienstplan!T26="","",Dienstplan!T26)</f>
        <v/>
      </c>
      <c r="U6" s="17">
        <f>IF(Dienstplan!U26="","",Dienstplan!U26)</f>
        <v/>
      </c>
      <c r="V6" s="17">
        <f>IF(Dienstplan!V26="","",Dienstplan!V26)</f>
        <v/>
      </c>
      <c r="W6" s="18">
        <f>IF(Dienstplan!W26="","",Dienstplan!W26)</f>
        <v/>
      </c>
      <c r="X6" s="18">
        <f>IF(Dienstplan!X26="","",Dienstplan!X26)</f>
        <v/>
      </c>
      <c r="Y6" s="18">
        <f>IF(Dienstplan!Y26="","",Dienstplan!Y26)</f>
        <v/>
      </c>
      <c r="Z6" s="18">
        <f>IF(Dienstplan!Z26="","",Dienstplan!Z26)</f>
        <v/>
      </c>
      <c r="AA6" s="18">
        <f>IF(Dienstplan!AA26="","",Dienstplan!AA26)</f>
        <v/>
      </c>
      <c r="AB6" s="17">
        <f>IF(Dienstplan!AB26="","",Dienstplan!AB26)</f>
        <v/>
      </c>
      <c r="AC6" s="19">
        <f>IF(Dienstplan!AC26="","",Dienstplan!AC26)</f>
        <v/>
      </c>
    </row>
    <row r="7" ht="16" customHeight="1">
      <c r="A7" s="43" t="inlineStr">
        <is>
          <t>Siebert</t>
        </is>
      </c>
      <c r="B7" s="20">
        <f>IF(Dienstplan!B27="","",Dienstplan!B27)</f>
        <v/>
      </c>
      <c r="C7" s="20">
        <f>IF(Dienstplan!C27="","",Dienstplan!C27)</f>
        <v/>
      </c>
      <c r="D7" s="20">
        <f>IF(Dienstplan!D27="","",Dienstplan!D27)</f>
        <v/>
      </c>
      <c r="E7" s="20">
        <f>IF(Dienstplan!E27="","",Dienstplan!E27)</f>
        <v/>
      </c>
      <c r="F7" s="20">
        <f>IF(Dienstplan!F27="","",Dienstplan!F27)</f>
        <v/>
      </c>
      <c r="G7" s="17">
        <f>IF(Dienstplan!G27="","",Dienstplan!G27)</f>
        <v/>
      </c>
      <c r="H7" s="17">
        <f>IF(Dienstplan!H27="","",Dienstplan!H27)</f>
        <v/>
      </c>
      <c r="I7" s="20">
        <f>IF(Dienstplan!I27="","",Dienstplan!I27)</f>
        <v/>
      </c>
      <c r="J7" s="20">
        <f>IF(Dienstplan!J27="","",Dienstplan!J27)</f>
        <v/>
      </c>
      <c r="K7" s="20">
        <f>IF(Dienstplan!K27="","",Dienstplan!K27)</f>
        <v/>
      </c>
      <c r="L7" s="20">
        <f>IF(Dienstplan!L27="","",Dienstplan!L27)</f>
        <v/>
      </c>
      <c r="M7" s="20">
        <f>IF(Dienstplan!M27="","",Dienstplan!M27)</f>
        <v/>
      </c>
      <c r="N7" s="17">
        <f>IF(Dienstplan!N27="","",Dienstplan!N27)</f>
        <v/>
      </c>
      <c r="O7" s="17">
        <f>IF(Dienstplan!O27="","",Dienstplan!O27)</f>
        <v/>
      </c>
      <c r="P7" s="20">
        <f>IF(Dienstplan!P27="","",Dienstplan!P27)</f>
        <v/>
      </c>
      <c r="Q7" s="20">
        <f>IF(Dienstplan!Q27="","",Dienstplan!Q27)</f>
        <v/>
      </c>
      <c r="R7" s="20">
        <f>IF(Dienstplan!R27="","",Dienstplan!R27)</f>
        <v/>
      </c>
      <c r="S7" s="20">
        <f>IF(Dienstplan!S27="","",Dienstplan!S27)</f>
        <v/>
      </c>
      <c r="T7" s="20">
        <f>IF(Dienstplan!T27="","",Dienstplan!T27)</f>
        <v/>
      </c>
      <c r="U7" s="17">
        <f>IF(Dienstplan!U27="","",Dienstplan!U27)</f>
        <v/>
      </c>
      <c r="V7" s="17">
        <f>IF(Dienstplan!V27="","",Dienstplan!V27)</f>
        <v/>
      </c>
      <c r="W7" s="20">
        <f>IF(Dienstplan!W27="","",Dienstplan!W27)</f>
        <v/>
      </c>
      <c r="X7" s="20">
        <f>IF(Dienstplan!X27="","",Dienstplan!X27)</f>
        <v/>
      </c>
      <c r="Y7" s="20">
        <f>IF(Dienstplan!Y27="","",Dienstplan!Y27)</f>
        <v/>
      </c>
      <c r="Z7" s="20">
        <f>IF(Dienstplan!Z27="","",Dienstplan!Z27)</f>
        <v/>
      </c>
      <c r="AA7" s="20">
        <f>IF(Dienstplan!AA27="","",Dienstplan!AA27)</f>
        <v/>
      </c>
      <c r="AB7" s="17">
        <f>IF(Dienstplan!AB27="","",Dienstplan!AB27)</f>
        <v/>
      </c>
      <c r="AC7" s="19">
        <f>IF(Dienstplan!AC27="","",Dienstplan!AC27)</f>
        <v/>
      </c>
    </row>
    <row r="8" ht="16" customHeight="1">
      <c r="A8" s="43" t="inlineStr">
        <is>
          <t>Jochim</t>
        </is>
      </c>
      <c r="B8" s="18">
        <f>IF(Dienstplan!B28="","",Dienstplan!B28)</f>
        <v/>
      </c>
      <c r="C8" s="18">
        <f>IF(Dienstplan!C28="","",Dienstplan!C28)</f>
        <v/>
      </c>
      <c r="D8" s="18">
        <f>IF(Dienstplan!D28="","",Dienstplan!D28)</f>
        <v/>
      </c>
      <c r="E8" s="18">
        <f>IF(Dienstplan!E28="","",Dienstplan!E28)</f>
        <v/>
      </c>
      <c r="F8" s="18">
        <f>IF(Dienstplan!F28="","",Dienstplan!F28)</f>
        <v/>
      </c>
      <c r="G8" s="17">
        <f>IF(Dienstplan!G28="","",Dienstplan!G28)</f>
        <v/>
      </c>
      <c r="H8" s="17">
        <f>IF(Dienstplan!H28="","",Dienstplan!H28)</f>
        <v/>
      </c>
      <c r="I8" s="18">
        <f>IF(Dienstplan!I28="","",Dienstplan!I28)</f>
        <v/>
      </c>
      <c r="J8" s="18">
        <f>IF(Dienstplan!J28="","",Dienstplan!J28)</f>
        <v/>
      </c>
      <c r="K8" s="18">
        <f>IF(Dienstplan!K28="","",Dienstplan!K28)</f>
        <v/>
      </c>
      <c r="L8" s="18">
        <f>IF(Dienstplan!L28="","",Dienstplan!L28)</f>
        <v/>
      </c>
      <c r="M8" s="18">
        <f>IF(Dienstplan!M28="","",Dienstplan!M28)</f>
        <v/>
      </c>
      <c r="N8" s="17">
        <f>IF(Dienstplan!N28="","",Dienstplan!N28)</f>
        <v/>
      </c>
      <c r="O8" s="17">
        <f>IF(Dienstplan!O28="","",Dienstplan!O28)</f>
        <v/>
      </c>
      <c r="P8" s="18">
        <f>IF(Dienstplan!P28="","",Dienstplan!P28)</f>
        <v/>
      </c>
      <c r="Q8" s="18">
        <f>IF(Dienstplan!Q28="","",Dienstplan!Q28)</f>
        <v/>
      </c>
      <c r="R8" s="18">
        <f>IF(Dienstplan!R28="","",Dienstplan!R28)</f>
        <v/>
      </c>
      <c r="S8" s="18">
        <f>IF(Dienstplan!S28="","",Dienstplan!S28)</f>
        <v/>
      </c>
      <c r="T8" s="18">
        <f>IF(Dienstplan!T28="","",Dienstplan!T28)</f>
        <v/>
      </c>
      <c r="U8" s="17">
        <f>IF(Dienstplan!U28="","",Dienstplan!U28)</f>
        <v/>
      </c>
      <c r="V8" s="17">
        <f>IF(Dienstplan!V28="","",Dienstplan!V28)</f>
        <v/>
      </c>
      <c r="W8" s="18">
        <f>IF(Dienstplan!W28="","",Dienstplan!W28)</f>
        <v/>
      </c>
      <c r="X8" s="18">
        <f>IF(Dienstplan!X28="","",Dienstplan!X28)</f>
        <v/>
      </c>
      <c r="Y8" s="18">
        <f>IF(Dienstplan!Y28="","",Dienstplan!Y28)</f>
        <v/>
      </c>
      <c r="Z8" s="18">
        <f>IF(Dienstplan!Z28="","",Dienstplan!Z28)</f>
        <v/>
      </c>
      <c r="AA8" s="18">
        <f>IF(Dienstplan!AA28="","",Dienstplan!AA28)</f>
        <v/>
      </c>
      <c r="AB8" s="17">
        <f>IF(Dienstplan!AB28="","",Dienstplan!AB28)</f>
        <v/>
      </c>
      <c r="AC8" s="19">
        <f>IF(Dienstplan!AC28="","",Dienstplan!AC28)</f>
        <v/>
      </c>
    </row>
    <row r="9" ht="16" customHeight="1">
      <c r="A9" s="43" t="inlineStr">
        <is>
          <t>Wunsch</t>
        </is>
      </c>
      <c r="B9" s="20">
        <f>IF(Dienstplan!B29="","",Dienstplan!B29)</f>
        <v/>
      </c>
      <c r="C9" s="20">
        <f>IF(Dienstplan!C29="","",Dienstplan!C29)</f>
        <v/>
      </c>
      <c r="D9" s="20">
        <f>IF(Dienstplan!D29="","",Dienstplan!D29)</f>
        <v/>
      </c>
      <c r="E9" s="20">
        <f>IF(Dienstplan!E29="","",Dienstplan!E29)</f>
        <v/>
      </c>
      <c r="F9" s="20">
        <f>IF(Dienstplan!F29="","",Dienstplan!F29)</f>
        <v/>
      </c>
      <c r="G9" s="17">
        <f>IF(Dienstplan!G29="","",Dienstplan!G29)</f>
        <v/>
      </c>
      <c r="H9" s="17">
        <f>IF(Dienstplan!H29="","",Dienstplan!H29)</f>
        <v/>
      </c>
      <c r="I9" s="20">
        <f>IF(Dienstplan!I29="","",Dienstplan!I29)</f>
        <v/>
      </c>
      <c r="J9" s="20">
        <f>IF(Dienstplan!J29="","",Dienstplan!J29)</f>
        <v/>
      </c>
      <c r="K9" s="20">
        <f>IF(Dienstplan!K29="","",Dienstplan!K29)</f>
        <v/>
      </c>
      <c r="L9" s="20">
        <f>IF(Dienstplan!L29="","",Dienstplan!L29)</f>
        <v/>
      </c>
      <c r="M9" s="20">
        <f>IF(Dienstplan!M29="","",Dienstplan!M29)</f>
        <v/>
      </c>
      <c r="N9" s="17">
        <f>IF(Dienstplan!N29="","",Dienstplan!N29)</f>
        <v/>
      </c>
      <c r="O9" s="17">
        <f>IF(Dienstplan!O29="","",Dienstplan!O29)</f>
        <v/>
      </c>
      <c r="P9" s="20">
        <f>IF(Dienstplan!P29="","",Dienstplan!P29)</f>
        <v/>
      </c>
      <c r="Q9" s="20">
        <f>IF(Dienstplan!Q29="","",Dienstplan!Q29)</f>
        <v/>
      </c>
      <c r="R9" s="20">
        <f>IF(Dienstplan!R29="","",Dienstplan!R29)</f>
        <v/>
      </c>
      <c r="S9" s="20">
        <f>IF(Dienstplan!S29="","",Dienstplan!S29)</f>
        <v/>
      </c>
      <c r="T9" s="20">
        <f>IF(Dienstplan!T29="","",Dienstplan!T29)</f>
        <v/>
      </c>
      <c r="U9" s="17">
        <f>IF(Dienstplan!U29="","",Dienstplan!U29)</f>
        <v/>
      </c>
      <c r="V9" s="17">
        <f>IF(Dienstplan!V29="","",Dienstplan!V29)</f>
        <v/>
      </c>
      <c r="W9" s="20">
        <f>IF(Dienstplan!W29="","",Dienstplan!W29)</f>
        <v/>
      </c>
      <c r="X9" s="20">
        <f>IF(Dienstplan!X29="","",Dienstplan!X29)</f>
        <v/>
      </c>
      <c r="Y9" s="20">
        <f>IF(Dienstplan!Y29="","",Dienstplan!Y29)</f>
        <v/>
      </c>
      <c r="Z9" s="20">
        <f>IF(Dienstplan!Z29="","",Dienstplan!Z29)</f>
        <v/>
      </c>
      <c r="AA9" s="20">
        <f>IF(Dienstplan!AA29="","",Dienstplan!AA29)</f>
        <v/>
      </c>
      <c r="AB9" s="17">
        <f>IF(Dienstplan!AB29="","",Dienstplan!AB29)</f>
        <v/>
      </c>
      <c r="AC9" s="19">
        <f>IF(Dienstplan!AC29="","",Dienstplan!AC29)</f>
        <v/>
      </c>
    </row>
    <row r="10" ht="16" customHeight="1">
      <c r="A10" s="43" t="inlineStr">
        <is>
          <t>Göpfrich</t>
        </is>
      </c>
      <c r="B10" s="18">
        <f>IF(Dienstplan!B30="","",Dienstplan!B30)</f>
        <v/>
      </c>
      <c r="C10" s="18">
        <f>IF(Dienstplan!C30="","",Dienstplan!C30)</f>
        <v/>
      </c>
      <c r="D10" s="18">
        <f>IF(Dienstplan!D30="","",Dienstplan!D30)</f>
        <v/>
      </c>
      <c r="E10" s="18">
        <f>IF(Dienstplan!E30="","",Dienstplan!E30)</f>
        <v/>
      </c>
      <c r="F10" s="18">
        <f>IF(Dienstplan!F30="","",Dienstplan!F30)</f>
        <v/>
      </c>
      <c r="G10" s="17">
        <f>IF(Dienstplan!G30="","",Dienstplan!G30)</f>
        <v/>
      </c>
      <c r="H10" s="17">
        <f>IF(Dienstplan!H30="","",Dienstplan!H30)</f>
        <v/>
      </c>
      <c r="I10" s="18">
        <f>IF(Dienstplan!I30="","",Dienstplan!I30)</f>
        <v/>
      </c>
      <c r="J10" s="18">
        <f>IF(Dienstplan!J30="","",Dienstplan!J30)</f>
        <v/>
      </c>
      <c r="K10" s="18">
        <f>IF(Dienstplan!K30="","",Dienstplan!K30)</f>
        <v/>
      </c>
      <c r="L10" s="18">
        <f>IF(Dienstplan!L30="","",Dienstplan!L30)</f>
        <v/>
      </c>
      <c r="M10" s="18">
        <f>IF(Dienstplan!M30="","",Dienstplan!M30)</f>
        <v/>
      </c>
      <c r="N10" s="17">
        <f>IF(Dienstplan!N30="","",Dienstplan!N30)</f>
        <v/>
      </c>
      <c r="O10" s="17">
        <f>IF(Dienstplan!O30="","",Dienstplan!O30)</f>
        <v/>
      </c>
      <c r="P10" s="18">
        <f>IF(Dienstplan!P30="","",Dienstplan!P30)</f>
        <v/>
      </c>
      <c r="Q10" s="18">
        <f>IF(Dienstplan!Q30="","",Dienstplan!Q30)</f>
        <v/>
      </c>
      <c r="R10" s="18">
        <f>IF(Dienstplan!R30="","",Dienstplan!R30)</f>
        <v/>
      </c>
      <c r="S10" s="18">
        <f>IF(Dienstplan!S30="","",Dienstplan!S30)</f>
        <v/>
      </c>
      <c r="T10" s="18">
        <f>IF(Dienstplan!T30="","",Dienstplan!T30)</f>
        <v/>
      </c>
      <c r="U10" s="17">
        <f>IF(Dienstplan!U30="","",Dienstplan!U30)</f>
        <v/>
      </c>
      <c r="V10" s="17">
        <f>IF(Dienstplan!V30="","",Dienstplan!V30)</f>
        <v/>
      </c>
      <c r="W10" s="18">
        <f>IF(Dienstplan!W30="","",Dienstplan!W30)</f>
        <v/>
      </c>
      <c r="X10" s="18">
        <f>IF(Dienstplan!X30="","",Dienstplan!X30)</f>
        <v/>
      </c>
      <c r="Y10" s="18">
        <f>IF(Dienstplan!Y30="","",Dienstplan!Y30)</f>
        <v/>
      </c>
      <c r="Z10" s="18">
        <f>IF(Dienstplan!Z30="","",Dienstplan!Z30)</f>
        <v/>
      </c>
      <c r="AA10" s="18">
        <f>IF(Dienstplan!AA30="","",Dienstplan!AA30)</f>
        <v/>
      </c>
      <c r="AB10" s="17">
        <f>IF(Dienstplan!AB30="","",Dienstplan!AB30)</f>
        <v/>
      </c>
      <c r="AC10" s="19">
        <f>IF(Dienstplan!AC30="","",Dienstplan!AC30)</f>
        <v/>
      </c>
    </row>
    <row r="11" ht="16" customHeight="1">
      <c r="A11" s="43" t="inlineStr">
        <is>
          <t>Zeller</t>
        </is>
      </c>
      <c r="B11" s="20">
        <f>IF(Dienstplan!B31="","",Dienstplan!B31)</f>
        <v/>
      </c>
      <c r="C11" s="20">
        <f>IF(Dienstplan!C31="","",Dienstplan!C31)</f>
        <v/>
      </c>
      <c r="D11" s="20">
        <f>IF(Dienstplan!D31="","",Dienstplan!D31)</f>
        <v/>
      </c>
      <c r="E11" s="20">
        <f>IF(Dienstplan!E31="","",Dienstplan!E31)</f>
        <v/>
      </c>
      <c r="F11" s="20">
        <f>IF(Dienstplan!F31="","",Dienstplan!F31)</f>
        <v/>
      </c>
      <c r="G11" s="17">
        <f>IF(Dienstplan!G31="","",Dienstplan!G31)</f>
        <v/>
      </c>
      <c r="H11" s="17">
        <f>IF(Dienstplan!H31="","",Dienstplan!H31)</f>
        <v/>
      </c>
      <c r="I11" s="20">
        <f>IF(Dienstplan!I31="","",Dienstplan!I31)</f>
        <v/>
      </c>
      <c r="J11" s="20">
        <f>IF(Dienstplan!J31="","",Dienstplan!J31)</f>
        <v/>
      </c>
      <c r="K11" s="20">
        <f>IF(Dienstplan!K31="","",Dienstplan!K31)</f>
        <v/>
      </c>
      <c r="L11" s="20">
        <f>IF(Dienstplan!L31="","",Dienstplan!L31)</f>
        <v/>
      </c>
      <c r="M11" s="20">
        <f>IF(Dienstplan!M31="","",Dienstplan!M31)</f>
        <v/>
      </c>
      <c r="N11" s="17">
        <f>IF(Dienstplan!N31="","",Dienstplan!N31)</f>
        <v/>
      </c>
      <c r="O11" s="17">
        <f>IF(Dienstplan!O31="","",Dienstplan!O31)</f>
        <v/>
      </c>
      <c r="P11" s="20">
        <f>IF(Dienstplan!P31="","",Dienstplan!P31)</f>
        <v/>
      </c>
      <c r="Q11" s="20">
        <f>IF(Dienstplan!Q31="","",Dienstplan!Q31)</f>
        <v/>
      </c>
      <c r="R11" s="20">
        <f>IF(Dienstplan!R31="","",Dienstplan!R31)</f>
        <v/>
      </c>
      <c r="S11" s="20">
        <f>IF(Dienstplan!S31="","",Dienstplan!S31)</f>
        <v/>
      </c>
      <c r="T11" s="20">
        <f>IF(Dienstplan!T31="","",Dienstplan!T31)</f>
        <v/>
      </c>
      <c r="U11" s="17">
        <f>IF(Dienstplan!U31="","",Dienstplan!U31)</f>
        <v/>
      </c>
      <c r="V11" s="17">
        <f>IF(Dienstplan!V31="","",Dienstplan!V31)</f>
        <v/>
      </c>
      <c r="W11" s="20">
        <f>IF(Dienstplan!W31="","",Dienstplan!W31)</f>
        <v/>
      </c>
      <c r="X11" s="20">
        <f>IF(Dienstplan!X31="","",Dienstplan!X31)</f>
        <v/>
      </c>
      <c r="Y11" s="20">
        <f>IF(Dienstplan!Y31="","",Dienstplan!Y31)</f>
        <v/>
      </c>
      <c r="Z11" s="20">
        <f>IF(Dienstplan!Z31="","",Dienstplan!Z31)</f>
        <v/>
      </c>
      <c r="AA11" s="20">
        <f>IF(Dienstplan!AA31="","",Dienstplan!AA31)</f>
        <v/>
      </c>
      <c r="AB11" s="17">
        <f>IF(Dienstplan!AB31="","",Dienstplan!AB31)</f>
        <v/>
      </c>
      <c r="AC11" s="19">
        <f>IF(Dienstplan!AC31="","",Dienstplan!AC31)</f>
        <v/>
      </c>
    </row>
    <row r="12" ht="16" customHeight="1">
      <c r="A12" s="43" t="inlineStr">
        <is>
          <t>Behrendt</t>
        </is>
      </c>
      <c r="B12" s="18">
        <f>IF(Dienstplan!B32="","",Dienstplan!B32)</f>
        <v/>
      </c>
      <c r="C12" s="18">
        <f>IF(Dienstplan!C32="","",Dienstplan!C32)</f>
        <v/>
      </c>
      <c r="D12" s="18">
        <f>IF(Dienstplan!D32="","",Dienstplan!D32)</f>
        <v/>
      </c>
      <c r="E12" s="18">
        <f>IF(Dienstplan!E32="","",Dienstplan!E32)</f>
        <v/>
      </c>
      <c r="F12" s="18">
        <f>IF(Dienstplan!F32="","",Dienstplan!F32)</f>
        <v/>
      </c>
      <c r="G12" s="17">
        <f>IF(Dienstplan!G32="","",Dienstplan!G32)</f>
        <v/>
      </c>
      <c r="H12" s="17">
        <f>IF(Dienstplan!H32="","",Dienstplan!H32)</f>
        <v/>
      </c>
      <c r="I12" s="18">
        <f>IF(Dienstplan!I32="","",Dienstplan!I32)</f>
        <v/>
      </c>
      <c r="J12" s="18">
        <f>IF(Dienstplan!J32="","",Dienstplan!J32)</f>
        <v/>
      </c>
      <c r="K12" s="18">
        <f>IF(Dienstplan!K32="","",Dienstplan!K32)</f>
        <v/>
      </c>
      <c r="L12" s="18">
        <f>IF(Dienstplan!L32="","",Dienstplan!L32)</f>
        <v/>
      </c>
      <c r="M12" s="18">
        <f>IF(Dienstplan!M32="","",Dienstplan!M32)</f>
        <v/>
      </c>
      <c r="N12" s="17">
        <f>IF(Dienstplan!N32="","",Dienstplan!N32)</f>
        <v/>
      </c>
      <c r="O12" s="17">
        <f>IF(Dienstplan!O32="","",Dienstplan!O32)</f>
        <v/>
      </c>
      <c r="P12" s="18">
        <f>IF(Dienstplan!P32="","",Dienstplan!P32)</f>
        <v/>
      </c>
      <c r="Q12" s="18">
        <f>IF(Dienstplan!Q32="","",Dienstplan!Q32)</f>
        <v/>
      </c>
      <c r="R12" s="18">
        <f>IF(Dienstplan!R32="","",Dienstplan!R32)</f>
        <v/>
      </c>
      <c r="S12" s="18">
        <f>IF(Dienstplan!S32="","",Dienstplan!S32)</f>
        <v/>
      </c>
      <c r="T12" s="18">
        <f>IF(Dienstplan!T32="","",Dienstplan!T32)</f>
        <v/>
      </c>
      <c r="U12" s="17">
        <f>IF(Dienstplan!U32="","",Dienstplan!U32)</f>
        <v/>
      </c>
      <c r="V12" s="17">
        <f>IF(Dienstplan!V32="","",Dienstplan!V32)</f>
        <v/>
      </c>
      <c r="W12" s="18">
        <f>IF(Dienstplan!W32="","",Dienstplan!W32)</f>
        <v/>
      </c>
      <c r="X12" s="18">
        <f>IF(Dienstplan!X32="","",Dienstplan!X32)</f>
        <v/>
      </c>
      <c r="Y12" s="18">
        <f>IF(Dienstplan!Y32="","",Dienstplan!Y32)</f>
        <v/>
      </c>
      <c r="Z12" s="18">
        <f>IF(Dienstplan!Z32="","",Dienstplan!Z32)</f>
        <v/>
      </c>
      <c r="AA12" s="18">
        <f>IF(Dienstplan!AA32="","",Dienstplan!AA32)</f>
        <v/>
      </c>
      <c r="AB12" s="17">
        <f>IF(Dienstplan!AB32="","",Dienstplan!AB32)</f>
        <v/>
      </c>
      <c r="AC12" s="19">
        <f>IF(Dienstplan!AC32="","",Dienstplan!AC32)</f>
        <v/>
      </c>
    </row>
    <row r="13" ht="16" customHeight="1">
      <c r="A13" s="43" t="inlineStr">
        <is>
          <t>Krempl</t>
        </is>
      </c>
      <c r="B13" s="20">
        <f>IF(Dienstplan!B33="","",Dienstplan!B33)</f>
        <v/>
      </c>
      <c r="C13" s="20">
        <f>IF(Dienstplan!C33="","",Dienstplan!C33)</f>
        <v/>
      </c>
      <c r="D13" s="20">
        <f>IF(Dienstplan!D33="","",Dienstplan!D33)</f>
        <v/>
      </c>
      <c r="E13" s="20">
        <f>IF(Dienstplan!E33="","",Dienstplan!E33)</f>
        <v/>
      </c>
      <c r="F13" s="20">
        <f>IF(Dienstplan!F33="","",Dienstplan!F33)</f>
        <v/>
      </c>
      <c r="G13" s="17">
        <f>IF(Dienstplan!G33="","",Dienstplan!G33)</f>
        <v/>
      </c>
      <c r="H13" s="17">
        <f>IF(Dienstplan!H33="","",Dienstplan!H33)</f>
        <v/>
      </c>
      <c r="I13" s="20">
        <f>IF(Dienstplan!I33="","",Dienstplan!I33)</f>
        <v/>
      </c>
      <c r="J13" s="20">
        <f>IF(Dienstplan!J33="","",Dienstplan!J33)</f>
        <v/>
      </c>
      <c r="K13" s="20">
        <f>IF(Dienstplan!K33="","",Dienstplan!K33)</f>
        <v/>
      </c>
      <c r="L13" s="20">
        <f>IF(Dienstplan!L33="","",Dienstplan!L33)</f>
        <v/>
      </c>
      <c r="M13" s="20">
        <f>IF(Dienstplan!M33="","",Dienstplan!M33)</f>
        <v/>
      </c>
      <c r="N13" s="17">
        <f>IF(Dienstplan!N33="","",Dienstplan!N33)</f>
        <v/>
      </c>
      <c r="O13" s="17">
        <f>IF(Dienstplan!O33="","",Dienstplan!O33)</f>
        <v/>
      </c>
      <c r="P13" s="20">
        <f>IF(Dienstplan!P33="","",Dienstplan!P33)</f>
        <v/>
      </c>
      <c r="Q13" s="20">
        <f>IF(Dienstplan!Q33="","",Dienstplan!Q33)</f>
        <v/>
      </c>
      <c r="R13" s="20">
        <f>IF(Dienstplan!R33="","",Dienstplan!R33)</f>
        <v/>
      </c>
      <c r="S13" s="20">
        <f>IF(Dienstplan!S33="","",Dienstplan!S33)</f>
        <v/>
      </c>
      <c r="T13" s="20">
        <f>IF(Dienstplan!T33="","",Dienstplan!T33)</f>
        <v/>
      </c>
      <c r="U13" s="17">
        <f>IF(Dienstplan!U33="","",Dienstplan!U33)</f>
        <v/>
      </c>
      <c r="V13" s="17">
        <f>IF(Dienstplan!V33="","",Dienstplan!V33)</f>
        <v/>
      </c>
      <c r="W13" s="20">
        <f>IF(Dienstplan!W33="","",Dienstplan!W33)</f>
        <v/>
      </c>
      <c r="X13" s="20">
        <f>IF(Dienstplan!X33="","",Dienstplan!X33)</f>
        <v/>
      </c>
      <c r="Y13" s="20">
        <f>IF(Dienstplan!Y33="","",Dienstplan!Y33)</f>
        <v/>
      </c>
      <c r="Z13" s="20">
        <f>IF(Dienstplan!Z33="","",Dienstplan!Z33)</f>
        <v/>
      </c>
      <c r="AA13" s="20">
        <f>IF(Dienstplan!AA33="","",Dienstplan!AA33)</f>
        <v/>
      </c>
      <c r="AB13" s="17">
        <f>IF(Dienstplan!AB33="","",Dienstplan!AB33)</f>
        <v/>
      </c>
      <c r="AC13" s="19">
        <f>IF(Dienstplan!AC33="","",Dienstplan!AC33)</f>
        <v/>
      </c>
    </row>
    <row r="14" ht="16" customHeight="1">
      <c r="A14" s="43" t="inlineStr">
        <is>
          <t>Putschler</t>
        </is>
      </c>
      <c r="B14" s="18">
        <f>IF(Dienstplan!B34="","",Dienstplan!B34)</f>
        <v/>
      </c>
      <c r="C14" s="18">
        <f>IF(Dienstplan!C34="","",Dienstplan!C34)</f>
        <v/>
      </c>
      <c r="D14" s="18">
        <f>IF(Dienstplan!D34="","",Dienstplan!D34)</f>
        <v/>
      </c>
      <c r="E14" s="18">
        <f>IF(Dienstplan!E34="","",Dienstplan!E34)</f>
        <v/>
      </c>
      <c r="F14" s="18">
        <f>IF(Dienstplan!F34="","",Dienstplan!F34)</f>
        <v/>
      </c>
      <c r="G14" s="17">
        <f>IF(Dienstplan!G34="","",Dienstplan!G34)</f>
        <v/>
      </c>
      <c r="H14" s="17">
        <f>IF(Dienstplan!H34="","",Dienstplan!H34)</f>
        <v/>
      </c>
      <c r="I14" s="18">
        <f>IF(Dienstplan!I34="","",Dienstplan!I34)</f>
        <v/>
      </c>
      <c r="J14" s="18">
        <f>IF(Dienstplan!J34="","",Dienstplan!J34)</f>
        <v/>
      </c>
      <c r="K14" s="18">
        <f>IF(Dienstplan!K34="","",Dienstplan!K34)</f>
        <v/>
      </c>
      <c r="L14" s="18">
        <f>IF(Dienstplan!L34="","",Dienstplan!L34)</f>
        <v/>
      </c>
      <c r="M14" s="18">
        <f>IF(Dienstplan!M34="","",Dienstplan!M34)</f>
        <v/>
      </c>
      <c r="N14" s="17">
        <f>IF(Dienstplan!N34="","",Dienstplan!N34)</f>
        <v/>
      </c>
      <c r="O14" s="17">
        <f>IF(Dienstplan!O34="","",Dienstplan!O34)</f>
        <v/>
      </c>
      <c r="P14" s="18">
        <f>IF(Dienstplan!P34="","",Dienstplan!P34)</f>
        <v/>
      </c>
      <c r="Q14" s="18">
        <f>IF(Dienstplan!Q34="","",Dienstplan!Q34)</f>
        <v/>
      </c>
      <c r="R14" s="18">
        <f>IF(Dienstplan!R34="","",Dienstplan!R34)</f>
        <v/>
      </c>
      <c r="S14" s="18">
        <f>IF(Dienstplan!S34="","",Dienstplan!S34)</f>
        <v/>
      </c>
      <c r="T14" s="18">
        <f>IF(Dienstplan!T34="","",Dienstplan!T34)</f>
        <v/>
      </c>
      <c r="U14" s="17">
        <f>IF(Dienstplan!U34="","",Dienstplan!U34)</f>
        <v/>
      </c>
      <c r="V14" s="17">
        <f>IF(Dienstplan!V34="","",Dienstplan!V34)</f>
        <v/>
      </c>
      <c r="W14" s="18">
        <f>IF(Dienstplan!W34="","",Dienstplan!W34)</f>
        <v/>
      </c>
      <c r="X14" s="18">
        <f>IF(Dienstplan!X34="","",Dienstplan!X34)</f>
        <v/>
      </c>
      <c r="Y14" s="18">
        <f>IF(Dienstplan!Y34="","",Dienstplan!Y34)</f>
        <v/>
      </c>
      <c r="Z14" s="18">
        <f>IF(Dienstplan!Z34="","",Dienstplan!Z34)</f>
        <v/>
      </c>
      <c r="AA14" s="18">
        <f>IF(Dienstplan!AA34="","",Dienstplan!AA34)</f>
        <v/>
      </c>
      <c r="AB14" s="17">
        <f>IF(Dienstplan!AB34="","",Dienstplan!AB34)</f>
        <v/>
      </c>
      <c r="AC14" s="19">
        <f>IF(Dienstplan!AC34="","",Dienstplan!AC34)</f>
        <v/>
      </c>
    </row>
    <row r="15" ht="16" customHeight="1">
      <c r="A15" s="43" t="inlineStr">
        <is>
          <t>Kunz</t>
        </is>
      </c>
      <c r="B15" s="20">
        <f>IF(Dienstplan!B35="","",Dienstplan!B35)</f>
        <v/>
      </c>
      <c r="C15" s="20">
        <f>IF(Dienstplan!C35="","",Dienstplan!C35)</f>
        <v/>
      </c>
      <c r="D15" s="20">
        <f>IF(Dienstplan!D35="","",Dienstplan!D35)</f>
        <v/>
      </c>
      <c r="E15" s="20">
        <f>IF(Dienstplan!E35="","",Dienstplan!E35)</f>
        <v/>
      </c>
      <c r="F15" s="20">
        <f>IF(Dienstplan!F35="","",Dienstplan!F35)</f>
        <v/>
      </c>
      <c r="G15" s="17">
        <f>IF(Dienstplan!G35="","",Dienstplan!G35)</f>
        <v/>
      </c>
      <c r="H15" s="17">
        <f>IF(Dienstplan!H35="","",Dienstplan!H35)</f>
        <v/>
      </c>
      <c r="I15" s="20">
        <f>IF(Dienstplan!I35="","",Dienstplan!I35)</f>
        <v/>
      </c>
      <c r="J15" s="20">
        <f>IF(Dienstplan!J35="","",Dienstplan!J35)</f>
        <v/>
      </c>
      <c r="K15" s="20">
        <f>IF(Dienstplan!K35="","",Dienstplan!K35)</f>
        <v/>
      </c>
      <c r="L15" s="20">
        <f>IF(Dienstplan!L35="","",Dienstplan!L35)</f>
        <v/>
      </c>
      <c r="M15" s="20">
        <f>IF(Dienstplan!M35="","",Dienstplan!M35)</f>
        <v/>
      </c>
      <c r="N15" s="17">
        <f>IF(Dienstplan!N35="","",Dienstplan!N35)</f>
        <v/>
      </c>
      <c r="O15" s="17">
        <f>IF(Dienstplan!O35="","",Dienstplan!O35)</f>
        <v/>
      </c>
      <c r="P15" s="20">
        <f>IF(Dienstplan!P35="","",Dienstplan!P35)</f>
        <v/>
      </c>
      <c r="Q15" s="20">
        <f>IF(Dienstplan!Q35="","",Dienstplan!Q35)</f>
        <v/>
      </c>
      <c r="R15" s="20">
        <f>IF(Dienstplan!R35="","",Dienstplan!R35)</f>
        <v/>
      </c>
      <c r="S15" s="20">
        <f>IF(Dienstplan!S35="","",Dienstplan!S35)</f>
        <v/>
      </c>
      <c r="T15" s="20">
        <f>IF(Dienstplan!T35="","",Dienstplan!T35)</f>
        <v/>
      </c>
      <c r="U15" s="17">
        <f>IF(Dienstplan!U35="","",Dienstplan!U35)</f>
        <v/>
      </c>
      <c r="V15" s="17">
        <f>IF(Dienstplan!V35="","",Dienstplan!V35)</f>
        <v/>
      </c>
      <c r="W15" s="20">
        <f>IF(Dienstplan!W35="","",Dienstplan!W35)</f>
        <v/>
      </c>
      <c r="X15" s="20">
        <f>IF(Dienstplan!X35="","",Dienstplan!X35)</f>
        <v/>
      </c>
      <c r="Y15" s="20">
        <f>IF(Dienstplan!Y35="","",Dienstplan!Y35)</f>
        <v/>
      </c>
      <c r="Z15" s="20">
        <f>IF(Dienstplan!Z35="","",Dienstplan!Z35)</f>
        <v/>
      </c>
      <c r="AA15" s="20">
        <f>IF(Dienstplan!AA35="","",Dienstplan!AA35)</f>
        <v/>
      </c>
      <c r="AB15" s="17">
        <f>IF(Dienstplan!AB35="","",Dienstplan!AB35)</f>
        <v/>
      </c>
      <c r="AC15" s="19">
        <f>IF(Dienstplan!AC35="","",Dienstplan!AC35)</f>
        <v/>
      </c>
    </row>
    <row r="16" hidden="1" ht="16" customHeight="1">
      <c r="A16" s="44" t="inlineStr">
        <is>
          <t>Schmidt</t>
        </is>
      </c>
      <c r="B16" s="18">
        <f>IF(Dienstplan!B36="","",Dienstplan!B36)</f>
        <v/>
      </c>
      <c r="C16" s="18">
        <f>IF(Dienstplan!C36="","",Dienstplan!C36)</f>
        <v/>
      </c>
      <c r="D16" s="18">
        <f>IF(Dienstplan!D36="","",Dienstplan!D36)</f>
        <v/>
      </c>
      <c r="E16" s="18">
        <f>IF(Dienstplan!E36="","",Dienstplan!E36)</f>
        <v/>
      </c>
      <c r="F16" s="18">
        <f>IF(Dienstplan!F36="","",Dienstplan!F36)</f>
        <v/>
      </c>
      <c r="G16" s="17">
        <f>IF(Dienstplan!G36="","",Dienstplan!G36)</f>
        <v/>
      </c>
      <c r="H16" s="17">
        <f>IF(Dienstplan!H36="","",Dienstplan!H36)</f>
        <v/>
      </c>
      <c r="I16" s="18">
        <f>IF(Dienstplan!I36="","",Dienstplan!I36)</f>
        <v/>
      </c>
      <c r="J16" s="18">
        <f>IF(Dienstplan!J36="","",Dienstplan!J36)</f>
        <v/>
      </c>
      <c r="K16" s="18">
        <f>IF(Dienstplan!K36="","",Dienstplan!K36)</f>
        <v/>
      </c>
      <c r="L16" s="18">
        <f>IF(Dienstplan!L36="","",Dienstplan!L36)</f>
        <v/>
      </c>
      <c r="M16" s="18">
        <f>IF(Dienstplan!M36="","",Dienstplan!M36)</f>
        <v/>
      </c>
      <c r="N16" s="17">
        <f>IF(Dienstplan!N36="","",Dienstplan!N36)</f>
        <v/>
      </c>
      <c r="O16" s="17">
        <f>IF(Dienstplan!O36="","",Dienstplan!O36)</f>
        <v/>
      </c>
      <c r="P16" s="18">
        <f>IF(Dienstplan!P36="","",Dienstplan!P36)</f>
        <v/>
      </c>
      <c r="Q16" s="18">
        <f>IF(Dienstplan!Q36="","",Dienstplan!Q36)</f>
        <v/>
      </c>
      <c r="R16" s="18">
        <f>IF(Dienstplan!R36="","",Dienstplan!R36)</f>
        <v/>
      </c>
      <c r="S16" s="18">
        <f>IF(Dienstplan!S36="","",Dienstplan!S36)</f>
        <v/>
      </c>
      <c r="T16" s="18">
        <f>IF(Dienstplan!T36="","",Dienstplan!T36)</f>
        <v/>
      </c>
      <c r="U16" s="17">
        <f>IF(Dienstplan!U36="","",Dienstplan!U36)</f>
        <v/>
      </c>
      <c r="V16" s="17">
        <f>IF(Dienstplan!V36="","",Dienstplan!V36)</f>
        <v/>
      </c>
      <c r="W16" s="18">
        <f>IF(Dienstplan!W36="","",Dienstplan!W36)</f>
        <v/>
      </c>
      <c r="X16" s="18">
        <f>IF(Dienstplan!X36="","",Dienstplan!X36)</f>
        <v/>
      </c>
      <c r="Y16" s="18">
        <f>IF(Dienstplan!Y36="","",Dienstplan!Y36)</f>
        <v/>
      </c>
      <c r="Z16" s="18">
        <f>IF(Dienstplan!Z36="","",Dienstplan!Z36)</f>
        <v/>
      </c>
      <c r="AA16" s="18">
        <f>IF(Dienstplan!AA36="","",Dienstplan!AA36)</f>
        <v/>
      </c>
      <c r="AB16" s="17">
        <f>IF(Dienstplan!AB36="","",Dienstplan!AB36)</f>
        <v/>
      </c>
      <c r="AC16" s="19">
        <f>IF(Dienstplan!AC36="","",Dienstplan!AC36)</f>
        <v/>
      </c>
    </row>
    <row r="17" hidden="1" ht="16" customHeight="1">
      <c r="A17" s="44" t="inlineStr">
        <is>
          <t>Radimersky</t>
        </is>
      </c>
      <c r="B17" s="20">
        <f>IF(Dienstplan!B37="","",Dienstplan!B37)</f>
        <v/>
      </c>
      <c r="C17" s="20">
        <f>IF(Dienstplan!C37="","",Dienstplan!C37)</f>
        <v/>
      </c>
      <c r="D17" s="20">
        <f>IF(Dienstplan!D37="","",Dienstplan!D37)</f>
        <v/>
      </c>
      <c r="E17" s="20">
        <f>IF(Dienstplan!E37="","",Dienstplan!E37)</f>
        <v/>
      </c>
      <c r="F17" s="20">
        <f>IF(Dienstplan!F37="","",Dienstplan!F37)</f>
        <v/>
      </c>
      <c r="G17" s="17">
        <f>IF(Dienstplan!G37="","",Dienstplan!G37)</f>
        <v/>
      </c>
      <c r="H17" s="17">
        <f>IF(Dienstplan!H37="","",Dienstplan!H37)</f>
        <v/>
      </c>
      <c r="I17" s="20">
        <f>IF(Dienstplan!I37="","",Dienstplan!I37)</f>
        <v/>
      </c>
      <c r="J17" s="20">
        <f>IF(Dienstplan!J37="","",Dienstplan!J37)</f>
        <v/>
      </c>
      <c r="K17" s="20">
        <f>IF(Dienstplan!K37="","",Dienstplan!K37)</f>
        <v/>
      </c>
      <c r="L17" s="20">
        <f>IF(Dienstplan!L37="","",Dienstplan!L37)</f>
        <v/>
      </c>
      <c r="M17" s="20">
        <f>IF(Dienstplan!M37="","",Dienstplan!M37)</f>
        <v/>
      </c>
      <c r="N17" s="17">
        <f>IF(Dienstplan!N37="","",Dienstplan!N37)</f>
        <v/>
      </c>
      <c r="O17" s="17">
        <f>IF(Dienstplan!O37="","",Dienstplan!O37)</f>
        <v/>
      </c>
      <c r="P17" s="20">
        <f>IF(Dienstplan!P37="","",Dienstplan!P37)</f>
        <v/>
      </c>
      <c r="Q17" s="20">
        <f>IF(Dienstplan!Q37="","",Dienstplan!Q37)</f>
        <v/>
      </c>
      <c r="R17" s="20">
        <f>IF(Dienstplan!R37="","",Dienstplan!R37)</f>
        <v/>
      </c>
      <c r="S17" s="20">
        <f>IF(Dienstplan!S37="","",Dienstplan!S37)</f>
        <v/>
      </c>
      <c r="T17" s="20">
        <f>IF(Dienstplan!T37="","",Dienstplan!T37)</f>
        <v/>
      </c>
      <c r="U17" s="17">
        <f>IF(Dienstplan!U37="","",Dienstplan!U37)</f>
        <v/>
      </c>
      <c r="V17" s="17">
        <f>IF(Dienstplan!V37="","",Dienstplan!V37)</f>
        <v/>
      </c>
      <c r="W17" s="20">
        <f>IF(Dienstplan!W37="","",Dienstplan!W37)</f>
        <v/>
      </c>
      <c r="X17" s="20">
        <f>IF(Dienstplan!X37="","",Dienstplan!X37)</f>
        <v/>
      </c>
      <c r="Y17" s="20">
        <f>IF(Dienstplan!Y37="","",Dienstplan!Y37)</f>
        <v/>
      </c>
      <c r="Z17" s="20">
        <f>IF(Dienstplan!Z37="","",Dienstplan!Z37)</f>
        <v/>
      </c>
      <c r="AA17" s="20">
        <f>IF(Dienstplan!AA37="","",Dienstplan!AA37)</f>
        <v/>
      </c>
      <c r="AB17" s="17">
        <f>IF(Dienstplan!AB37="","",Dienstplan!AB37)</f>
        <v/>
      </c>
      <c r="AC17" s="19">
        <f>IF(Dienstplan!AC37="","",Dienstplan!AC37)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IF(AND(COUNTIF(B6:B17,"FI")&gt;0,COUNTIF(B6:B17,"SI")&gt;0,COUNTIF(B6:B17,"NI")&gt;0),"","!")</f>
        <v/>
      </c>
      <c r="C18" s="23">
        <f>IF(AND(COUNTIF(C6:C17,"FI")&gt;0,COUNTIF(C6:C17,"SI")&gt;0,COUNTIF(C6:C17,"NI")&gt;0),"","!")</f>
        <v/>
      </c>
      <c r="D18" s="23">
        <f>IF(AND(COUNTIF(D6:D17,"FI")&gt;0,COUNTIF(D6:D17,"SI")&gt;0,COUNTIF(D6:D17,"NI")&gt;0),"","!")</f>
        <v/>
      </c>
      <c r="E18" s="23">
        <f>IF(AND(COUNTIF(E6:E17,"FI")&gt;0,COUNTIF(E6:E17,"SI")&gt;0,COUNTIF(E6:E17,"NI")&gt;0),"","!")</f>
        <v/>
      </c>
      <c r="F18" s="23">
        <f>IF(AND(COUNTIF(F6:F17,"FI")&gt;0,COUNTIF(F6:F17,"SI")&gt;0),"","!")</f>
        <v/>
      </c>
      <c r="G18" s="22" t="n"/>
      <c r="H18" s="22" t="n"/>
      <c r="I18" s="23">
        <f>IF(AND(COUNTIF(I6:I17,"FI")&gt;0,COUNTIF(I6:I17,"SI")&gt;0,COUNTIF(I6:I17,"NI")&gt;0),"","!")</f>
        <v/>
      </c>
      <c r="J18" s="23">
        <f>IF(AND(COUNTIF(J6:J17,"FI")&gt;0,COUNTIF(J6:J17,"SI")&gt;0,COUNTIF(J6:J17,"NI")&gt;0),"","!")</f>
        <v/>
      </c>
      <c r="K18" s="23">
        <f>IF(AND(COUNTIF(K6:K17,"FI")&gt;0,COUNTIF(K6:K17,"SI")&gt;0,COUNTIF(K6:K17,"NI")&gt;0),"","!")</f>
        <v/>
      </c>
      <c r="L18" s="23">
        <f>IF(AND(COUNTIF(L6:L17,"FI")&gt;0,COUNTIF(L6:L17,"SI")&gt;0,COUNTIF(L6:L17,"NI")&gt;0),"","!")</f>
        <v/>
      </c>
      <c r="M18" s="23">
        <f>IF(AND(COUNTIF(M6:M17,"FI")&gt;0,COUNTIF(M6:M17,"SI")&gt;0),"","!")</f>
        <v/>
      </c>
      <c r="N18" s="22" t="n"/>
      <c r="O18" s="22" t="n"/>
      <c r="P18" s="23">
        <f>IF(AND(COUNTIF(P6:P17,"FI")&gt;0,COUNTIF(P6:P17,"SI")&gt;0,COUNTIF(P6:P17,"NI")&gt;0),"","!")</f>
        <v/>
      </c>
      <c r="Q18" s="23">
        <f>IF(AND(COUNTIF(Q6:Q17,"FI")&gt;0,COUNTIF(Q6:Q17,"SI")&gt;0,COUNTIF(Q6:Q17,"NI")&gt;0),"","!")</f>
        <v/>
      </c>
      <c r="R18" s="23">
        <f>IF(AND(COUNTIF(R6:R17,"FI")&gt;0,COUNTIF(R6:R17,"SI")&gt;0,COUNTIF(R6:R17,"NI")&gt;0),"","!")</f>
        <v/>
      </c>
      <c r="S18" s="23">
        <f>IF(AND(COUNTIF(S6:S17,"FI")&gt;0,COUNTIF(S6:S17,"SI")&gt;0,COUNTIF(S6:S17,"NI")&gt;0),"","!")</f>
        <v/>
      </c>
      <c r="T18" s="23">
        <f>IF(AND(COUNTIF(T6:T17,"FI")&gt;0,COUNTIF(T6:T17,"SI")&gt;0),"","!")</f>
        <v/>
      </c>
      <c r="U18" s="22" t="n"/>
      <c r="V18" s="22" t="n"/>
      <c r="W18" s="23">
        <f>IF(AND(COUNTIF(W6:W17,"FI")&gt;0,COUNTIF(W6:W17,"SI")&gt;0,COUNTIF(W6:W17,"NI")&gt;0),"","!")</f>
        <v/>
      </c>
      <c r="X18" s="23">
        <f>IF(AND(COUNTIF(X6:X17,"FI")&gt;0,COUNTIF(X6:X17,"SI")&gt;0,COUNTIF(X6:X17,"NI")&gt;0),"","!")</f>
        <v/>
      </c>
      <c r="Y18" s="23">
        <f>IF(AND(COUNTIF(Y6:Y17,"FI")&gt;0,COUNTIF(Y6:Y17,"SI")&gt;0,COUNTIF(Y6:Y17,"NI")&gt;0),"","!")</f>
        <v/>
      </c>
      <c r="Z18" s="23">
        <f>IF(AND(COUNTIF(Z6:Z17,"FI")&gt;0,COUNTIF(Z6:Z17,"SI")&gt;0,COUNTIF(Z6:Z17,"NI")&gt;0),"","!")</f>
        <v/>
      </c>
      <c r="AA18" s="23">
        <f>IF(AND(COUNTIF(AA6:AA17,"FI")&gt;0,COUNTIF(AA6:AA17,"SI")&gt;0),"","!")</f>
        <v/>
      </c>
      <c r="AB18" s="22" t="n"/>
      <c r="AC18" s="24" t="n"/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P2:T2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C18">
    <cfRule type="cellIs" priority="1" operator="equal" dxfId="5" stopIfTrue="1">
      <formula>"!"</formula>
    </cfRule>
  </conditionalFormatting>
  <conditionalFormatting sqref="B6:AC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März 2027</t>
        </is>
      </c>
      <c r="AC1" s="33" t="inlineStr">
        <is>
          <t>AT: 21   Sa: 4</t>
        </is>
      </c>
    </row>
    <row r="2">
      <c r="AB2" s="25" t="inlineStr">
        <is>
          <t>Osterferien</t>
        </is>
      </c>
    </row>
    <row r="3" ht="18" customHeight="1">
      <c r="A3" s="34" t="inlineStr">
        <is>
          <t>Tag</t>
        </is>
      </c>
      <c r="B3" s="36" t="n">
        <v>1</v>
      </c>
      <c r="C3" s="36" t="n">
        <v>2</v>
      </c>
      <c r="D3" s="36" t="n">
        <v>3</v>
      </c>
      <c r="E3" s="36" t="n">
        <v>4</v>
      </c>
      <c r="F3" s="36" t="n">
        <v>5</v>
      </c>
      <c r="G3" s="35" t="n">
        <v>6</v>
      </c>
      <c r="H3" s="35" t="n">
        <v>7</v>
      </c>
      <c r="I3" s="36" t="n">
        <v>8</v>
      </c>
      <c r="J3" s="36" t="n">
        <v>9</v>
      </c>
      <c r="K3" s="36" t="n">
        <v>10</v>
      </c>
      <c r="L3" s="36" t="n">
        <v>11</v>
      </c>
      <c r="M3" s="36" t="n">
        <v>12</v>
      </c>
      <c r="N3" s="35" t="n">
        <v>13</v>
      </c>
      <c r="O3" s="35" t="n">
        <v>14</v>
      </c>
      <c r="P3" s="36" t="n">
        <v>15</v>
      </c>
      <c r="Q3" s="36" t="n">
        <v>16</v>
      </c>
      <c r="R3" s="36" t="n">
        <v>17</v>
      </c>
      <c r="S3" s="36" t="n">
        <v>18</v>
      </c>
      <c r="T3" s="36" t="n">
        <v>19</v>
      </c>
      <c r="U3" s="35" t="n">
        <v>20</v>
      </c>
      <c r="V3" s="35" t="n">
        <v>21</v>
      </c>
      <c r="W3" s="36" t="n">
        <v>22</v>
      </c>
      <c r="X3" s="36" t="n">
        <v>23</v>
      </c>
      <c r="Y3" s="36" t="n">
        <v>24</v>
      </c>
      <c r="Z3" s="36" t="n">
        <v>25</v>
      </c>
      <c r="AA3" s="35" t="n">
        <v>26</v>
      </c>
      <c r="AB3" s="35" t="n">
        <v>27</v>
      </c>
      <c r="AC3" s="35" t="n">
        <v>28</v>
      </c>
      <c r="AD3" s="35" t="n">
        <v>29</v>
      </c>
      <c r="AE3" s="36" t="n">
        <v>30</v>
      </c>
      <c r="AF3" s="65" t="n">
        <v>31</v>
      </c>
    </row>
    <row r="4" ht="18" customHeight="1">
      <c r="A4" s="9" t="inlineStr">
        <is>
          <t>WT</t>
        </is>
      </c>
      <c r="B4" s="14" t="inlineStr">
        <is>
          <t>Mo</t>
        </is>
      </c>
      <c r="C4" s="14" t="inlineStr">
        <is>
          <t>Di</t>
        </is>
      </c>
      <c r="D4" s="14" t="inlineStr">
        <is>
          <t>Mi</t>
        </is>
      </c>
      <c r="E4" s="14" t="inlineStr">
        <is>
          <t>Do</t>
        </is>
      </c>
      <c r="F4" s="14" t="inlineStr">
        <is>
          <t>Fr</t>
        </is>
      </c>
      <c r="G4" s="13" t="inlineStr">
        <is>
          <t>Sa</t>
        </is>
      </c>
      <c r="H4" s="13" t="inlineStr">
        <is>
          <t>So</t>
        </is>
      </c>
      <c r="I4" s="14" t="inlineStr">
        <is>
          <t>Mo</t>
        </is>
      </c>
      <c r="J4" s="14" t="inlineStr">
        <is>
          <t>Di</t>
        </is>
      </c>
      <c r="K4" s="14" t="inlineStr">
        <is>
          <t>Mi</t>
        </is>
      </c>
      <c r="L4" s="14" t="inlineStr">
        <is>
          <t>Do</t>
        </is>
      </c>
      <c r="M4" s="14" t="inlineStr">
        <is>
          <t>Fr</t>
        </is>
      </c>
      <c r="N4" s="13" t="inlineStr">
        <is>
          <t>Sa</t>
        </is>
      </c>
      <c r="O4" s="13" t="inlineStr">
        <is>
          <t>So</t>
        </is>
      </c>
      <c r="P4" s="14" t="inlineStr">
        <is>
          <t>Mo</t>
        </is>
      </c>
      <c r="Q4" s="14" t="inlineStr">
        <is>
          <t>Di</t>
        </is>
      </c>
      <c r="R4" s="14" t="inlineStr">
        <is>
          <t>Mi</t>
        </is>
      </c>
      <c r="S4" s="14" t="inlineStr">
        <is>
          <t>Do</t>
        </is>
      </c>
      <c r="T4" s="14" t="inlineStr">
        <is>
          <t>Fr</t>
        </is>
      </c>
      <c r="U4" s="13" t="inlineStr">
        <is>
          <t>Sa</t>
        </is>
      </c>
      <c r="V4" s="13" t="inlineStr">
        <is>
          <t>So</t>
        </is>
      </c>
      <c r="W4" s="14" t="inlineStr">
        <is>
          <t>Mo</t>
        </is>
      </c>
      <c r="X4" s="14" t="inlineStr">
        <is>
          <t>Di</t>
        </is>
      </c>
      <c r="Y4" s="14" t="inlineStr">
        <is>
          <t>Mi</t>
        </is>
      </c>
      <c r="Z4" s="14" t="inlineStr">
        <is>
          <t>Do</t>
        </is>
      </c>
      <c r="AA4" s="13" t="inlineStr">
        <is>
          <t>Fr</t>
        </is>
      </c>
      <c r="AB4" s="13" t="inlineStr">
        <is>
          <t>Sa</t>
        </is>
      </c>
      <c r="AC4" s="13" t="inlineStr">
        <is>
          <t>So</t>
        </is>
      </c>
      <c r="AD4" s="13" t="inlineStr">
        <is>
          <t>Mo</t>
        </is>
      </c>
      <c r="AE4" s="14" t="inlineStr">
        <is>
          <t>Di</t>
        </is>
      </c>
      <c r="AF4" s="28" t="inlineStr">
        <is>
          <t>Mi</t>
        </is>
      </c>
    </row>
    <row r="5" ht="15" customHeight="1">
      <c r="A5" s="9" t="inlineStr">
        <is>
          <t>KW</t>
        </is>
      </c>
      <c r="B5" s="40" t="n">
        <v>9</v>
      </c>
      <c r="C5" s="41" t="n"/>
      <c r="D5" s="41" t="n"/>
      <c r="E5" s="41" t="n"/>
      <c r="F5" s="41" t="n"/>
      <c r="G5" s="39" t="n"/>
      <c r="H5" s="39" t="n"/>
      <c r="I5" s="40" t="n">
        <v>10</v>
      </c>
      <c r="J5" s="41" t="n"/>
      <c r="K5" s="41" t="n"/>
      <c r="L5" s="41" t="n"/>
      <c r="M5" s="41" t="n"/>
      <c r="N5" s="39" t="n"/>
      <c r="O5" s="39" t="n"/>
      <c r="P5" s="40" t="n">
        <v>11</v>
      </c>
      <c r="Q5" s="41" t="n"/>
      <c r="R5" s="41" t="n"/>
      <c r="S5" s="41" t="n"/>
      <c r="T5" s="41" t="n"/>
      <c r="U5" s="39" t="n"/>
      <c r="V5" s="39" t="n"/>
      <c r="W5" s="40" t="n">
        <v>12</v>
      </c>
      <c r="X5" s="41" t="n"/>
      <c r="Y5" s="41" t="n"/>
      <c r="Z5" s="41" t="n"/>
      <c r="AA5" s="39" t="n"/>
      <c r="AB5" s="39" t="n"/>
      <c r="AC5" s="39" t="n"/>
      <c r="AD5" s="38" t="n">
        <v>13</v>
      </c>
      <c r="AE5" s="41" t="n"/>
      <c r="AF5" s="66" t="n"/>
    </row>
    <row r="6" ht="16" customHeight="1">
      <c r="A6" s="43" t="inlineStr">
        <is>
          <t>Breig</t>
        </is>
      </c>
      <c r="B6" s="18">
        <f>IF(Dienstplan!B45="","",Dienstplan!B45)</f>
        <v/>
      </c>
      <c r="C6" s="18">
        <f>IF(Dienstplan!C45="","",Dienstplan!C45)</f>
        <v/>
      </c>
      <c r="D6" s="18">
        <f>IF(Dienstplan!D45="","",Dienstplan!D45)</f>
        <v/>
      </c>
      <c r="E6" s="18">
        <f>IF(Dienstplan!E45="","",Dienstplan!E45)</f>
        <v/>
      </c>
      <c r="F6" s="18">
        <f>IF(Dienstplan!F45="","",Dienstplan!F45)</f>
        <v/>
      </c>
      <c r="G6" s="17">
        <f>IF(Dienstplan!G45="","",Dienstplan!G45)</f>
        <v/>
      </c>
      <c r="H6" s="17">
        <f>IF(Dienstplan!H45="","",Dienstplan!H45)</f>
        <v/>
      </c>
      <c r="I6" s="18">
        <f>IF(Dienstplan!I45="","",Dienstplan!I45)</f>
        <v/>
      </c>
      <c r="J6" s="18">
        <f>IF(Dienstplan!J45="","",Dienstplan!J45)</f>
        <v/>
      </c>
      <c r="K6" s="18">
        <f>IF(Dienstplan!K45="","",Dienstplan!K45)</f>
        <v/>
      </c>
      <c r="L6" s="18">
        <f>IF(Dienstplan!L45="","",Dienstplan!L45)</f>
        <v/>
      </c>
      <c r="M6" s="18">
        <f>IF(Dienstplan!M45="","",Dienstplan!M45)</f>
        <v/>
      </c>
      <c r="N6" s="17">
        <f>IF(Dienstplan!N45="","",Dienstplan!N45)</f>
        <v/>
      </c>
      <c r="O6" s="17">
        <f>IF(Dienstplan!O45="","",Dienstplan!O45)</f>
        <v/>
      </c>
      <c r="P6" s="18">
        <f>IF(Dienstplan!P45="","",Dienstplan!P45)</f>
        <v/>
      </c>
      <c r="Q6" s="18">
        <f>IF(Dienstplan!Q45="","",Dienstplan!Q45)</f>
        <v/>
      </c>
      <c r="R6" s="18">
        <f>IF(Dienstplan!R45="","",Dienstplan!R45)</f>
        <v/>
      </c>
      <c r="S6" s="18">
        <f>IF(Dienstplan!S45="","",Dienstplan!S45)</f>
        <v/>
      </c>
      <c r="T6" s="18">
        <f>IF(Dienstplan!T45="","",Dienstplan!T45)</f>
        <v/>
      </c>
      <c r="U6" s="17">
        <f>IF(Dienstplan!U45="","",Dienstplan!U45)</f>
        <v/>
      </c>
      <c r="V6" s="17">
        <f>IF(Dienstplan!V45="","",Dienstplan!V45)</f>
        <v/>
      </c>
      <c r="W6" s="18">
        <f>IF(Dienstplan!W45="","",Dienstplan!W45)</f>
        <v/>
      </c>
      <c r="X6" s="18">
        <f>IF(Dienstplan!X45="","",Dienstplan!X45)</f>
        <v/>
      </c>
      <c r="Y6" s="18">
        <f>IF(Dienstplan!Y45="","",Dienstplan!Y45)</f>
        <v/>
      </c>
      <c r="Z6" s="18">
        <f>IF(Dienstplan!Z45="","",Dienstplan!Z45)</f>
        <v/>
      </c>
      <c r="AA6" s="17">
        <f>IF(Dienstplan!AA45="","",Dienstplan!AA45)</f>
        <v/>
      </c>
      <c r="AB6" s="17">
        <f>IF(Dienstplan!AB45="","",Dienstplan!AB45)</f>
        <v/>
      </c>
      <c r="AC6" s="17">
        <f>IF(Dienstplan!AC45="","",Dienstplan!AC45)</f>
        <v/>
      </c>
      <c r="AD6" s="17">
        <f>IF(Dienstplan!AD45="","",Dienstplan!AD45)</f>
        <v/>
      </c>
      <c r="AE6" s="18">
        <f>IF(Dienstplan!AE45="","",Dienstplan!AE45)</f>
        <v/>
      </c>
      <c r="AF6" s="29">
        <f>IF(Dienstplan!AF45="","",Dienstplan!AF45)</f>
        <v/>
      </c>
    </row>
    <row r="7" ht="16" customHeight="1">
      <c r="A7" s="43" t="inlineStr">
        <is>
          <t>Siebert</t>
        </is>
      </c>
      <c r="B7" s="20">
        <f>IF(Dienstplan!B46="","",Dienstplan!B46)</f>
        <v/>
      </c>
      <c r="C7" s="20">
        <f>IF(Dienstplan!C46="","",Dienstplan!C46)</f>
        <v/>
      </c>
      <c r="D7" s="20">
        <f>IF(Dienstplan!D46="","",Dienstplan!D46)</f>
        <v/>
      </c>
      <c r="E7" s="20">
        <f>IF(Dienstplan!E46="","",Dienstplan!E46)</f>
        <v/>
      </c>
      <c r="F7" s="20">
        <f>IF(Dienstplan!F46="","",Dienstplan!F46)</f>
        <v/>
      </c>
      <c r="G7" s="17">
        <f>IF(Dienstplan!G46="","",Dienstplan!G46)</f>
        <v/>
      </c>
      <c r="H7" s="17">
        <f>IF(Dienstplan!H46="","",Dienstplan!H46)</f>
        <v/>
      </c>
      <c r="I7" s="20">
        <f>IF(Dienstplan!I46="","",Dienstplan!I46)</f>
        <v/>
      </c>
      <c r="J7" s="20">
        <f>IF(Dienstplan!J46="","",Dienstplan!J46)</f>
        <v/>
      </c>
      <c r="K7" s="20">
        <f>IF(Dienstplan!K46="","",Dienstplan!K46)</f>
        <v/>
      </c>
      <c r="L7" s="20">
        <f>IF(Dienstplan!L46="","",Dienstplan!L46)</f>
        <v/>
      </c>
      <c r="M7" s="20">
        <f>IF(Dienstplan!M46="","",Dienstplan!M46)</f>
        <v/>
      </c>
      <c r="N7" s="17">
        <f>IF(Dienstplan!N46="","",Dienstplan!N46)</f>
        <v/>
      </c>
      <c r="O7" s="17">
        <f>IF(Dienstplan!O46="","",Dienstplan!O46)</f>
        <v/>
      </c>
      <c r="P7" s="20">
        <f>IF(Dienstplan!P46="","",Dienstplan!P46)</f>
        <v/>
      </c>
      <c r="Q7" s="20">
        <f>IF(Dienstplan!Q46="","",Dienstplan!Q46)</f>
        <v/>
      </c>
      <c r="R7" s="20">
        <f>IF(Dienstplan!R46="","",Dienstplan!R46)</f>
        <v/>
      </c>
      <c r="S7" s="20">
        <f>IF(Dienstplan!S46="","",Dienstplan!S46)</f>
        <v/>
      </c>
      <c r="T7" s="20">
        <f>IF(Dienstplan!T46="","",Dienstplan!T46)</f>
        <v/>
      </c>
      <c r="U7" s="17">
        <f>IF(Dienstplan!U46="","",Dienstplan!U46)</f>
        <v/>
      </c>
      <c r="V7" s="17">
        <f>IF(Dienstplan!V46="","",Dienstplan!V46)</f>
        <v/>
      </c>
      <c r="W7" s="20">
        <f>IF(Dienstplan!W46="","",Dienstplan!W46)</f>
        <v/>
      </c>
      <c r="X7" s="20">
        <f>IF(Dienstplan!X46="","",Dienstplan!X46)</f>
        <v/>
      </c>
      <c r="Y7" s="20">
        <f>IF(Dienstplan!Y46="","",Dienstplan!Y46)</f>
        <v/>
      </c>
      <c r="Z7" s="20">
        <f>IF(Dienstplan!Z46="","",Dienstplan!Z46)</f>
        <v/>
      </c>
      <c r="AA7" s="17">
        <f>IF(Dienstplan!AA46="","",Dienstplan!AA46)</f>
        <v/>
      </c>
      <c r="AB7" s="17">
        <f>IF(Dienstplan!AB46="","",Dienstplan!AB46)</f>
        <v/>
      </c>
      <c r="AC7" s="17">
        <f>IF(Dienstplan!AC46="","",Dienstplan!AC46)</f>
        <v/>
      </c>
      <c r="AD7" s="17">
        <f>IF(Dienstplan!AD46="","",Dienstplan!AD46)</f>
        <v/>
      </c>
      <c r="AE7" s="20">
        <f>IF(Dienstplan!AE46="","",Dienstplan!AE46)</f>
        <v/>
      </c>
      <c r="AF7" s="30">
        <f>IF(Dienstplan!AF46="","",Dienstplan!AF46)</f>
        <v/>
      </c>
    </row>
    <row r="8" ht="16" customHeight="1">
      <c r="A8" s="43" t="inlineStr">
        <is>
          <t>Jochim</t>
        </is>
      </c>
      <c r="B8" s="18">
        <f>IF(Dienstplan!B47="","",Dienstplan!B47)</f>
        <v/>
      </c>
      <c r="C8" s="18">
        <f>IF(Dienstplan!C47="","",Dienstplan!C47)</f>
        <v/>
      </c>
      <c r="D8" s="18">
        <f>IF(Dienstplan!D47="","",Dienstplan!D47)</f>
        <v/>
      </c>
      <c r="E8" s="18">
        <f>IF(Dienstplan!E47="","",Dienstplan!E47)</f>
        <v/>
      </c>
      <c r="F8" s="18">
        <f>IF(Dienstplan!F47="","",Dienstplan!F47)</f>
        <v/>
      </c>
      <c r="G8" s="17">
        <f>IF(Dienstplan!G47="","",Dienstplan!G47)</f>
        <v/>
      </c>
      <c r="H8" s="17">
        <f>IF(Dienstplan!H47="","",Dienstplan!H47)</f>
        <v/>
      </c>
      <c r="I8" s="18">
        <f>IF(Dienstplan!I47="","",Dienstplan!I47)</f>
        <v/>
      </c>
      <c r="J8" s="18">
        <f>IF(Dienstplan!J47="","",Dienstplan!J47)</f>
        <v/>
      </c>
      <c r="K8" s="18">
        <f>IF(Dienstplan!K47="","",Dienstplan!K47)</f>
        <v/>
      </c>
      <c r="L8" s="18">
        <f>IF(Dienstplan!L47="","",Dienstplan!L47)</f>
        <v/>
      </c>
      <c r="M8" s="18">
        <f>IF(Dienstplan!M47="","",Dienstplan!M47)</f>
        <v/>
      </c>
      <c r="N8" s="17">
        <f>IF(Dienstplan!N47="","",Dienstplan!N47)</f>
        <v/>
      </c>
      <c r="O8" s="17">
        <f>IF(Dienstplan!O47="","",Dienstplan!O47)</f>
        <v/>
      </c>
      <c r="P8" s="18">
        <f>IF(Dienstplan!P47="","",Dienstplan!P47)</f>
        <v/>
      </c>
      <c r="Q8" s="18">
        <f>IF(Dienstplan!Q47="","",Dienstplan!Q47)</f>
        <v/>
      </c>
      <c r="R8" s="18">
        <f>IF(Dienstplan!R47="","",Dienstplan!R47)</f>
        <v/>
      </c>
      <c r="S8" s="18">
        <f>IF(Dienstplan!S47="","",Dienstplan!S47)</f>
        <v/>
      </c>
      <c r="T8" s="18">
        <f>IF(Dienstplan!T47="","",Dienstplan!T47)</f>
        <v/>
      </c>
      <c r="U8" s="17">
        <f>IF(Dienstplan!U47="","",Dienstplan!U47)</f>
        <v/>
      </c>
      <c r="V8" s="17">
        <f>IF(Dienstplan!V47="","",Dienstplan!V47)</f>
        <v/>
      </c>
      <c r="W8" s="18">
        <f>IF(Dienstplan!W47="","",Dienstplan!W47)</f>
        <v/>
      </c>
      <c r="X8" s="18">
        <f>IF(Dienstplan!X47="","",Dienstplan!X47)</f>
        <v/>
      </c>
      <c r="Y8" s="18">
        <f>IF(Dienstplan!Y47="","",Dienstplan!Y47)</f>
        <v/>
      </c>
      <c r="Z8" s="18">
        <f>IF(Dienstplan!Z47="","",Dienstplan!Z47)</f>
        <v/>
      </c>
      <c r="AA8" s="17">
        <f>IF(Dienstplan!AA47="","",Dienstplan!AA47)</f>
        <v/>
      </c>
      <c r="AB8" s="17">
        <f>IF(Dienstplan!AB47="","",Dienstplan!AB47)</f>
        <v/>
      </c>
      <c r="AC8" s="17">
        <f>IF(Dienstplan!AC47="","",Dienstplan!AC47)</f>
        <v/>
      </c>
      <c r="AD8" s="17">
        <f>IF(Dienstplan!AD47="","",Dienstplan!AD47)</f>
        <v/>
      </c>
      <c r="AE8" s="18">
        <f>IF(Dienstplan!AE47="","",Dienstplan!AE47)</f>
        <v/>
      </c>
      <c r="AF8" s="29">
        <f>IF(Dienstplan!AF47="","",Dienstplan!AF47)</f>
        <v/>
      </c>
    </row>
    <row r="9" ht="16" customHeight="1">
      <c r="A9" s="43" t="inlineStr">
        <is>
          <t>Wunsch</t>
        </is>
      </c>
      <c r="B9" s="20">
        <f>IF(Dienstplan!B48="","",Dienstplan!B48)</f>
        <v/>
      </c>
      <c r="C9" s="20">
        <f>IF(Dienstplan!C48="","",Dienstplan!C48)</f>
        <v/>
      </c>
      <c r="D9" s="20">
        <f>IF(Dienstplan!D48="","",Dienstplan!D48)</f>
        <v/>
      </c>
      <c r="E9" s="20">
        <f>IF(Dienstplan!E48="","",Dienstplan!E48)</f>
        <v/>
      </c>
      <c r="F9" s="20">
        <f>IF(Dienstplan!F48="","",Dienstplan!F48)</f>
        <v/>
      </c>
      <c r="G9" s="17">
        <f>IF(Dienstplan!G48="","",Dienstplan!G48)</f>
        <v/>
      </c>
      <c r="H9" s="17">
        <f>IF(Dienstplan!H48="","",Dienstplan!H48)</f>
        <v/>
      </c>
      <c r="I9" s="20">
        <f>IF(Dienstplan!I48="","",Dienstplan!I48)</f>
        <v/>
      </c>
      <c r="J9" s="20">
        <f>IF(Dienstplan!J48="","",Dienstplan!J48)</f>
        <v/>
      </c>
      <c r="K9" s="20">
        <f>IF(Dienstplan!K48="","",Dienstplan!K48)</f>
        <v/>
      </c>
      <c r="L9" s="20">
        <f>IF(Dienstplan!L48="","",Dienstplan!L48)</f>
        <v/>
      </c>
      <c r="M9" s="20">
        <f>IF(Dienstplan!M48="","",Dienstplan!M48)</f>
        <v/>
      </c>
      <c r="N9" s="17">
        <f>IF(Dienstplan!N48="","",Dienstplan!N48)</f>
        <v/>
      </c>
      <c r="O9" s="17">
        <f>IF(Dienstplan!O48="","",Dienstplan!O48)</f>
        <v/>
      </c>
      <c r="P9" s="20">
        <f>IF(Dienstplan!P48="","",Dienstplan!P48)</f>
        <v/>
      </c>
      <c r="Q9" s="20">
        <f>IF(Dienstplan!Q48="","",Dienstplan!Q48)</f>
        <v/>
      </c>
      <c r="R9" s="20">
        <f>IF(Dienstplan!R48="","",Dienstplan!R48)</f>
        <v/>
      </c>
      <c r="S9" s="20">
        <f>IF(Dienstplan!S48="","",Dienstplan!S48)</f>
        <v/>
      </c>
      <c r="T9" s="20">
        <f>IF(Dienstplan!T48="","",Dienstplan!T48)</f>
        <v/>
      </c>
      <c r="U9" s="17">
        <f>IF(Dienstplan!U48="","",Dienstplan!U48)</f>
        <v/>
      </c>
      <c r="V9" s="17">
        <f>IF(Dienstplan!V48="","",Dienstplan!V48)</f>
        <v/>
      </c>
      <c r="W9" s="20">
        <f>IF(Dienstplan!W48="","",Dienstplan!W48)</f>
        <v/>
      </c>
      <c r="X9" s="20">
        <f>IF(Dienstplan!X48="","",Dienstplan!X48)</f>
        <v/>
      </c>
      <c r="Y9" s="20">
        <f>IF(Dienstplan!Y48="","",Dienstplan!Y48)</f>
        <v/>
      </c>
      <c r="Z9" s="20">
        <f>IF(Dienstplan!Z48="","",Dienstplan!Z48)</f>
        <v/>
      </c>
      <c r="AA9" s="17">
        <f>IF(Dienstplan!AA48="","",Dienstplan!AA48)</f>
        <v/>
      </c>
      <c r="AB9" s="17">
        <f>IF(Dienstplan!AB48="","",Dienstplan!AB48)</f>
        <v/>
      </c>
      <c r="AC9" s="17">
        <f>IF(Dienstplan!AC48="","",Dienstplan!AC48)</f>
        <v/>
      </c>
      <c r="AD9" s="17">
        <f>IF(Dienstplan!AD48="","",Dienstplan!AD48)</f>
        <v/>
      </c>
      <c r="AE9" s="20">
        <f>IF(Dienstplan!AE48="","",Dienstplan!AE48)</f>
        <v/>
      </c>
      <c r="AF9" s="30">
        <f>IF(Dienstplan!AF48="","",Dienstplan!AF48)</f>
        <v/>
      </c>
    </row>
    <row r="10" ht="16" customHeight="1">
      <c r="A10" s="43" t="inlineStr">
        <is>
          <t>Göpfrich</t>
        </is>
      </c>
      <c r="B10" s="18">
        <f>IF(Dienstplan!B49="","",Dienstplan!B49)</f>
        <v/>
      </c>
      <c r="C10" s="18">
        <f>IF(Dienstplan!C49="","",Dienstplan!C49)</f>
        <v/>
      </c>
      <c r="D10" s="18">
        <f>IF(Dienstplan!D49="","",Dienstplan!D49)</f>
        <v/>
      </c>
      <c r="E10" s="18">
        <f>IF(Dienstplan!E49="","",Dienstplan!E49)</f>
        <v/>
      </c>
      <c r="F10" s="18">
        <f>IF(Dienstplan!F49="","",Dienstplan!F49)</f>
        <v/>
      </c>
      <c r="G10" s="17">
        <f>IF(Dienstplan!G49="","",Dienstplan!G49)</f>
        <v/>
      </c>
      <c r="H10" s="17">
        <f>IF(Dienstplan!H49="","",Dienstplan!H49)</f>
        <v/>
      </c>
      <c r="I10" s="18">
        <f>IF(Dienstplan!I49="","",Dienstplan!I49)</f>
        <v/>
      </c>
      <c r="J10" s="18">
        <f>IF(Dienstplan!J49="","",Dienstplan!J49)</f>
        <v/>
      </c>
      <c r="K10" s="18">
        <f>IF(Dienstplan!K49="","",Dienstplan!K49)</f>
        <v/>
      </c>
      <c r="L10" s="18">
        <f>IF(Dienstplan!L49="","",Dienstplan!L49)</f>
        <v/>
      </c>
      <c r="M10" s="18">
        <f>IF(Dienstplan!M49="","",Dienstplan!M49)</f>
        <v/>
      </c>
      <c r="N10" s="17">
        <f>IF(Dienstplan!N49="","",Dienstplan!N49)</f>
        <v/>
      </c>
      <c r="O10" s="17">
        <f>IF(Dienstplan!O49="","",Dienstplan!O49)</f>
        <v/>
      </c>
      <c r="P10" s="18">
        <f>IF(Dienstplan!P49="","",Dienstplan!P49)</f>
        <v/>
      </c>
      <c r="Q10" s="18">
        <f>IF(Dienstplan!Q49="","",Dienstplan!Q49)</f>
        <v/>
      </c>
      <c r="R10" s="18">
        <f>IF(Dienstplan!R49="","",Dienstplan!R49)</f>
        <v/>
      </c>
      <c r="S10" s="18">
        <f>IF(Dienstplan!S49="","",Dienstplan!S49)</f>
        <v/>
      </c>
      <c r="T10" s="18">
        <f>IF(Dienstplan!T49="","",Dienstplan!T49)</f>
        <v/>
      </c>
      <c r="U10" s="17">
        <f>IF(Dienstplan!U49="","",Dienstplan!U49)</f>
        <v/>
      </c>
      <c r="V10" s="17">
        <f>IF(Dienstplan!V49="","",Dienstplan!V49)</f>
        <v/>
      </c>
      <c r="W10" s="18">
        <f>IF(Dienstplan!W49="","",Dienstplan!W49)</f>
        <v/>
      </c>
      <c r="X10" s="18">
        <f>IF(Dienstplan!X49="","",Dienstplan!X49)</f>
        <v/>
      </c>
      <c r="Y10" s="18">
        <f>IF(Dienstplan!Y49="","",Dienstplan!Y49)</f>
        <v/>
      </c>
      <c r="Z10" s="18">
        <f>IF(Dienstplan!Z49="","",Dienstplan!Z49)</f>
        <v/>
      </c>
      <c r="AA10" s="17">
        <f>IF(Dienstplan!AA49="","",Dienstplan!AA49)</f>
        <v/>
      </c>
      <c r="AB10" s="17">
        <f>IF(Dienstplan!AB49="","",Dienstplan!AB49)</f>
        <v/>
      </c>
      <c r="AC10" s="17">
        <f>IF(Dienstplan!AC49="","",Dienstplan!AC49)</f>
        <v/>
      </c>
      <c r="AD10" s="17">
        <f>IF(Dienstplan!AD49="","",Dienstplan!AD49)</f>
        <v/>
      </c>
      <c r="AE10" s="18">
        <f>IF(Dienstplan!AE49="","",Dienstplan!AE49)</f>
        <v/>
      </c>
      <c r="AF10" s="29">
        <f>IF(Dienstplan!AF49="","",Dienstplan!AF49)</f>
        <v/>
      </c>
    </row>
    <row r="11" ht="16" customHeight="1">
      <c r="A11" s="43" t="inlineStr">
        <is>
          <t>Zeller</t>
        </is>
      </c>
      <c r="B11" s="20">
        <f>IF(Dienstplan!B50="","",Dienstplan!B50)</f>
        <v/>
      </c>
      <c r="C11" s="20">
        <f>IF(Dienstplan!C50="","",Dienstplan!C50)</f>
        <v/>
      </c>
      <c r="D11" s="20">
        <f>IF(Dienstplan!D50="","",Dienstplan!D50)</f>
        <v/>
      </c>
      <c r="E11" s="20">
        <f>IF(Dienstplan!E50="","",Dienstplan!E50)</f>
        <v/>
      </c>
      <c r="F11" s="20">
        <f>IF(Dienstplan!F50="","",Dienstplan!F50)</f>
        <v/>
      </c>
      <c r="G11" s="17">
        <f>IF(Dienstplan!G50="","",Dienstplan!G50)</f>
        <v/>
      </c>
      <c r="H11" s="17">
        <f>IF(Dienstplan!H50="","",Dienstplan!H50)</f>
        <v/>
      </c>
      <c r="I11" s="20">
        <f>IF(Dienstplan!I50="","",Dienstplan!I50)</f>
        <v/>
      </c>
      <c r="J11" s="20">
        <f>IF(Dienstplan!J50="","",Dienstplan!J50)</f>
        <v/>
      </c>
      <c r="K11" s="20">
        <f>IF(Dienstplan!K50="","",Dienstplan!K50)</f>
        <v/>
      </c>
      <c r="L11" s="20">
        <f>IF(Dienstplan!L50="","",Dienstplan!L50)</f>
        <v/>
      </c>
      <c r="M11" s="20">
        <f>IF(Dienstplan!M50="","",Dienstplan!M50)</f>
        <v/>
      </c>
      <c r="N11" s="17">
        <f>IF(Dienstplan!N50="","",Dienstplan!N50)</f>
        <v/>
      </c>
      <c r="O11" s="17">
        <f>IF(Dienstplan!O50="","",Dienstplan!O50)</f>
        <v/>
      </c>
      <c r="P11" s="20">
        <f>IF(Dienstplan!P50="","",Dienstplan!P50)</f>
        <v/>
      </c>
      <c r="Q11" s="20">
        <f>IF(Dienstplan!Q50="","",Dienstplan!Q50)</f>
        <v/>
      </c>
      <c r="R11" s="20">
        <f>IF(Dienstplan!R50="","",Dienstplan!R50)</f>
        <v/>
      </c>
      <c r="S11" s="20">
        <f>IF(Dienstplan!S50="","",Dienstplan!S50)</f>
        <v/>
      </c>
      <c r="T11" s="20">
        <f>IF(Dienstplan!T50="","",Dienstplan!T50)</f>
        <v/>
      </c>
      <c r="U11" s="17">
        <f>IF(Dienstplan!U50="","",Dienstplan!U50)</f>
        <v/>
      </c>
      <c r="V11" s="17">
        <f>IF(Dienstplan!V50="","",Dienstplan!V50)</f>
        <v/>
      </c>
      <c r="W11" s="20">
        <f>IF(Dienstplan!W50="","",Dienstplan!W50)</f>
        <v/>
      </c>
      <c r="X11" s="20">
        <f>IF(Dienstplan!X50="","",Dienstplan!X50)</f>
        <v/>
      </c>
      <c r="Y11" s="20">
        <f>IF(Dienstplan!Y50="","",Dienstplan!Y50)</f>
        <v/>
      </c>
      <c r="Z11" s="20">
        <f>IF(Dienstplan!Z50="","",Dienstplan!Z50)</f>
        <v/>
      </c>
      <c r="AA11" s="17">
        <f>IF(Dienstplan!AA50="","",Dienstplan!AA50)</f>
        <v/>
      </c>
      <c r="AB11" s="17">
        <f>IF(Dienstplan!AB50="","",Dienstplan!AB50)</f>
        <v/>
      </c>
      <c r="AC11" s="17">
        <f>IF(Dienstplan!AC50="","",Dienstplan!AC50)</f>
        <v/>
      </c>
      <c r="AD11" s="17">
        <f>IF(Dienstplan!AD50="","",Dienstplan!AD50)</f>
        <v/>
      </c>
      <c r="AE11" s="20">
        <f>IF(Dienstplan!AE50="","",Dienstplan!AE50)</f>
        <v/>
      </c>
      <c r="AF11" s="30">
        <f>IF(Dienstplan!AF50="","",Dienstplan!AF50)</f>
        <v/>
      </c>
    </row>
    <row r="12" ht="16" customHeight="1">
      <c r="A12" s="43" t="inlineStr">
        <is>
          <t>Behrendt</t>
        </is>
      </c>
      <c r="B12" s="18">
        <f>IF(Dienstplan!B51="","",Dienstplan!B51)</f>
        <v/>
      </c>
      <c r="C12" s="18">
        <f>IF(Dienstplan!C51="","",Dienstplan!C51)</f>
        <v/>
      </c>
      <c r="D12" s="18">
        <f>IF(Dienstplan!D51="","",Dienstplan!D51)</f>
        <v/>
      </c>
      <c r="E12" s="18">
        <f>IF(Dienstplan!E51="","",Dienstplan!E51)</f>
        <v/>
      </c>
      <c r="F12" s="18">
        <f>IF(Dienstplan!F51="","",Dienstplan!F51)</f>
        <v/>
      </c>
      <c r="G12" s="17">
        <f>IF(Dienstplan!G51="","",Dienstplan!G51)</f>
        <v/>
      </c>
      <c r="H12" s="17">
        <f>IF(Dienstplan!H51="","",Dienstplan!H51)</f>
        <v/>
      </c>
      <c r="I12" s="18">
        <f>IF(Dienstplan!I51="","",Dienstplan!I51)</f>
        <v/>
      </c>
      <c r="J12" s="18">
        <f>IF(Dienstplan!J51="","",Dienstplan!J51)</f>
        <v/>
      </c>
      <c r="K12" s="18">
        <f>IF(Dienstplan!K51="","",Dienstplan!K51)</f>
        <v/>
      </c>
      <c r="L12" s="18">
        <f>IF(Dienstplan!L51="","",Dienstplan!L51)</f>
        <v/>
      </c>
      <c r="M12" s="18">
        <f>IF(Dienstplan!M51="","",Dienstplan!M51)</f>
        <v/>
      </c>
      <c r="N12" s="17">
        <f>IF(Dienstplan!N51="","",Dienstplan!N51)</f>
        <v/>
      </c>
      <c r="O12" s="17">
        <f>IF(Dienstplan!O51="","",Dienstplan!O51)</f>
        <v/>
      </c>
      <c r="P12" s="18">
        <f>IF(Dienstplan!P51="","",Dienstplan!P51)</f>
        <v/>
      </c>
      <c r="Q12" s="18">
        <f>IF(Dienstplan!Q51="","",Dienstplan!Q51)</f>
        <v/>
      </c>
      <c r="R12" s="18">
        <f>IF(Dienstplan!R51="","",Dienstplan!R51)</f>
        <v/>
      </c>
      <c r="S12" s="18">
        <f>IF(Dienstplan!S51="","",Dienstplan!S51)</f>
        <v/>
      </c>
      <c r="T12" s="18">
        <f>IF(Dienstplan!T51="","",Dienstplan!T51)</f>
        <v/>
      </c>
      <c r="U12" s="17">
        <f>IF(Dienstplan!U51="","",Dienstplan!U51)</f>
        <v/>
      </c>
      <c r="V12" s="17">
        <f>IF(Dienstplan!V51="","",Dienstplan!V51)</f>
        <v/>
      </c>
      <c r="W12" s="18">
        <f>IF(Dienstplan!W51="","",Dienstplan!W51)</f>
        <v/>
      </c>
      <c r="X12" s="18">
        <f>IF(Dienstplan!X51="","",Dienstplan!X51)</f>
        <v/>
      </c>
      <c r="Y12" s="18">
        <f>IF(Dienstplan!Y51="","",Dienstplan!Y51)</f>
        <v/>
      </c>
      <c r="Z12" s="18">
        <f>IF(Dienstplan!Z51="","",Dienstplan!Z51)</f>
        <v/>
      </c>
      <c r="AA12" s="17">
        <f>IF(Dienstplan!AA51="","",Dienstplan!AA51)</f>
        <v/>
      </c>
      <c r="AB12" s="17">
        <f>IF(Dienstplan!AB51="","",Dienstplan!AB51)</f>
        <v/>
      </c>
      <c r="AC12" s="17">
        <f>IF(Dienstplan!AC51="","",Dienstplan!AC51)</f>
        <v/>
      </c>
      <c r="AD12" s="17">
        <f>IF(Dienstplan!AD51="","",Dienstplan!AD51)</f>
        <v/>
      </c>
      <c r="AE12" s="18">
        <f>IF(Dienstplan!AE51="","",Dienstplan!AE51)</f>
        <v/>
      </c>
      <c r="AF12" s="29">
        <f>IF(Dienstplan!AF51="","",Dienstplan!AF51)</f>
        <v/>
      </c>
    </row>
    <row r="13" ht="16" customHeight="1">
      <c r="A13" s="43" t="inlineStr">
        <is>
          <t>Krempl</t>
        </is>
      </c>
      <c r="B13" s="20">
        <f>IF(Dienstplan!B52="","",Dienstplan!B52)</f>
        <v/>
      </c>
      <c r="C13" s="20">
        <f>IF(Dienstplan!C52="","",Dienstplan!C52)</f>
        <v/>
      </c>
      <c r="D13" s="20">
        <f>IF(Dienstplan!D52="","",Dienstplan!D52)</f>
        <v/>
      </c>
      <c r="E13" s="20">
        <f>IF(Dienstplan!E52="","",Dienstplan!E52)</f>
        <v/>
      </c>
      <c r="F13" s="20">
        <f>IF(Dienstplan!F52="","",Dienstplan!F52)</f>
        <v/>
      </c>
      <c r="G13" s="17">
        <f>IF(Dienstplan!G52="","",Dienstplan!G52)</f>
        <v/>
      </c>
      <c r="H13" s="17">
        <f>IF(Dienstplan!H52="","",Dienstplan!H52)</f>
        <v/>
      </c>
      <c r="I13" s="20">
        <f>IF(Dienstplan!I52="","",Dienstplan!I52)</f>
        <v/>
      </c>
      <c r="J13" s="20">
        <f>IF(Dienstplan!J52="","",Dienstplan!J52)</f>
        <v/>
      </c>
      <c r="K13" s="20">
        <f>IF(Dienstplan!K52="","",Dienstplan!K52)</f>
        <v/>
      </c>
      <c r="L13" s="20">
        <f>IF(Dienstplan!L52="","",Dienstplan!L52)</f>
        <v/>
      </c>
      <c r="M13" s="20">
        <f>IF(Dienstplan!M52="","",Dienstplan!M52)</f>
        <v/>
      </c>
      <c r="N13" s="17">
        <f>IF(Dienstplan!N52="","",Dienstplan!N52)</f>
        <v/>
      </c>
      <c r="O13" s="17">
        <f>IF(Dienstplan!O52="","",Dienstplan!O52)</f>
        <v/>
      </c>
      <c r="P13" s="20">
        <f>IF(Dienstplan!P52="","",Dienstplan!P52)</f>
        <v/>
      </c>
      <c r="Q13" s="20">
        <f>IF(Dienstplan!Q52="","",Dienstplan!Q52)</f>
        <v/>
      </c>
      <c r="R13" s="20">
        <f>IF(Dienstplan!R52="","",Dienstplan!R52)</f>
        <v/>
      </c>
      <c r="S13" s="20">
        <f>IF(Dienstplan!S52="","",Dienstplan!S52)</f>
        <v/>
      </c>
      <c r="T13" s="20">
        <f>IF(Dienstplan!T52="","",Dienstplan!T52)</f>
        <v/>
      </c>
      <c r="U13" s="17">
        <f>IF(Dienstplan!U52="","",Dienstplan!U52)</f>
        <v/>
      </c>
      <c r="V13" s="17">
        <f>IF(Dienstplan!V52="","",Dienstplan!V52)</f>
        <v/>
      </c>
      <c r="W13" s="20">
        <f>IF(Dienstplan!W52="","",Dienstplan!W52)</f>
        <v/>
      </c>
      <c r="X13" s="20">
        <f>IF(Dienstplan!X52="","",Dienstplan!X52)</f>
        <v/>
      </c>
      <c r="Y13" s="20">
        <f>IF(Dienstplan!Y52="","",Dienstplan!Y52)</f>
        <v/>
      </c>
      <c r="Z13" s="20">
        <f>IF(Dienstplan!Z52="","",Dienstplan!Z52)</f>
        <v/>
      </c>
      <c r="AA13" s="17">
        <f>IF(Dienstplan!AA52="","",Dienstplan!AA52)</f>
        <v/>
      </c>
      <c r="AB13" s="17">
        <f>IF(Dienstplan!AB52="","",Dienstplan!AB52)</f>
        <v/>
      </c>
      <c r="AC13" s="17">
        <f>IF(Dienstplan!AC52="","",Dienstplan!AC52)</f>
        <v/>
      </c>
      <c r="AD13" s="17">
        <f>IF(Dienstplan!AD52="","",Dienstplan!AD52)</f>
        <v/>
      </c>
      <c r="AE13" s="20">
        <f>IF(Dienstplan!AE52="","",Dienstplan!AE52)</f>
        <v/>
      </c>
      <c r="AF13" s="30">
        <f>IF(Dienstplan!AF52="","",Dienstplan!AF52)</f>
        <v/>
      </c>
    </row>
    <row r="14" ht="16" customHeight="1">
      <c r="A14" s="43" t="inlineStr">
        <is>
          <t>Putschler</t>
        </is>
      </c>
      <c r="B14" s="18">
        <f>IF(Dienstplan!B53="","",Dienstplan!B53)</f>
        <v/>
      </c>
      <c r="C14" s="18">
        <f>IF(Dienstplan!C53="","",Dienstplan!C53)</f>
        <v/>
      </c>
      <c r="D14" s="18">
        <f>IF(Dienstplan!D53="","",Dienstplan!D53)</f>
        <v/>
      </c>
      <c r="E14" s="18">
        <f>IF(Dienstplan!E53="","",Dienstplan!E53)</f>
        <v/>
      </c>
      <c r="F14" s="18">
        <f>IF(Dienstplan!F53="","",Dienstplan!F53)</f>
        <v/>
      </c>
      <c r="G14" s="17">
        <f>IF(Dienstplan!G53="","",Dienstplan!G53)</f>
        <v/>
      </c>
      <c r="H14" s="17">
        <f>IF(Dienstplan!H53="","",Dienstplan!H53)</f>
        <v/>
      </c>
      <c r="I14" s="18">
        <f>IF(Dienstplan!I53="","",Dienstplan!I53)</f>
        <v/>
      </c>
      <c r="J14" s="18">
        <f>IF(Dienstplan!J53="","",Dienstplan!J53)</f>
        <v/>
      </c>
      <c r="K14" s="18">
        <f>IF(Dienstplan!K53="","",Dienstplan!K53)</f>
        <v/>
      </c>
      <c r="L14" s="18">
        <f>IF(Dienstplan!L53="","",Dienstplan!L53)</f>
        <v/>
      </c>
      <c r="M14" s="18">
        <f>IF(Dienstplan!M53="","",Dienstplan!M53)</f>
        <v/>
      </c>
      <c r="N14" s="17">
        <f>IF(Dienstplan!N53="","",Dienstplan!N53)</f>
        <v/>
      </c>
      <c r="O14" s="17">
        <f>IF(Dienstplan!O53="","",Dienstplan!O53)</f>
        <v/>
      </c>
      <c r="P14" s="18">
        <f>IF(Dienstplan!P53="","",Dienstplan!P53)</f>
        <v/>
      </c>
      <c r="Q14" s="18">
        <f>IF(Dienstplan!Q53="","",Dienstplan!Q53)</f>
        <v/>
      </c>
      <c r="R14" s="18">
        <f>IF(Dienstplan!R53="","",Dienstplan!R53)</f>
        <v/>
      </c>
      <c r="S14" s="18">
        <f>IF(Dienstplan!S53="","",Dienstplan!S53)</f>
        <v/>
      </c>
      <c r="T14" s="18">
        <f>IF(Dienstplan!T53="","",Dienstplan!T53)</f>
        <v/>
      </c>
      <c r="U14" s="17">
        <f>IF(Dienstplan!U53="","",Dienstplan!U53)</f>
        <v/>
      </c>
      <c r="V14" s="17">
        <f>IF(Dienstplan!V53="","",Dienstplan!V53)</f>
        <v/>
      </c>
      <c r="W14" s="18">
        <f>IF(Dienstplan!W53="","",Dienstplan!W53)</f>
        <v/>
      </c>
      <c r="X14" s="18">
        <f>IF(Dienstplan!X53="","",Dienstplan!X53)</f>
        <v/>
      </c>
      <c r="Y14" s="18">
        <f>IF(Dienstplan!Y53="","",Dienstplan!Y53)</f>
        <v/>
      </c>
      <c r="Z14" s="18">
        <f>IF(Dienstplan!Z53="","",Dienstplan!Z53)</f>
        <v/>
      </c>
      <c r="AA14" s="17">
        <f>IF(Dienstplan!AA53="","",Dienstplan!AA53)</f>
        <v/>
      </c>
      <c r="AB14" s="17">
        <f>IF(Dienstplan!AB53="","",Dienstplan!AB53)</f>
        <v/>
      </c>
      <c r="AC14" s="17">
        <f>IF(Dienstplan!AC53="","",Dienstplan!AC53)</f>
        <v/>
      </c>
      <c r="AD14" s="17">
        <f>IF(Dienstplan!AD53="","",Dienstplan!AD53)</f>
        <v/>
      </c>
      <c r="AE14" s="18">
        <f>IF(Dienstplan!AE53="","",Dienstplan!AE53)</f>
        <v/>
      </c>
      <c r="AF14" s="29">
        <f>IF(Dienstplan!AF53="","",Dienstplan!AF53)</f>
        <v/>
      </c>
    </row>
    <row r="15" ht="16" customHeight="1">
      <c r="A15" s="43" t="inlineStr">
        <is>
          <t>Kunz</t>
        </is>
      </c>
      <c r="B15" s="20">
        <f>IF(Dienstplan!B54="","",Dienstplan!B54)</f>
        <v/>
      </c>
      <c r="C15" s="20">
        <f>IF(Dienstplan!C54="","",Dienstplan!C54)</f>
        <v/>
      </c>
      <c r="D15" s="20">
        <f>IF(Dienstplan!D54="","",Dienstplan!D54)</f>
        <v/>
      </c>
      <c r="E15" s="20">
        <f>IF(Dienstplan!E54="","",Dienstplan!E54)</f>
        <v/>
      </c>
      <c r="F15" s="20">
        <f>IF(Dienstplan!F54="","",Dienstplan!F54)</f>
        <v/>
      </c>
      <c r="G15" s="17">
        <f>IF(Dienstplan!G54="","",Dienstplan!G54)</f>
        <v/>
      </c>
      <c r="H15" s="17">
        <f>IF(Dienstplan!H54="","",Dienstplan!H54)</f>
        <v/>
      </c>
      <c r="I15" s="20">
        <f>IF(Dienstplan!I54="","",Dienstplan!I54)</f>
        <v/>
      </c>
      <c r="J15" s="20">
        <f>IF(Dienstplan!J54="","",Dienstplan!J54)</f>
        <v/>
      </c>
      <c r="K15" s="20">
        <f>IF(Dienstplan!K54="","",Dienstplan!K54)</f>
        <v/>
      </c>
      <c r="L15" s="20">
        <f>IF(Dienstplan!L54="","",Dienstplan!L54)</f>
        <v/>
      </c>
      <c r="M15" s="20">
        <f>IF(Dienstplan!M54="","",Dienstplan!M54)</f>
        <v/>
      </c>
      <c r="N15" s="17">
        <f>IF(Dienstplan!N54="","",Dienstplan!N54)</f>
        <v/>
      </c>
      <c r="O15" s="17">
        <f>IF(Dienstplan!O54="","",Dienstplan!O54)</f>
        <v/>
      </c>
      <c r="P15" s="20">
        <f>IF(Dienstplan!P54="","",Dienstplan!P54)</f>
        <v/>
      </c>
      <c r="Q15" s="20">
        <f>IF(Dienstplan!Q54="","",Dienstplan!Q54)</f>
        <v/>
      </c>
      <c r="R15" s="20">
        <f>IF(Dienstplan!R54="","",Dienstplan!R54)</f>
        <v/>
      </c>
      <c r="S15" s="20">
        <f>IF(Dienstplan!S54="","",Dienstplan!S54)</f>
        <v/>
      </c>
      <c r="T15" s="20">
        <f>IF(Dienstplan!T54="","",Dienstplan!T54)</f>
        <v/>
      </c>
      <c r="U15" s="17">
        <f>IF(Dienstplan!U54="","",Dienstplan!U54)</f>
        <v/>
      </c>
      <c r="V15" s="17">
        <f>IF(Dienstplan!V54="","",Dienstplan!V54)</f>
        <v/>
      </c>
      <c r="W15" s="20">
        <f>IF(Dienstplan!W54="","",Dienstplan!W54)</f>
        <v/>
      </c>
      <c r="X15" s="20">
        <f>IF(Dienstplan!X54="","",Dienstplan!X54)</f>
        <v/>
      </c>
      <c r="Y15" s="20">
        <f>IF(Dienstplan!Y54="","",Dienstplan!Y54)</f>
        <v/>
      </c>
      <c r="Z15" s="20">
        <f>IF(Dienstplan!Z54="","",Dienstplan!Z54)</f>
        <v/>
      </c>
      <c r="AA15" s="17">
        <f>IF(Dienstplan!AA54="","",Dienstplan!AA54)</f>
        <v/>
      </c>
      <c r="AB15" s="17">
        <f>IF(Dienstplan!AB54="","",Dienstplan!AB54)</f>
        <v/>
      </c>
      <c r="AC15" s="17">
        <f>IF(Dienstplan!AC54="","",Dienstplan!AC54)</f>
        <v/>
      </c>
      <c r="AD15" s="17">
        <f>IF(Dienstplan!AD54="","",Dienstplan!AD54)</f>
        <v/>
      </c>
      <c r="AE15" s="20">
        <f>IF(Dienstplan!AE54="","",Dienstplan!AE54)</f>
        <v/>
      </c>
      <c r="AF15" s="30">
        <f>IF(Dienstplan!AF54="","",Dienstplan!AF54)</f>
        <v/>
      </c>
    </row>
    <row r="16" hidden="1" ht="16" customHeight="1">
      <c r="A16" s="44" t="inlineStr">
        <is>
          <t>Schmidt</t>
        </is>
      </c>
      <c r="B16" s="18">
        <f>IF(Dienstplan!B55="","",Dienstplan!B55)</f>
        <v/>
      </c>
      <c r="C16" s="18">
        <f>IF(Dienstplan!C55="","",Dienstplan!C55)</f>
        <v/>
      </c>
      <c r="D16" s="18">
        <f>IF(Dienstplan!D55="","",Dienstplan!D55)</f>
        <v/>
      </c>
      <c r="E16" s="18">
        <f>IF(Dienstplan!E55="","",Dienstplan!E55)</f>
        <v/>
      </c>
      <c r="F16" s="18">
        <f>IF(Dienstplan!F55="","",Dienstplan!F55)</f>
        <v/>
      </c>
      <c r="G16" s="17">
        <f>IF(Dienstplan!G55="","",Dienstplan!G55)</f>
        <v/>
      </c>
      <c r="H16" s="17">
        <f>IF(Dienstplan!H55="","",Dienstplan!H55)</f>
        <v/>
      </c>
      <c r="I16" s="18">
        <f>IF(Dienstplan!I55="","",Dienstplan!I55)</f>
        <v/>
      </c>
      <c r="J16" s="18">
        <f>IF(Dienstplan!J55="","",Dienstplan!J55)</f>
        <v/>
      </c>
      <c r="K16" s="18">
        <f>IF(Dienstplan!K55="","",Dienstplan!K55)</f>
        <v/>
      </c>
      <c r="L16" s="18">
        <f>IF(Dienstplan!L55="","",Dienstplan!L55)</f>
        <v/>
      </c>
      <c r="M16" s="18">
        <f>IF(Dienstplan!M55="","",Dienstplan!M55)</f>
        <v/>
      </c>
      <c r="N16" s="17">
        <f>IF(Dienstplan!N55="","",Dienstplan!N55)</f>
        <v/>
      </c>
      <c r="O16" s="17">
        <f>IF(Dienstplan!O55="","",Dienstplan!O55)</f>
        <v/>
      </c>
      <c r="P16" s="18">
        <f>IF(Dienstplan!P55="","",Dienstplan!P55)</f>
        <v/>
      </c>
      <c r="Q16" s="18">
        <f>IF(Dienstplan!Q55="","",Dienstplan!Q55)</f>
        <v/>
      </c>
      <c r="R16" s="18">
        <f>IF(Dienstplan!R55="","",Dienstplan!R55)</f>
        <v/>
      </c>
      <c r="S16" s="18">
        <f>IF(Dienstplan!S55="","",Dienstplan!S55)</f>
        <v/>
      </c>
      <c r="T16" s="18">
        <f>IF(Dienstplan!T55="","",Dienstplan!T55)</f>
        <v/>
      </c>
      <c r="U16" s="17">
        <f>IF(Dienstplan!U55="","",Dienstplan!U55)</f>
        <v/>
      </c>
      <c r="V16" s="17">
        <f>IF(Dienstplan!V55="","",Dienstplan!V55)</f>
        <v/>
      </c>
      <c r="W16" s="18">
        <f>IF(Dienstplan!W55="","",Dienstplan!W55)</f>
        <v/>
      </c>
      <c r="X16" s="18">
        <f>IF(Dienstplan!X55="","",Dienstplan!X55)</f>
        <v/>
      </c>
      <c r="Y16" s="18">
        <f>IF(Dienstplan!Y55="","",Dienstplan!Y55)</f>
        <v/>
      </c>
      <c r="Z16" s="18">
        <f>IF(Dienstplan!Z55="","",Dienstplan!Z55)</f>
        <v/>
      </c>
      <c r="AA16" s="17">
        <f>IF(Dienstplan!AA55="","",Dienstplan!AA55)</f>
        <v/>
      </c>
      <c r="AB16" s="17">
        <f>IF(Dienstplan!AB55="","",Dienstplan!AB55)</f>
        <v/>
      </c>
      <c r="AC16" s="17">
        <f>IF(Dienstplan!AC55="","",Dienstplan!AC55)</f>
        <v/>
      </c>
      <c r="AD16" s="17">
        <f>IF(Dienstplan!AD55="","",Dienstplan!AD55)</f>
        <v/>
      </c>
      <c r="AE16" s="18">
        <f>IF(Dienstplan!AE55="","",Dienstplan!AE55)</f>
        <v/>
      </c>
      <c r="AF16" s="29">
        <f>IF(Dienstplan!AF55="","",Dienstplan!AF55)</f>
        <v/>
      </c>
    </row>
    <row r="17" hidden="1" ht="16" customHeight="1">
      <c r="A17" s="44" t="inlineStr">
        <is>
          <t>Radimersky</t>
        </is>
      </c>
      <c r="B17" s="20">
        <f>IF(Dienstplan!B56="","",Dienstplan!B56)</f>
        <v/>
      </c>
      <c r="C17" s="20">
        <f>IF(Dienstplan!C56="","",Dienstplan!C56)</f>
        <v/>
      </c>
      <c r="D17" s="20">
        <f>IF(Dienstplan!D56="","",Dienstplan!D56)</f>
        <v/>
      </c>
      <c r="E17" s="20">
        <f>IF(Dienstplan!E56="","",Dienstplan!E56)</f>
        <v/>
      </c>
      <c r="F17" s="20">
        <f>IF(Dienstplan!F56="","",Dienstplan!F56)</f>
        <v/>
      </c>
      <c r="G17" s="17">
        <f>IF(Dienstplan!G56="","",Dienstplan!G56)</f>
        <v/>
      </c>
      <c r="H17" s="17">
        <f>IF(Dienstplan!H56="","",Dienstplan!H56)</f>
        <v/>
      </c>
      <c r="I17" s="20">
        <f>IF(Dienstplan!I56="","",Dienstplan!I56)</f>
        <v/>
      </c>
      <c r="J17" s="20">
        <f>IF(Dienstplan!J56="","",Dienstplan!J56)</f>
        <v/>
      </c>
      <c r="K17" s="20">
        <f>IF(Dienstplan!K56="","",Dienstplan!K56)</f>
        <v/>
      </c>
      <c r="L17" s="20">
        <f>IF(Dienstplan!L56="","",Dienstplan!L56)</f>
        <v/>
      </c>
      <c r="M17" s="20">
        <f>IF(Dienstplan!M56="","",Dienstplan!M56)</f>
        <v/>
      </c>
      <c r="N17" s="17">
        <f>IF(Dienstplan!N56="","",Dienstplan!N56)</f>
        <v/>
      </c>
      <c r="O17" s="17">
        <f>IF(Dienstplan!O56="","",Dienstplan!O56)</f>
        <v/>
      </c>
      <c r="P17" s="20">
        <f>IF(Dienstplan!P56="","",Dienstplan!P56)</f>
        <v/>
      </c>
      <c r="Q17" s="20">
        <f>IF(Dienstplan!Q56="","",Dienstplan!Q56)</f>
        <v/>
      </c>
      <c r="R17" s="20">
        <f>IF(Dienstplan!R56="","",Dienstplan!R56)</f>
        <v/>
      </c>
      <c r="S17" s="20">
        <f>IF(Dienstplan!S56="","",Dienstplan!S56)</f>
        <v/>
      </c>
      <c r="T17" s="20">
        <f>IF(Dienstplan!T56="","",Dienstplan!T56)</f>
        <v/>
      </c>
      <c r="U17" s="17">
        <f>IF(Dienstplan!U56="","",Dienstplan!U56)</f>
        <v/>
      </c>
      <c r="V17" s="17">
        <f>IF(Dienstplan!V56="","",Dienstplan!V56)</f>
        <v/>
      </c>
      <c r="W17" s="20">
        <f>IF(Dienstplan!W56="","",Dienstplan!W56)</f>
        <v/>
      </c>
      <c r="X17" s="20">
        <f>IF(Dienstplan!X56="","",Dienstplan!X56)</f>
        <v/>
      </c>
      <c r="Y17" s="20">
        <f>IF(Dienstplan!Y56="","",Dienstplan!Y56)</f>
        <v/>
      </c>
      <c r="Z17" s="20">
        <f>IF(Dienstplan!Z56="","",Dienstplan!Z56)</f>
        <v/>
      </c>
      <c r="AA17" s="17">
        <f>IF(Dienstplan!AA56="","",Dienstplan!AA56)</f>
        <v/>
      </c>
      <c r="AB17" s="17">
        <f>IF(Dienstplan!AB56="","",Dienstplan!AB56)</f>
        <v/>
      </c>
      <c r="AC17" s="17">
        <f>IF(Dienstplan!AC56="","",Dienstplan!AC56)</f>
        <v/>
      </c>
      <c r="AD17" s="17">
        <f>IF(Dienstplan!AD56="","",Dienstplan!AD56)</f>
        <v/>
      </c>
      <c r="AE17" s="20">
        <f>IF(Dienstplan!AE56="","",Dienstplan!AE56)</f>
        <v/>
      </c>
      <c r="AF17" s="30">
        <f>IF(Dienstplan!AF56="","",Dienstplan!AF56)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IF(AND(COUNTIF(B6:B17,"FI")&gt;0,COUNTIF(B6:B17,"SI")&gt;0,COUNTIF(B6:B17,"NI")&gt;0),"","!")</f>
        <v/>
      </c>
      <c r="C18" s="23">
        <f>IF(AND(COUNTIF(C6:C17,"FI")&gt;0,COUNTIF(C6:C17,"SI")&gt;0,COUNTIF(C6:C17,"NI")&gt;0),"","!")</f>
        <v/>
      </c>
      <c r="D18" s="23">
        <f>IF(AND(COUNTIF(D6:D17,"FI")&gt;0,COUNTIF(D6:D17,"SI")&gt;0,COUNTIF(D6:D17,"NI")&gt;0),"","!")</f>
        <v/>
      </c>
      <c r="E18" s="23">
        <f>IF(AND(COUNTIF(E6:E17,"FI")&gt;0,COUNTIF(E6:E17,"SI")&gt;0,COUNTIF(E6:E17,"NI")&gt;0),"","!")</f>
        <v/>
      </c>
      <c r="F18" s="23">
        <f>IF(AND(COUNTIF(F6:F17,"FI")&gt;0,COUNTIF(F6:F17,"SI")&gt;0),"","!")</f>
        <v/>
      </c>
      <c r="G18" s="22" t="n"/>
      <c r="H18" s="22" t="n"/>
      <c r="I18" s="23">
        <f>IF(AND(COUNTIF(I6:I17,"FI")&gt;0,COUNTIF(I6:I17,"SI")&gt;0,COUNTIF(I6:I17,"NI")&gt;0),"","!")</f>
        <v/>
      </c>
      <c r="J18" s="23">
        <f>IF(AND(COUNTIF(J6:J17,"FI")&gt;0,COUNTIF(J6:J17,"SI")&gt;0,COUNTIF(J6:J17,"NI")&gt;0),"","!")</f>
        <v/>
      </c>
      <c r="K18" s="23">
        <f>IF(AND(COUNTIF(K6:K17,"FI")&gt;0,COUNTIF(K6:K17,"SI")&gt;0,COUNTIF(K6:K17,"NI")&gt;0),"","!")</f>
        <v/>
      </c>
      <c r="L18" s="23">
        <f>IF(AND(COUNTIF(L6:L17,"FI")&gt;0,COUNTIF(L6:L17,"SI")&gt;0,COUNTIF(L6:L17,"NI")&gt;0),"","!")</f>
        <v/>
      </c>
      <c r="M18" s="23">
        <f>IF(AND(COUNTIF(M6:M17,"FI")&gt;0,COUNTIF(M6:M17,"SI")&gt;0),"","!")</f>
        <v/>
      </c>
      <c r="N18" s="22" t="n"/>
      <c r="O18" s="22" t="n"/>
      <c r="P18" s="23">
        <f>IF(AND(COUNTIF(P6:P17,"FI")&gt;0,COUNTIF(P6:P17,"SI")&gt;0,COUNTIF(P6:P17,"NI")&gt;0),"","!")</f>
        <v/>
      </c>
      <c r="Q18" s="23">
        <f>IF(AND(COUNTIF(Q6:Q17,"FI")&gt;0,COUNTIF(Q6:Q17,"SI")&gt;0,COUNTIF(Q6:Q17,"NI")&gt;0),"","!")</f>
        <v/>
      </c>
      <c r="R18" s="23">
        <f>IF(AND(COUNTIF(R6:R17,"FI")&gt;0,COUNTIF(R6:R17,"SI")&gt;0,COUNTIF(R6:R17,"NI")&gt;0),"","!")</f>
        <v/>
      </c>
      <c r="S18" s="23">
        <f>IF(AND(COUNTIF(S6:S17,"FI")&gt;0,COUNTIF(S6:S17,"SI")&gt;0,COUNTIF(S6:S17,"NI")&gt;0),"","!")</f>
        <v/>
      </c>
      <c r="T18" s="23">
        <f>IF(AND(COUNTIF(T6:T17,"FI")&gt;0,COUNTIF(T6:T17,"SI")&gt;0),"","!")</f>
        <v/>
      </c>
      <c r="U18" s="22" t="n"/>
      <c r="V18" s="22" t="n"/>
      <c r="W18" s="23">
        <f>IF(AND(COUNTIF(W6:W17,"FI")&gt;0,COUNTIF(W6:W17,"SI")&gt;0,COUNTIF(W6:W17,"NI")&gt;0),"","!")</f>
        <v/>
      </c>
      <c r="X18" s="23">
        <f>IF(AND(COUNTIF(X6:X17,"FI")&gt;0,COUNTIF(X6:X17,"SI")&gt;0,COUNTIF(X6:X17,"NI")&gt;0),"","!")</f>
        <v/>
      </c>
      <c r="Y18" s="23">
        <f>IF(AND(COUNTIF(Y6:Y17,"FI")&gt;0,COUNTIF(Y6:Y17,"SI")&gt;0,COUNTIF(Y6:Y17,"NI")&gt;0),"","!")</f>
        <v/>
      </c>
      <c r="Z18" s="23">
        <f>IF(AND(COUNTIF(Z6:Z17,"FI")&gt;0,COUNTIF(Z6:Z17,"SI")&gt;0,COUNTIF(Z6:Z17,"NI")&gt;0),"","!")</f>
        <v/>
      </c>
      <c r="AA18" s="22" t="n"/>
      <c r="AB18" s="22" t="n"/>
      <c r="AC18" s="22" t="n"/>
      <c r="AD18" s="22" t="n"/>
      <c r="AE18" s="23">
        <f>IF(AND(COUNTIF(AE6:AE17,"FI")&gt;0,COUNTIF(AE6:AE17,"SI")&gt;0,COUNTIF(AE6:AE17,"NI")&gt;0),"","!")</f>
        <v/>
      </c>
      <c r="AF18" s="31">
        <f>IF(AND(COUNTIF(AF6:AF17,"FI")&gt;0,COUNTIF(AF6:AF17,"SI")&gt;0,COUNTIF(AF6:AF17,"NI")&gt;0),"","!")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AB2:AF2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F18">
    <cfRule type="cellIs" priority="1" operator="equal" dxfId="5" stopIfTrue="1">
      <formula>"!"</formula>
    </cfRule>
  </conditionalFormatting>
  <conditionalFormatting sqref="B6:AF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April 2027</t>
        </is>
      </c>
      <c r="AB1" s="33" t="inlineStr">
        <is>
          <t>AT: 22   Sa: 4</t>
        </is>
      </c>
    </row>
    <row r="2">
      <c r="B2" s="25" t="inlineStr">
        <is>
          <t>Osterferien</t>
        </is>
      </c>
    </row>
    <row r="3" ht="18" customHeight="1">
      <c r="A3" s="34" t="inlineStr">
        <is>
          <t>Tag</t>
        </is>
      </c>
      <c r="B3" s="36" t="n">
        <v>1</v>
      </c>
      <c r="C3" s="36" t="n">
        <v>2</v>
      </c>
      <c r="D3" s="35" t="n">
        <v>3</v>
      </c>
      <c r="E3" s="35" t="n">
        <v>4</v>
      </c>
      <c r="F3" s="36" t="n">
        <v>5</v>
      </c>
      <c r="G3" s="36" t="n">
        <v>6</v>
      </c>
      <c r="H3" s="36" t="n">
        <v>7</v>
      </c>
      <c r="I3" s="36" t="n">
        <v>8</v>
      </c>
      <c r="J3" s="36" t="n">
        <v>9</v>
      </c>
      <c r="K3" s="35" t="n">
        <v>10</v>
      </c>
      <c r="L3" s="35" t="n">
        <v>11</v>
      </c>
      <c r="M3" s="36" t="n">
        <v>12</v>
      </c>
      <c r="N3" s="36" t="n">
        <v>13</v>
      </c>
      <c r="O3" s="36" t="n">
        <v>14</v>
      </c>
      <c r="P3" s="36" t="n">
        <v>15</v>
      </c>
      <c r="Q3" s="36" t="n">
        <v>16</v>
      </c>
      <c r="R3" s="35" t="n">
        <v>17</v>
      </c>
      <c r="S3" s="35" t="n">
        <v>18</v>
      </c>
      <c r="T3" s="36" t="n">
        <v>19</v>
      </c>
      <c r="U3" s="36" t="n">
        <v>20</v>
      </c>
      <c r="V3" s="36" t="n">
        <v>21</v>
      </c>
      <c r="W3" s="36" t="n">
        <v>22</v>
      </c>
      <c r="X3" s="36" t="n">
        <v>23</v>
      </c>
      <c r="Y3" s="35" t="n">
        <v>24</v>
      </c>
      <c r="Z3" s="35" t="n">
        <v>25</v>
      </c>
      <c r="AA3" s="36" t="n">
        <v>26</v>
      </c>
      <c r="AB3" s="36" t="n">
        <v>27</v>
      </c>
      <c r="AC3" s="36" t="n">
        <v>28</v>
      </c>
      <c r="AD3" s="36" t="n">
        <v>29</v>
      </c>
      <c r="AE3" s="65" t="n">
        <v>30</v>
      </c>
    </row>
    <row r="4" ht="18" customHeight="1">
      <c r="A4" s="9" t="inlineStr">
        <is>
          <t>WT</t>
        </is>
      </c>
      <c r="B4" s="14" t="inlineStr">
        <is>
          <t>Do</t>
        </is>
      </c>
      <c r="C4" s="14" t="inlineStr">
        <is>
          <t>Fr</t>
        </is>
      </c>
      <c r="D4" s="13" t="inlineStr">
        <is>
          <t>Sa</t>
        </is>
      </c>
      <c r="E4" s="13" t="inlineStr">
        <is>
          <t>So</t>
        </is>
      </c>
      <c r="F4" s="14" t="inlineStr">
        <is>
          <t>Mo</t>
        </is>
      </c>
      <c r="G4" s="14" t="inlineStr">
        <is>
          <t>Di</t>
        </is>
      </c>
      <c r="H4" s="14" t="inlineStr">
        <is>
          <t>Mi</t>
        </is>
      </c>
      <c r="I4" s="14" t="inlineStr">
        <is>
          <t>Do</t>
        </is>
      </c>
      <c r="J4" s="14" t="inlineStr">
        <is>
          <t>Fr</t>
        </is>
      </c>
      <c r="K4" s="13" t="inlineStr">
        <is>
          <t>Sa</t>
        </is>
      </c>
      <c r="L4" s="13" t="inlineStr">
        <is>
          <t>So</t>
        </is>
      </c>
      <c r="M4" s="14" t="inlineStr">
        <is>
          <t>Mo</t>
        </is>
      </c>
      <c r="N4" s="14" t="inlineStr">
        <is>
          <t>Di</t>
        </is>
      </c>
      <c r="O4" s="14" t="inlineStr">
        <is>
          <t>Mi</t>
        </is>
      </c>
      <c r="P4" s="14" t="inlineStr">
        <is>
          <t>Do</t>
        </is>
      </c>
      <c r="Q4" s="14" t="inlineStr">
        <is>
          <t>Fr</t>
        </is>
      </c>
      <c r="R4" s="13" t="inlineStr">
        <is>
          <t>Sa</t>
        </is>
      </c>
      <c r="S4" s="13" t="inlineStr">
        <is>
          <t>So</t>
        </is>
      </c>
      <c r="T4" s="14" t="inlineStr">
        <is>
          <t>Mo</t>
        </is>
      </c>
      <c r="U4" s="14" t="inlineStr">
        <is>
          <t>Di</t>
        </is>
      </c>
      <c r="V4" s="14" t="inlineStr">
        <is>
          <t>Mi</t>
        </is>
      </c>
      <c r="W4" s="14" t="inlineStr">
        <is>
          <t>Do</t>
        </is>
      </c>
      <c r="X4" s="14" t="inlineStr">
        <is>
          <t>Fr</t>
        </is>
      </c>
      <c r="Y4" s="13" t="inlineStr">
        <is>
          <t>Sa</t>
        </is>
      </c>
      <c r="Z4" s="13" t="inlineStr">
        <is>
          <t>So</t>
        </is>
      </c>
      <c r="AA4" s="14" t="inlineStr">
        <is>
          <t>Mo</t>
        </is>
      </c>
      <c r="AB4" s="14" t="inlineStr">
        <is>
          <t>Di</t>
        </is>
      </c>
      <c r="AC4" s="14" t="inlineStr">
        <is>
          <t>Mi</t>
        </is>
      </c>
      <c r="AD4" s="14" t="inlineStr">
        <is>
          <t>Do</t>
        </is>
      </c>
      <c r="AE4" s="28" t="inlineStr">
        <is>
          <t>Fr</t>
        </is>
      </c>
    </row>
    <row r="5" ht="15" customHeight="1">
      <c r="A5" s="9" t="inlineStr">
        <is>
          <t>KW</t>
        </is>
      </c>
      <c r="B5" s="40" t="n">
        <v>13</v>
      </c>
      <c r="C5" s="41" t="n"/>
      <c r="D5" s="39" t="n"/>
      <c r="E5" s="39" t="n"/>
      <c r="F5" s="40" t="n">
        <v>14</v>
      </c>
      <c r="G5" s="41" t="n"/>
      <c r="H5" s="41" t="n"/>
      <c r="I5" s="41" t="n"/>
      <c r="J5" s="41" t="n"/>
      <c r="K5" s="39" t="n"/>
      <c r="L5" s="39" t="n"/>
      <c r="M5" s="40" t="n">
        <v>15</v>
      </c>
      <c r="N5" s="41" t="n"/>
      <c r="O5" s="41" t="n"/>
      <c r="P5" s="41" t="n"/>
      <c r="Q5" s="41" t="n"/>
      <c r="R5" s="39" t="n"/>
      <c r="S5" s="39" t="n"/>
      <c r="T5" s="40" t="n">
        <v>16</v>
      </c>
      <c r="U5" s="41" t="n"/>
      <c r="V5" s="41" t="n"/>
      <c r="W5" s="41" t="n"/>
      <c r="X5" s="41" t="n"/>
      <c r="Y5" s="39" t="n"/>
      <c r="Z5" s="39" t="n"/>
      <c r="AA5" s="40" t="n">
        <v>17</v>
      </c>
      <c r="AB5" s="41" t="n"/>
      <c r="AC5" s="41" t="n"/>
      <c r="AD5" s="41" t="n"/>
      <c r="AE5" s="66" t="n"/>
    </row>
    <row r="6" ht="16" customHeight="1">
      <c r="A6" s="43" t="inlineStr">
        <is>
          <t>Breig</t>
        </is>
      </c>
      <c r="B6" s="18">
        <f>IF(Dienstplan!B64="","",Dienstplan!B64)</f>
        <v/>
      </c>
      <c r="C6" s="18">
        <f>IF(Dienstplan!C64="","",Dienstplan!C64)</f>
        <v/>
      </c>
      <c r="D6" s="17">
        <f>IF(Dienstplan!D64="","",Dienstplan!D64)</f>
        <v/>
      </c>
      <c r="E6" s="17">
        <f>IF(Dienstplan!E64="","",Dienstplan!E64)</f>
        <v/>
      </c>
      <c r="F6" s="18">
        <f>IF(Dienstplan!F64="","",Dienstplan!F64)</f>
        <v/>
      </c>
      <c r="G6" s="18">
        <f>IF(Dienstplan!G64="","",Dienstplan!G64)</f>
        <v/>
      </c>
      <c r="H6" s="18">
        <f>IF(Dienstplan!H64="","",Dienstplan!H64)</f>
        <v/>
      </c>
      <c r="I6" s="18">
        <f>IF(Dienstplan!I64="","",Dienstplan!I64)</f>
        <v/>
      </c>
      <c r="J6" s="18">
        <f>IF(Dienstplan!J64="","",Dienstplan!J64)</f>
        <v/>
      </c>
      <c r="K6" s="17">
        <f>IF(Dienstplan!K64="","",Dienstplan!K64)</f>
        <v/>
      </c>
      <c r="L6" s="17">
        <f>IF(Dienstplan!L64="","",Dienstplan!L64)</f>
        <v/>
      </c>
      <c r="M6" s="18">
        <f>IF(Dienstplan!M64="","",Dienstplan!M64)</f>
        <v/>
      </c>
      <c r="N6" s="18">
        <f>IF(Dienstplan!N64="","",Dienstplan!N64)</f>
        <v/>
      </c>
      <c r="O6" s="18">
        <f>IF(Dienstplan!O64="","",Dienstplan!O64)</f>
        <v/>
      </c>
      <c r="P6" s="18">
        <f>IF(Dienstplan!P64="","",Dienstplan!P64)</f>
        <v/>
      </c>
      <c r="Q6" s="18">
        <f>IF(Dienstplan!Q64="","",Dienstplan!Q64)</f>
        <v/>
      </c>
      <c r="R6" s="17">
        <f>IF(Dienstplan!R64="","",Dienstplan!R64)</f>
        <v/>
      </c>
      <c r="S6" s="17">
        <f>IF(Dienstplan!S64="","",Dienstplan!S64)</f>
        <v/>
      </c>
      <c r="T6" s="18">
        <f>IF(Dienstplan!T64="","",Dienstplan!T64)</f>
        <v/>
      </c>
      <c r="U6" s="18">
        <f>IF(Dienstplan!U64="","",Dienstplan!U64)</f>
        <v/>
      </c>
      <c r="V6" s="18">
        <f>IF(Dienstplan!V64="","",Dienstplan!V64)</f>
        <v/>
      </c>
      <c r="W6" s="18">
        <f>IF(Dienstplan!W64="","",Dienstplan!W64)</f>
        <v/>
      </c>
      <c r="X6" s="18">
        <f>IF(Dienstplan!X64="","",Dienstplan!X64)</f>
        <v/>
      </c>
      <c r="Y6" s="17">
        <f>IF(Dienstplan!Y64="","",Dienstplan!Y64)</f>
        <v/>
      </c>
      <c r="Z6" s="17">
        <f>IF(Dienstplan!Z64="","",Dienstplan!Z64)</f>
        <v/>
      </c>
      <c r="AA6" s="18">
        <f>IF(Dienstplan!AA64="","",Dienstplan!AA64)</f>
        <v/>
      </c>
      <c r="AB6" s="18">
        <f>IF(Dienstplan!AB64="","",Dienstplan!AB64)</f>
        <v/>
      </c>
      <c r="AC6" s="18">
        <f>IF(Dienstplan!AC64="","",Dienstplan!AC64)</f>
        <v/>
      </c>
      <c r="AD6" s="18">
        <f>IF(Dienstplan!AD64="","",Dienstplan!AD64)</f>
        <v/>
      </c>
      <c r="AE6" s="29">
        <f>IF(Dienstplan!AE64="","",Dienstplan!AE64)</f>
        <v/>
      </c>
    </row>
    <row r="7" ht="16" customHeight="1">
      <c r="A7" s="43" t="inlineStr">
        <is>
          <t>Siebert</t>
        </is>
      </c>
      <c r="B7" s="20">
        <f>IF(Dienstplan!B65="","",Dienstplan!B65)</f>
        <v/>
      </c>
      <c r="C7" s="20">
        <f>IF(Dienstplan!C65="","",Dienstplan!C65)</f>
        <v/>
      </c>
      <c r="D7" s="17">
        <f>IF(Dienstplan!D65="","",Dienstplan!D65)</f>
        <v/>
      </c>
      <c r="E7" s="17">
        <f>IF(Dienstplan!E65="","",Dienstplan!E65)</f>
        <v/>
      </c>
      <c r="F7" s="20">
        <f>IF(Dienstplan!F65="","",Dienstplan!F65)</f>
        <v/>
      </c>
      <c r="G7" s="20">
        <f>IF(Dienstplan!G65="","",Dienstplan!G65)</f>
        <v/>
      </c>
      <c r="H7" s="20">
        <f>IF(Dienstplan!H65="","",Dienstplan!H65)</f>
        <v/>
      </c>
      <c r="I7" s="20">
        <f>IF(Dienstplan!I65="","",Dienstplan!I65)</f>
        <v/>
      </c>
      <c r="J7" s="20">
        <f>IF(Dienstplan!J65="","",Dienstplan!J65)</f>
        <v/>
      </c>
      <c r="K7" s="17">
        <f>IF(Dienstplan!K65="","",Dienstplan!K65)</f>
        <v/>
      </c>
      <c r="L7" s="17">
        <f>IF(Dienstplan!L65="","",Dienstplan!L65)</f>
        <v/>
      </c>
      <c r="M7" s="20">
        <f>IF(Dienstplan!M65="","",Dienstplan!M65)</f>
        <v/>
      </c>
      <c r="N7" s="20">
        <f>IF(Dienstplan!N65="","",Dienstplan!N65)</f>
        <v/>
      </c>
      <c r="O7" s="20">
        <f>IF(Dienstplan!O65="","",Dienstplan!O65)</f>
        <v/>
      </c>
      <c r="P7" s="20">
        <f>IF(Dienstplan!P65="","",Dienstplan!P65)</f>
        <v/>
      </c>
      <c r="Q7" s="20">
        <f>IF(Dienstplan!Q65="","",Dienstplan!Q65)</f>
        <v/>
      </c>
      <c r="R7" s="17">
        <f>IF(Dienstplan!R65="","",Dienstplan!R65)</f>
        <v/>
      </c>
      <c r="S7" s="17">
        <f>IF(Dienstplan!S65="","",Dienstplan!S65)</f>
        <v/>
      </c>
      <c r="T7" s="20">
        <f>IF(Dienstplan!T65="","",Dienstplan!T65)</f>
        <v/>
      </c>
      <c r="U7" s="20">
        <f>IF(Dienstplan!U65="","",Dienstplan!U65)</f>
        <v/>
      </c>
      <c r="V7" s="20">
        <f>IF(Dienstplan!V65="","",Dienstplan!V65)</f>
        <v/>
      </c>
      <c r="W7" s="20">
        <f>IF(Dienstplan!W65="","",Dienstplan!W65)</f>
        <v/>
      </c>
      <c r="X7" s="20">
        <f>IF(Dienstplan!X65="","",Dienstplan!X65)</f>
        <v/>
      </c>
      <c r="Y7" s="17">
        <f>IF(Dienstplan!Y65="","",Dienstplan!Y65)</f>
        <v/>
      </c>
      <c r="Z7" s="17">
        <f>IF(Dienstplan!Z65="","",Dienstplan!Z65)</f>
        <v/>
      </c>
      <c r="AA7" s="20">
        <f>IF(Dienstplan!AA65="","",Dienstplan!AA65)</f>
        <v/>
      </c>
      <c r="AB7" s="20">
        <f>IF(Dienstplan!AB65="","",Dienstplan!AB65)</f>
        <v/>
      </c>
      <c r="AC7" s="20">
        <f>IF(Dienstplan!AC65="","",Dienstplan!AC65)</f>
        <v/>
      </c>
      <c r="AD7" s="20">
        <f>IF(Dienstplan!AD65="","",Dienstplan!AD65)</f>
        <v/>
      </c>
      <c r="AE7" s="30">
        <f>IF(Dienstplan!AE65="","",Dienstplan!AE65)</f>
        <v/>
      </c>
    </row>
    <row r="8" ht="16" customHeight="1">
      <c r="A8" s="43" t="inlineStr">
        <is>
          <t>Jochim</t>
        </is>
      </c>
      <c r="B8" s="18">
        <f>IF(Dienstplan!B66="","",Dienstplan!B66)</f>
        <v/>
      </c>
      <c r="C8" s="18">
        <f>IF(Dienstplan!C66="","",Dienstplan!C66)</f>
        <v/>
      </c>
      <c r="D8" s="17">
        <f>IF(Dienstplan!D66="","",Dienstplan!D66)</f>
        <v/>
      </c>
      <c r="E8" s="17">
        <f>IF(Dienstplan!E66="","",Dienstplan!E66)</f>
        <v/>
      </c>
      <c r="F8" s="18">
        <f>IF(Dienstplan!F66="","",Dienstplan!F66)</f>
        <v/>
      </c>
      <c r="G8" s="18">
        <f>IF(Dienstplan!G66="","",Dienstplan!G66)</f>
        <v/>
      </c>
      <c r="H8" s="18">
        <f>IF(Dienstplan!H66="","",Dienstplan!H66)</f>
        <v/>
      </c>
      <c r="I8" s="18">
        <f>IF(Dienstplan!I66="","",Dienstplan!I66)</f>
        <v/>
      </c>
      <c r="J8" s="18">
        <f>IF(Dienstplan!J66="","",Dienstplan!J66)</f>
        <v/>
      </c>
      <c r="K8" s="17">
        <f>IF(Dienstplan!K66="","",Dienstplan!K66)</f>
        <v/>
      </c>
      <c r="L8" s="17">
        <f>IF(Dienstplan!L66="","",Dienstplan!L66)</f>
        <v/>
      </c>
      <c r="M8" s="18">
        <f>IF(Dienstplan!M66="","",Dienstplan!M66)</f>
        <v/>
      </c>
      <c r="N8" s="18">
        <f>IF(Dienstplan!N66="","",Dienstplan!N66)</f>
        <v/>
      </c>
      <c r="O8" s="18">
        <f>IF(Dienstplan!O66="","",Dienstplan!O66)</f>
        <v/>
      </c>
      <c r="P8" s="18">
        <f>IF(Dienstplan!P66="","",Dienstplan!P66)</f>
        <v/>
      </c>
      <c r="Q8" s="18">
        <f>IF(Dienstplan!Q66="","",Dienstplan!Q66)</f>
        <v/>
      </c>
      <c r="R8" s="17">
        <f>IF(Dienstplan!R66="","",Dienstplan!R66)</f>
        <v/>
      </c>
      <c r="S8" s="17">
        <f>IF(Dienstplan!S66="","",Dienstplan!S66)</f>
        <v/>
      </c>
      <c r="T8" s="18">
        <f>IF(Dienstplan!T66="","",Dienstplan!T66)</f>
        <v/>
      </c>
      <c r="U8" s="18">
        <f>IF(Dienstplan!U66="","",Dienstplan!U66)</f>
        <v/>
      </c>
      <c r="V8" s="18">
        <f>IF(Dienstplan!V66="","",Dienstplan!V66)</f>
        <v/>
      </c>
      <c r="W8" s="18">
        <f>IF(Dienstplan!W66="","",Dienstplan!W66)</f>
        <v/>
      </c>
      <c r="X8" s="18">
        <f>IF(Dienstplan!X66="","",Dienstplan!X66)</f>
        <v/>
      </c>
      <c r="Y8" s="17">
        <f>IF(Dienstplan!Y66="","",Dienstplan!Y66)</f>
        <v/>
      </c>
      <c r="Z8" s="17">
        <f>IF(Dienstplan!Z66="","",Dienstplan!Z66)</f>
        <v/>
      </c>
      <c r="AA8" s="18">
        <f>IF(Dienstplan!AA66="","",Dienstplan!AA66)</f>
        <v/>
      </c>
      <c r="AB8" s="18">
        <f>IF(Dienstplan!AB66="","",Dienstplan!AB66)</f>
        <v/>
      </c>
      <c r="AC8" s="18">
        <f>IF(Dienstplan!AC66="","",Dienstplan!AC66)</f>
        <v/>
      </c>
      <c r="AD8" s="18">
        <f>IF(Dienstplan!AD66="","",Dienstplan!AD66)</f>
        <v/>
      </c>
      <c r="AE8" s="29">
        <f>IF(Dienstplan!AE66="","",Dienstplan!AE66)</f>
        <v/>
      </c>
    </row>
    <row r="9" ht="16" customHeight="1">
      <c r="A9" s="43" t="inlineStr">
        <is>
          <t>Wunsch</t>
        </is>
      </c>
      <c r="B9" s="20">
        <f>IF(Dienstplan!B67="","",Dienstplan!B67)</f>
        <v/>
      </c>
      <c r="C9" s="20">
        <f>IF(Dienstplan!C67="","",Dienstplan!C67)</f>
        <v/>
      </c>
      <c r="D9" s="17">
        <f>IF(Dienstplan!D67="","",Dienstplan!D67)</f>
        <v/>
      </c>
      <c r="E9" s="17">
        <f>IF(Dienstplan!E67="","",Dienstplan!E67)</f>
        <v/>
      </c>
      <c r="F9" s="20">
        <f>IF(Dienstplan!F67="","",Dienstplan!F67)</f>
        <v/>
      </c>
      <c r="G9" s="20">
        <f>IF(Dienstplan!G67="","",Dienstplan!G67)</f>
        <v/>
      </c>
      <c r="H9" s="20">
        <f>IF(Dienstplan!H67="","",Dienstplan!H67)</f>
        <v/>
      </c>
      <c r="I9" s="20">
        <f>IF(Dienstplan!I67="","",Dienstplan!I67)</f>
        <v/>
      </c>
      <c r="J9" s="20">
        <f>IF(Dienstplan!J67="","",Dienstplan!J67)</f>
        <v/>
      </c>
      <c r="K9" s="17">
        <f>IF(Dienstplan!K67="","",Dienstplan!K67)</f>
        <v/>
      </c>
      <c r="L9" s="17">
        <f>IF(Dienstplan!L67="","",Dienstplan!L67)</f>
        <v/>
      </c>
      <c r="M9" s="20">
        <f>IF(Dienstplan!M67="","",Dienstplan!M67)</f>
        <v/>
      </c>
      <c r="N9" s="20">
        <f>IF(Dienstplan!N67="","",Dienstplan!N67)</f>
        <v/>
      </c>
      <c r="O9" s="20">
        <f>IF(Dienstplan!O67="","",Dienstplan!O67)</f>
        <v/>
      </c>
      <c r="P9" s="20">
        <f>IF(Dienstplan!P67="","",Dienstplan!P67)</f>
        <v/>
      </c>
      <c r="Q9" s="20">
        <f>IF(Dienstplan!Q67="","",Dienstplan!Q67)</f>
        <v/>
      </c>
      <c r="R9" s="17">
        <f>IF(Dienstplan!R67="","",Dienstplan!R67)</f>
        <v/>
      </c>
      <c r="S9" s="17">
        <f>IF(Dienstplan!S67="","",Dienstplan!S67)</f>
        <v/>
      </c>
      <c r="T9" s="20">
        <f>IF(Dienstplan!T67="","",Dienstplan!T67)</f>
        <v/>
      </c>
      <c r="U9" s="20">
        <f>IF(Dienstplan!U67="","",Dienstplan!U67)</f>
        <v/>
      </c>
      <c r="V9" s="20">
        <f>IF(Dienstplan!V67="","",Dienstplan!V67)</f>
        <v/>
      </c>
      <c r="W9" s="20">
        <f>IF(Dienstplan!W67="","",Dienstplan!W67)</f>
        <v/>
      </c>
      <c r="X9" s="20">
        <f>IF(Dienstplan!X67="","",Dienstplan!X67)</f>
        <v/>
      </c>
      <c r="Y9" s="17">
        <f>IF(Dienstplan!Y67="","",Dienstplan!Y67)</f>
        <v/>
      </c>
      <c r="Z9" s="17">
        <f>IF(Dienstplan!Z67="","",Dienstplan!Z67)</f>
        <v/>
      </c>
      <c r="AA9" s="20">
        <f>IF(Dienstplan!AA67="","",Dienstplan!AA67)</f>
        <v/>
      </c>
      <c r="AB9" s="20">
        <f>IF(Dienstplan!AB67="","",Dienstplan!AB67)</f>
        <v/>
      </c>
      <c r="AC9" s="20">
        <f>IF(Dienstplan!AC67="","",Dienstplan!AC67)</f>
        <v/>
      </c>
      <c r="AD9" s="20">
        <f>IF(Dienstplan!AD67="","",Dienstplan!AD67)</f>
        <v/>
      </c>
      <c r="AE9" s="30">
        <f>IF(Dienstplan!AE67="","",Dienstplan!AE67)</f>
        <v/>
      </c>
    </row>
    <row r="10" ht="16" customHeight="1">
      <c r="A10" s="43" t="inlineStr">
        <is>
          <t>Göpfrich</t>
        </is>
      </c>
      <c r="B10" s="18">
        <f>IF(Dienstplan!B68="","",Dienstplan!B68)</f>
        <v/>
      </c>
      <c r="C10" s="18">
        <f>IF(Dienstplan!C68="","",Dienstplan!C68)</f>
        <v/>
      </c>
      <c r="D10" s="17">
        <f>IF(Dienstplan!D68="","",Dienstplan!D68)</f>
        <v/>
      </c>
      <c r="E10" s="17">
        <f>IF(Dienstplan!E68="","",Dienstplan!E68)</f>
        <v/>
      </c>
      <c r="F10" s="18">
        <f>IF(Dienstplan!F68="","",Dienstplan!F68)</f>
        <v/>
      </c>
      <c r="G10" s="18">
        <f>IF(Dienstplan!G68="","",Dienstplan!G68)</f>
        <v/>
      </c>
      <c r="H10" s="18">
        <f>IF(Dienstplan!H68="","",Dienstplan!H68)</f>
        <v/>
      </c>
      <c r="I10" s="18">
        <f>IF(Dienstplan!I68="","",Dienstplan!I68)</f>
        <v/>
      </c>
      <c r="J10" s="18">
        <f>IF(Dienstplan!J68="","",Dienstplan!J68)</f>
        <v/>
      </c>
      <c r="K10" s="17">
        <f>IF(Dienstplan!K68="","",Dienstplan!K68)</f>
        <v/>
      </c>
      <c r="L10" s="17">
        <f>IF(Dienstplan!L68="","",Dienstplan!L68)</f>
        <v/>
      </c>
      <c r="M10" s="18">
        <f>IF(Dienstplan!M68="","",Dienstplan!M68)</f>
        <v/>
      </c>
      <c r="N10" s="18">
        <f>IF(Dienstplan!N68="","",Dienstplan!N68)</f>
        <v/>
      </c>
      <c r="O10" s="18">
        <f>IF(Dienstplan!O68="","",Dienstplan!O68)</f>
        <v/>
      </c>
      <c r="P10" s="18">
        <f>IF(Dienstplan!P68="","",Dienstplan!P68)</f>
        <v/>
      </c>
      <c r="Q10" s="18">
        <f>IF(Dienstplan!Q68="","",Dienstplan!Q68)</f>
        <v/>
      </c>
      <c r="R10" s="17">
        <f>IF(Dienstplan!R68="","",Dienstplan!R68)</f>
        <v/>
      </c>
      <c r="S10" s="17">
        <f>IF(Dienstplan!S68="","",Dienstplan!S68)</f>
        <v/>
      </c>
      <c r="T10" s="18">
        <f>IF(Dienstplan!T68="","",Dienstplan!T68)</f>
        <v/>
      </c>
      <c r="U10" s="18">
        <f>IF(Dienstplan!U68="","",Dienstplan!U68)</f>
        <v/>
      </c>
      <c r="V10" s="18">
        <f>IF(Dienstplan!V68="","",Dienstplan!V68)</f>
        <v/>
      </c>
      <c r="W10" s="18">
        <f>IF(Dienstplan!W68="","",Dienstplan!W68)</f>
        <v/>
      </c>
      <c r="X10" s="18">
        <f>IF(Dienstplan!X68="","",Dienstplan!X68)</f>
        <v/>
      </c>
      <c r="Y10" s="17">
        <f>IF(Dienstplan!Y68="","",Dienstplan!Y68)</f>
        <v/>
      </c>
      <c r="Z10" s="17">
        <f>IF(Dienstplan!Z68="","",Dienstplan!Z68)</f>
        <v/>
      </c>
      <c r="AA10" s="18">
        <f>IF(Dienstplan!AA68="","",Dienstplan!AA68)</f>
        <v/>
      </c>
      <c r="AB10" s="18">
        <f>IF(Dienstplan!AB68="","",Dienstplan!AB68)</f>
        <v/>
      </c>
      <c r="AC10" s="18">
        <f>IF(Dienstplan!AC68="","",Dienstplan!AC68)</f>
        <v/>
      </c>
      <c r="AD10" s="18">
        <f>IF(Dienstplan!AD68="","",Dienstplan!AD68)</f>
        <v/>
      </c>
      <c r="AE10" s="29">
        <f>IF(Dienstplan!AE68="","",Dienstplan!AE68)</f>
        <v/>
      </c>
    </row>
    <row r="11" ht="16" customHeight="1">
      <c r="A11" s="43" t="inlineStr">
        <is>
          <t>Zeller</t>
        </is>
      </c>
      <c r="B11" s="20">
        <f>IF(Dienstplan!B69="","",Dienstplan!B69)</f>
        <v/>
      </c>
      <c r="C11" s="20">
        <f>IF(Dienstplan!C69="","",Dienstplan!C69)</f>
        <v/>
      </c>
      <c r="D11" s="17">
        <f>IF(Dienstplan!D69="","",Dienstplan!D69)</f>
        <v/>
      </c>
      <c r="E11" s="17">
        <f>IF(Dienstplan!E69="","",Dienstplan!E69)</f>
        <v/>
      </c>
      <c r="F11" s="20">
        <f>IF(Dienstplan!F69="","",Dienstplan!F69)</f>
        <v/>
      </c>
      <c r="G11" s="20">
        <f>IF(Dienstplan!G69="","",Dienstplan!G69)</f>
        <v/>
      </c>
      <c r="H11" s="20">
        <f>IF(Dienstplan!H69="","",Dienstplan!H69)</f>
        <v/>
      </c>
      <c r="I11" s="20">
        <f>IF(Dienstplan!I69="","",Dienstplan!I69)</f>
        <v/>
      </c>
      <c r="J11" s="20">
        <f>IF(Dienstplan!J69="","",Dienstplan!J69)</f>
        <v/>
      </c>
      <c r="K11" s="17">
        <f>IF(Dienstplan!K69="","",Dienstplan!K69)</f>
        <v/>
      </c>
      <c r="L11" s="17">
        <f>IF(Dienstplan!L69="","",Dienstplan!L69)</f>
        <v/>
      </c>
      <c r="M11" s="20">
        <f>IF(Dienstplan!M69="","",Dienstplan!M69)</f>
        <v/>
      </c>
      <c r="N11" s="20">
        <f>IF(Dienstplan!N69="","",Dienstplan!N69)</f>
        <v/>
      </c>
      <c r="O11" s="20">
        <f>IF(Dienstplan!O69="","",Dienstplan!O69)</f>
        <v/>
      </c>
      <c r="P11" s="20">
        <f>IF(Dienstplan!P69="","",Dienstplan!P69)</f>
        <v/>
      </c>
      <c r="Q11" s="20">
        <f>IF(Dienstplan!Q69="","",Dienstplan!Q69)</f>
        <v/>
      </c>
      <c r="R11" s="17">
        <f>IF(Dienstplan!R69="","",Dienstplan!R69)</f>
        <v/>
      </c>
      <c r="S11" s="17">
        <f>IF(Dienstplan!S69="","",Dienstplan!S69)</f>
        <v/>
      </c>
      <c r="T11" s="20">
        <f>IF(Dienstplan!T69="","",Dienstplan!T69)</f>
        <v/>
      </c>
      <c r="U11" s="20">
        <f>IF(Dienstplan!U69="","",Dienstplan!U69)</f>
        <v/>
      </c>
      <c r="V11" s="20">
        <f>IF(Dienstplan!V69="","",Dienstplan!V69)</f>
        <v/>
      </c>
      <c r="W11" s="20">
        <f>IF(Dienstplan!W69="","",Dienstplan!W69)</f>
        <v/>
      </c>
      <c r="X11" s="20">
        <f>IF(Dienstplan!X69="","",Dienstplan!X69)</f>
        <v/>
      </c>
      <c r="Y11" s="17">
        <f>IF(Dienstplan!Y69="","",Dienstplan!Y69)</f>
        <v/>
      </c>
      <c r="Z11" s="17">
        <f>IF(Dienstplan!Z69="","",Dienstplan!Z69)</f>
        <v/>
      </c>
      <c r="AA11" s="20">
        <f>IF(Dienstplan!AA69="","",Dienstplan!AA69)</f>
        <v/>
      </c>
      <c r="AB11" s="20">
        <f>IF(Dienstplan!AB69="","",Dienstplan!AB69)</f>
        <v/>
      </c>
      <c r="AC11" s="20">
        <f>IF(Dienstplan!AC69="","",Dienstplan!AC69)</f>
        <v/>
      </c>
      <c r="AD11" s="20">
        <f>IF(Dienstplan!AD69="","",Dienstplan!AD69)</f>
        <v/>
      </c>
      <c r="AE11" s="30">
        <f>IF(Dienstplan!AE69="","",Dienstplan!AE69)</f>
        <v/>
      </c>
    </row>
    <row r="12" ht="16" customHeight="1">
      <c r="A12" s="43" t="inlineStr">
        <is>
          <t>Behrendt</t>
        </is>
      </c>
      <c r="B12" s="18">
        <f>IF(Dienstplan!B70="","",Dienstplan!B70)</f>
        <v/>
      </c>
      <c r="C12" s="18">
        <f>IF(Dienstplan!C70="","",Dienstplan!C70)</f>
        <v/>
      </c>
      <c r="D12" s="17">
        <f>IF(Dienstplan!D70="","",Dienstplan!D70)</f>
        <v/>
      </c>
      <c r="E12" s="17">
        <f>IF(Dienstplan!E70="","",Dienstplan!E70)</f>
        <v/>
      </c>
      <c r="F12" s="18">
        <f>IF(Dienstplan!F70="","",Dienstplan!F70)</f>
        <v/>
      </c>
      <c r="G12" s="18">
        <f>IF(Dienstplan!G70="","",Dienstplan!G70)</f>
        <v/>
      </c>
      <c r="H12" s="18">
        <f>IF(Dienstplan!H70="","",Dienstplan!H70)</f>
        <v/>
      </c>
      <c r="I12" s="18">
        <f>IF(Dienstplan!I70="","",Dienstplan!I70)</f>
        <v/>
      </c>
      <c r="J12" s="18">
        <f>IF(Dienstplan!J70="","",Dienstplan!J70)</f>
        <v/>
      </c>
      <c r="K12" s="17">
        <f>IF(Dienstplan!K70="","",Dienstplan!K70)</f>
        <v/>
      </c>
      <c r="L12" s="17">
        <f>IF(Dienstplan!L70="","",Dienstplan!L70)</f>
        <v/>
      </c>
      <c r="M12" s="18">
        <f>IF(Dienstplan!M70="","",Dienstplan!M70)</f>
        <v/>
      </c>
      <c r="N12" s="18">
        <f>IF(Dienstplan!N70="","",Dienstplan!N70)</f>
        <v/>
      </c>
      <c r="O12" s="18">
        <f>IF(Dienstplan!O70="","",Dienstplan!O70)</f>
        <v/>
      </c>
      <c r="P12" s="18">
        <f>IF(Dienstplan!P70="","",Dienstplan!P70)</f>
        <v/>
      </c>
      <c r="Q12" s="18">
        <f>IF(Dienstplan!Q70="","",Dienstplan!Q70)</f>
        <v/>
      </c>
      <c r="R12" s="17">
        <f>IF(Dienstplan!R70="","",Dienstplan!R70)</f>
        <v/>
      </c>
      <c r="S12" s="17">
        <f>IF(Dienstplan!S70="","",Dienstplan!S70)</f>
        <v/>
      </c>
      <c r="T12" s="18">
        <f>IF(Dienstplan!T70="","",Dienstplan!T70)</f>
        <v/>
      </c>
      <c r="U12" s="18">
        <f>IF(Dienstplan!U70="","",Dienstplan!U70)</f>
        <v/>
      </c>
      <c r="V12" s="18">
        <f>IF(Dienstplan!V70="","",Dienstplan!V70)</f>
        <v/>
      </c>
      <c r="W12" s="18">
        <f>IF(Dienstplan!W70="","",Dienstplan!W70)</f>
        <v/>
      </c>
      <c r="X12" s="18">
        <f>IF(Dienstplan!X70="","",Dienstplan!X70)</f>
        <v/>
      </c>
      <c r="Y12" s="17">
        <f>IF(Dienstplan!Y70="","",Dienstplan!Y70)</f>
        <v/>
      </c>
      <c r="Z12" s="17">
        <f>IF(Dienstplan!Z70="","",Dienstplan!Z70)</f>
        <v/>
      </c>
      <c r="AA12" s="18">
        <f>IF(Dienstplan!AA70="","",Dienstplan!AA70)</f>
        <v/>
      </c>
      <c r="AB12" s="18">
        <f>IF(Dienstplan!AB70="","",Dienstplan!AB70)</f>
        <v/>
      </c>
      <c r="AC12" s="18">
        <f>IF(Dienstplan!AC70="","",Dienstplan!AC70)</f>
        <v/>
      </c>
      <c r="AD12" s="18">
        <f>IF(Dienstplan!AD70="","",Dienstplan!AD70)</f>
        <v/>
      </c>
      <c r="AE12" s="29">
        <f>IF(Dienstplan!AE70="","",Dienstplan!AE70)</f>
        <v/>
      </c>
    </row>
    <row r="13" ht="16" customHeight="1">
      <c r="A13" s="43" t="inlineStr">
        <is>
          <t>Krempl</t>
        </is>
      </c>
      <c r="B13" s="20">
        <f>IF(Dienstplan!B71="","",Dienstplan!B71)</f>
        <v/>
      </c>
      <c r="C13" s="20">
        <f>IF(Dienstplan!C71="","",Dienstplan!C71)</f>
        <v/>
      </c>
      <c r="D13" s="17">
        <f>IF(Dienstplan!D71="","",Dienstplan!D71)</f>
        <v/>
      </c>
      <c r="E13" s="17">
        <f>IF(Dienstplan!E71="","",Dienstplan!E71)</f>
        <v/>
      </c>
      <c r="F13" s="20">
        <f>IF(Dienstplan!F71="","",Dienstplan!F71)</f>
        <v/>
      </c>
      <c r="G13" s="20">
        <f>IF(Dienstplan!G71="","",Dienstplan!G71)</f>
        <v/>
      </c>
      <c r="H13" s="20">
        <f>IF(Dienstplan!H71="","",Dienstplan!H71)</f>
        <v/>
      </c>
      <c r="I13" s="20">
        <f>IF(Dienstplan!I71="","",Dienstplan!I71)</f>
        <v/>
      </c>
      <c r="J13" s="20">
        <f>IF(Dienstplan!J71="","",Dienstplan!J71)</f>
        <v/>
      </c>
      <c r="K13" s="17">
        <f>IF(Dienstplan!K71="","",Dienstplan!K71)</f>
        <v/>
      </c>
      <c r="L13" s="17">
        <f>IF(Dienstplan!L71="","",Dienstplan!L71)</f>
        <v/>
      </c>
      <c r="M13" s="20">
        <f>IF(Dienstplan!M71="","",Dienstplan!M71)</f>
        <v/>
      </c>
      <c r="N13" s="20">
        <f>IF(Dienstplan!N71="","",Dienstplan!N71)</f>
        <v/>
      </c>
      <c r="O13" s="20">
        <f>IF(Dienstplan!O71="","",Dienstplan!O71)</f>
        <v/>
      </c>
      <c r="P13" s="20">
        <f>IF(Dienstplan!P71="","",Dienstplan!P71)</f>
        <v/>
      </c>
      <c r="Q13" s="20">
        <f>IF(Dienstplan!Q71="","",Dienstplan!Q71)</f>
        <v/>
      </c>
      <c r="R13" s="17">
        <f>IF(Dienstplan!R71="","",Dienstplan!R71)</f>
        <v/>
      </c>
      <c r="S13" s="17">
        <f>IF(Dienstplan!S71="","",Dienstplan!S71)</f>
        <v/>
      </c>
      <c r="T13" s="20">
        <f>IF(Dienstplan!T71="","",Dienstplan!T71)</f>
        <v/>
      </c>
      <c r="U13" s="20">
        <f>IF(Dienstplan!U71="","",Dienstplan!U71)</f>
        <v/>
      </c>
      <c r="V13" s="20">
        <f>IF(Dienstplan!V71="","",Dienstplan!V71)</f>
        <v/>
      </c>
      <c r="W13" s="20">
        <f>IF(Dienstplan!W71="","",Dienstplan!W71)</f>
        <v/>
      </c>
      <c r="X13" s="20">
        <f>IF(Dienstplan!X71="","",Dienstplan!X71)</f>
        <v/>
      </c>
      <c r="Y13" s="17">
        <f>IF(Dienstplan!Y71="","",Dienstplan!Y71)</f>
        <v/>
      </c>
      <c r="Z13" s="17">
        <f>IF(Dienstplan!Z71="","",Dienstplan!Z71)</f>
        <v/>
      </c>
      <c r="AA13" s="20">
        <f>IF(Dienstplan!AA71="","",Dienstplan!AA71)</f>
        <v/>
      </c>
      <c r="AB13" s="20">
        <f>IF(Dienstplan!AB71="","",Dienstplan!AB71)</f>
        <v/>
      </c>
      <c r="AC13" s="20">
        <f>IF(Dienstplan!AC71="","",Dienstplan!AC71)</f>
        <v/>
      </c>
      <c r="AD13" s="20">
        <f>IF(Dienstplan!AD71="","",Dienstplan!AD71)</f>
        <v/>
      </c>
      <c r="AE13" s="30">
        <f>IF(Dienstplan!AE71="","",Dienstplan!AE71)</f>
        <v/>
      </c>
    </row>
    <row r="14" ht="16" customHeight="1">
      <c r="A14" s="43" t="inlineStr">
        <is>
          <t>Putschler</t>
        </is>
      </c>
      <c r="B14" s="18">
        <f>IF(Dienstplan!B72="","",Dienstplan!B72)</f>
        <v/>
      </c>
      <c r="C14" s="18">
        <f>IF(Dienstplan!C72="","",Dienstplan!C72)</f>
        <v/>
      </c>
      <c r="D14" s="17">
        <f>IF(Dienstplan!D72="","",Dienstplan!D72)</f>
        <v/>
      </c>
      <c r="E14" s="17">
        <f>IF(Dienstplan!E72="","",Dienstplan!E72)</f>
        <v/>
      </c>
      <c r="F14" s="18">
        <f>IF(Dienstplan!F72="","",Dienstplan!F72)</f>
        <v/>
      </c>
      <c r="G14" s="18">
        <f>IF(Dienstplan!G72="","",Dienstplan!G72)</f>
        <v/>
      </c>
      <c r="H14" s="18">
        <f>IF(Dienstplan!H72="","",Dienstplan!H72)</f>
        <v/>
      </c>
      <c r="I14" s="18">
        <f>IF(Dienstplan!I72="","",Dienstplan!I72)</f>
        <v/>
      </c>
      <c r="J14" s="18">
        <f>IF(Dienstplan!J72="","",Dienstplan!J72)</f>
        <v/>
      </c>
      <c r="K14" s="17">
        <f>IF(Dienstplan!K72="","",Dienstplan!K72)</f>
        <v/>
      </c>
      <c r="L14" s="17">
        <f>IF(Dienstplan!L72="","",Dienstplan!L72)</f>
        <v/>
      </c>
      <c r="M14" s="18">
        <f>IF(Dienstplan!M72="","",Dienstplan!M72)</f>
        <v/>
      </c>
      <c r="N14" s="18">
        <f>IF(Dienstplan!N72="","",Dienstplan!N72)</f>
        <v/>
      </c>
      <c r="O14" s="18">
        <f>IF(Dienstplan!O72="","",Dienstplan!O72)</f>
        <v/>
      </c>
      <c r="P14" s="18">
        <f>IF(Dienstplan!P72="","",Dienstplan!P72)</f>
        <v/>
      </c>
      <c r="Q14" s="18">
        <f>IF(Dienstplan!Q72="","",Dienstplan!Q72)</f>
        <v/>
      </c>
      <c r="R14" s="17">
        <f>IF(Dienstplan!R72="","",Dienstplan!R72)</f>
        <v/>
      </c>
      <c r="S14" s="17">
        <f>IF(Dienstplan!S72="","",Dienstplan!S72)</f>
        <v/>
      </c>
      <c r="T14" s="18">
        <f>IF(Dienstplan!T72="","",Dienstplan!T72)</f>
        <v/>
      </c>
      <c r="U14" s="18">
        <f>IF(Dienstplan!U72="","",Dienstplan!U72)</f>
        <v/>
      </c>
      <c r="V14" s="18">
        <f>IF(Dienstplan!V72="","",Dienstplan!V72)</f>
        <v/>
      </c>
      <c r="W14" s="18">
        <f>IF(Dienstplan!W72="","",Dienstplan!W72)</f>
        <v/>
      </c>
      <c r="X14" s="18">
        <f>IF(Dienstplan!X72="","",Dienstplan!X72)</f>
        <v/>
      </c>
      <c r="Y14" s="17">
        <f>IF(Dienstplan!Y72="","",Dienstplan!Y72)</f>
        <v/>
      </c>
      <c r="Z14" s="17">
        <f>IF(Dienstplan!Z72="","",Dienstplan!Z72)</f>
        <v/>
      </c>
      <c r="AA14" s="18">
        <f>IF(Dienstplan!AA72="","",Dienstplan!AA72)</f>
        <v/>
      </c>
      <c r="AB14" s="18">
        <f>IF(Dienstplan!AB72="","",Dienstplan!AB72)</f>
        <v/>
      </c>
      <c r="AC14" s="18">
        <f>IF(Dienstplan!AC72="","",Dienstplan!AC72)</f>
        <v/>
      </c>
      <c r="AD14" s="18">
        <f>IF(Dienstplan!AD72="","",Dienstplan!AD72)</f>
        <v/>
      </c>
      <c r="AE14" s="29">
        <f>IF(Dienstplan!AE72="","",Dienstplan!AE72)</f>
        <v/>
      </c>
    </row>
    <row r="15" ht="16" customHeight="1">
      <c r="A15" s="43" t="inlineStr">
        <is>
          <t>Kunz</t>
        </is>
      </c>
      <c r="B15" s="20">
        <f>IF(Dienstplan!B73="","",Dienstplan!B73)</f>
        <v/>
      </c>
      <c r="C15" s="20">
        <f>IF(Dienstplan!C73="","",Dienstplan!C73)</f>
        <v/>
      </c>
      <c r="D15" s="17">
        <f>IF(Dienstplan!D73="","",Dienstplan!D73)</f>
        <v/>
      </c>
      <c r="E15" s="17">
        <f>IF(Dienstplan!E73="","",Dienstplan!E73)</f>
        <v/>
      </c>
      <c r="F15" s="20">
        <f>IF(Dienstplan!F73="","",Dienstplan!F73)</f>
        <v/>
      </c>
      <c r="G15" s="20">
        <f>IF(Dienstplan!G73="","",Dienstplan!G73)</f>
        <v/>
      </c>
      <c r="H15" s="20">
        <f>IF(Dienstplan!H73="","",Dienstplan!H73)</f>
        <v/>
      </c>
      <c r="I15" s="20">
        <f>IF(Dienstplan!I73="","",Dienstplan!I73)</f>
        <v/>
      </c>
      <c r="J15" s="20">
        <f>IF(Dienstplan!J73="","",Dienstplan!J73)</f>
        <v/>
      </c>
      <c r="K15" s="17">
        <f>IF(Dienstplan!K73="","",Dienstplan!K73)</f>
        <v/>
      </c>
      <c r="L15" s="17">
        <f>IF(Dienstplan!L73="","",Dienstplan!L73)</f>
        <v/>
      </c>
      <c r="M15" s="20">
        <f>IF(Dienstplan!M73="","",Dienstplan!M73)</f>
        <v/>
      </c>
      <c r="N15" s="20">
        <f>IF(Dienstplan!N73="","",Dienstplan!N73)</f>
        <v/>
      </c>
      <c r="O15" s="20">
        <f>IF(Dienstplan!O73="","",Dienstplan!O73)</f>
        <v/>
      </c>
      <c r="P15" s="20">
        <f>IF(Dienstplan!P73="","",Dienstplan!P73)</f>
        <v/>
      </c>
      <c r="Q15" s="20">
        <f>IF(Dienstplan!Q73="","",Dienstplan!Q73)</f>
        <v/>
      </c>
      <c r="R15" s="17">
        <f>IF(Dienstplan!R73="","",Dienstplan!R73)</f>
        <v/>
      </c>
      <c r="S15" s="17">
        <f>IF(Dienstplan!S73="","",Dienstplan!S73)</f>
        <v/>
      </c>
      <c r="T15" s="20">
        <f>IF(Dienstplan!T73="","",Dienstplan!T73)</f>
        <v/>
      </c>
      <c r="U15" s="20">
        <f>IF(Dienstplan!U73="","",Dienstplan!U73)</f>
        <v/>
      </c>
      <c r="V15" s="20">
        <f>IF(Dienstplan!V73="","",Dienstplan!V73)</f>
        <v/>
      </c>
      <c r="W15" s="20">
        <f>IF(Dienstplan!W73="","",Dienstplan!W73)</f>
        <v/>
      </c>
      <c r="X15" s="20">
        <f>IF(Dienstplan!X73="","",Dienstplan!X73)</f>
        <v/>
      </c>
      <c r="Y15" s="17">
        <f>IF(Dienstplan!Y73="","",Dienstplan!Y73)</f>
        <v/>
      </c>
      <c r="Z15" s="17">
        <f>IF(Dienstplan!Z73="","",Dienstplan!Z73)</f>
        <v/>
      </c>
      <c r="AA15" s="20">
        <f>IF(Dienstplan!AA73="","",Dienstplan!AA73)</f>
        <v/>
      </c>
      <c r="AB15" s="20">
        <f>IF(Dienstplan!AB73="","",Dienstplan!AB73)</f>
        <v/>
      </c>
      <c r="AC15" s="20">
        <f>IF(Dienstplan!AC73="","",Dienstplan!AC73)</f>
        <v/>
      </c>
      <c r="AD15" s="20">
        <f>IF(Dienstplan!AD73="","",Dienstplan!AD73)</f>
        <v/>
      </c>
      <c r="AE15" s="30">
        <f>IF(Dienstplan!AE73="","",Dienstplan!AE73)</f>
        <v/>
      </c>
    </row>
    <row r="16" hidden="1" ht="16" customHeight="1">
      <c r="A16" s="44" t="inlineStr">
        <is>
          <t>Schmidt</t>
        </is>
      </c>
      <c r="B16" s="18">
        <f>IF(Dienstplan!B74="","",Dienstplan!B74)</f>
        <v/>
      </c>
      <c r="C16" s="18">
        <f>IF(Dienstplan!C74="","",Dienstplan!C74)</f>
        <v/>
      </c>
      <c r="D16" s="17">
        <f>IF(Dienstplan!D74="","",Dienstplan!D74)</f>
        <v/>
      </c>
      <c r="E16" s="17">
        <f>IF(Dienstplan!E74="","",Dienstplan!E74)</f>
        <v/>
      </c>
      <c r="F16" s="18">
        <f>IF(Dienstplan!F74="","",Dienstplan!F74)</f>
        <v/>
      </c>
      <c r="G16" s="18">
        <f>IF(Dienstplan!G74="","",Dienstplan!G74)</f>
        <v/>
      </c>
      <c r="H16" s="18">
        <f>IF(Dienstplan!H74="","",Dienstplan!H74)</f>
        <v/>
      </c>
      <c r="I16" s="18">
        <f>IF(Dienstplan!I74="","",Dienstplan!I74)</f>
        <v/>
      </c>
      <c r="J16" s="18">
        <f>IF(Dienstplan!J74="","",Dienstplan!J74)</f>
        <v/>
      </c>
      <c r="K16" s="17">
        <f>IF(Dienstplan!K74="","",Dienstplan!K74)</f>
        <v/>
      </c>
      <c r="L16" s="17">
        <f>IF(Dienstplan!L74="","",Dienstplan!L74)</f>
        <v/>
      </c>
      <c r="M16" s="18">
        <f>IF(Dienstplan!M74="","",Dienstplan!M74)</f>
        <v/>
      </c>
      <c r="N16" s="18">
        <f>IF(Dienstplan!N74="","",Dienstplan!N74)</f>
        <v/>
      </c>
      <c r="O16" s="18">
        <f>IF(Dienstplan!O74="","",Dienstplan!O74)</f>
        <v/>
      </c>
      <c r="P16" s="18">
        <f>IF(Dienstplan!P74="","",Dienstplan!P74)</f>
        <v/>
      </c>
      <c r="Q16" s="18">
        <f>IF(Dienstplan!Q74="","",Dienstplan!Q74)</f>
        <v/>
      </c>
      <c r="R16" s="17">
        <f>IF(Dienstplan!R74="","",Dienstplan!R74)</f>
        <v/>
      </c>
      <c r="S16" s="17">
        <f>IF(Dienstplan!S74="","",Dienstplan!S74)</f>
        <v/>
      </c>
      <c r="T16" s="18">
        <f>IF(Dienstplan!T74="","",Dienstplan!T74)</f>
        <v/>
      </c>
      <c r="U16" s="18">
        <f>IF(Dienstplan!U74="","",Dienstplan!U74)</f>
        <v/>
      </c>
      <c r="V16" s="18">
        <f>IF(Dienstplan!V74="","",Dienstplan!V74)</f>
        <v/>
      </c>
      <c r="W16" s="18">
        <f>IF(Dienstplan!W74="","",Dienstplan!W74)</f>
        <v/>
      </c>
      <c r="X16" s="18">
        <f>IF(Dienstplan!X74="","",Dienstplan!X74)</f>
        <v/>
      </c>
      <c r="Y16" s="17">
        <f>IF(Dienstplan!Y74="","",Dienstplan!Y74)</f>
        <v/>
      </c>
      <c r="Z16" s="17">
        <f>IF(Dienstplan!Z74="","",Dienstplan!Z74)</f>
        <v/>
      </c>
      <c r="AA16" s="18">
        <f>IF(Dienstplan!AA74="","",Dienstplan!AA74)</f>
        <v/>
      </c>
      <c r="AB16" s="18">
        <f>IF(Dienstplan!AB74="","",Dienstplan!AB74)</f>
        <v/>
      </c>
      <c r="AC16" s="18">
        <f>IF(Dienstplan!AC74="","",Dienstplan!AC74)</f>
        <v/>
      </c>
      <c r="AD16" s="18">
        <f>IF(Dienstplan!AD74="","",Dienstplan!AD74)</f>
        <v/>
      </c>
      <c r="AE16" s="29">
        <f>IF(Dienstplan!AE74="","",Dienstplan!AE74)</f>
        <v/>
      </c>
    </row>
    <row r="17" hidden="1" ht="16" customHeight="1">
      <c r="A17" s="44" t="inlineStr">
        <is>
          <t>Radimersky</t>
        </is>
      </c>
      <c r="B17" s="20">
        <f>IF(Dienstplan!B75="","",Dienstplan!B75)</f>
        <v/>
      </c>
      <c r="C17" s="20">
        <f>IF(Dienstplan!C75="","",Dienstplan!C75)</f>
        <v/>
      </c>
      <c r="D17" s="17">
        <f>IF(Dienstplan!D75="","",Dienstplan!D75)</f>
        <v/>
      </c>
      <c r="E17" s="17">
        <f>IF(Dienstplan!E75="","",Dienstplan!E75)</f>
        <v/>
      </c>
      <c r="F17" s="20">
        <f>IF(Dienstplan!F75="","",Dienstplan!F75)</f>
        <v/>
      </c>
      <c r="G17" s="20">
        <f>IF(Dienstplan!G75="","",Dienstplan!G75)</f>
        <v/>
      </c>
      <c r="H17" s="20">
        <f>IF(Dienstplan!H75="","",Dienstplan!H75)</f>
        <v/>
      </c>
      <c r="I17" s="20">
        <f>IF(Dienstplan!I75="","",Dienstplan!I75)</f>
        <v/>
      </c>
      <c r="J17" s="20">
        <f>IF(Dienstplan!J75="","",Dienstplan!J75)</f>
        <v/>
      </c>
      <c r="K17" s="17">
        <f>IF(Dienstplan!K75="","",Dienstplan!K75)</f>
        <v/>
      </c>
      <c r="L17" s="17">
        <f>IF(Dienstplan!L75="","",Dienstplan!L75)</f>
        <v/>
      </c>
      <c r="M17" s="20">
        <f>IF(Dienstplan!M75="","",Dienstplan!M75)</f>
        <v/>
      </c>
      <c r="N17" s="20">
        <f>IF(Dienstplan!N75="","",Dienstplan!N75)</f>
        <v/>
      </c>
      <c r="O17" s="20">
        <f>IF(Dienstplan!O75="","",Dienstplan!O75)</f>
        <v/>
      </c>
      <c r="P17" s="20">
        <f>IF(Dienstplan!P75="","",Dienstplan!P75)</f>
        <v/>
      </c>
      <c r="Q17" s="20">
        <f>IF(Dienstplan!Q75="","",Dienstplan!Q75)</f>
        <v/>
      </c>
      <c r="R17" s="17">
        <f>IF(Dienstplan!R75="","",Dienstplan!R75)</f>
        <v/>
      </c>
      <c r="S17" s="17">
        <f>IF(Dienstplan!S75="","",Dienstplan!S75)</f>
        <v/>
      </c>
      <c r="T17" s="20">
        <f>IF(Dienstplan!T75="","",Dienstplan!T75)</f>
        <v/>
      </c>
      <c r="U17" s="20">
        <f>IF(Dienstplan!U75="","",Dienstplan!U75)</f>
        <v/>
      </c>
      <c r="V17" s="20">
        <f>IF(Dienstplan!V75="","",Dienstplan!V75)</f>
        <v/>
      </c>
      <c r="W17" s="20">
        <f>IF(Dienstplan!W75="","",Dienstplan!W75)</f>
        <v/>
      </c>
      <c r="X17" s="20">
        <f>IF(Dienstplan!X75="","",Dienstplan!X75)</f>
        <v/>
      </c>
      <c r="Y17" s="17">
        <f>IF(Dienstplan!Y75="","",Dienstplan!Y75)</f>
        <v/>
      </c>
      <c r="Z17" s="17">
        <f>IF(Dienstplan!Z75="","",Dienstplan!Z75)</f>
        <v/>
      </c>
      <c r="AA17" s="20">
        <f>IF(Dienstplan!AA75="","",Dienstplan!AA75)</f>
        <v/>
      </c>
      <c r="AB17" s="20">
        <f>IF(Dienstplan!AB75="","",Dienstplan!AB75)</f>
        <v/>
      </c>
      <c r="AC17" s="20">
        <f>IF(Dienstplan!AC75="","",Dienstplan!AC75)</f>
        <v/>
      </c>
      <c r="AD17" s="20">
        <f>IF(Dienstplan!AD75="","",Dienstplan!AD75)</f>
        <v/>
      </c>
      <c r="AE17" s="30">
        <f>IF(Dienstplan!AE75="","",Dienstplan!AE75)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IF(AND(COUNTIF(B6:B17,"FI")&gt;0,COUNTIF(B6:B17,"SI")&gt;0,COUNTIF(B6:B17,"NI")&gt;0),"","!")</f>
        <v/>
      </c>
      <c r="C18" s="23">
        <f>IF(AND(COUNTIF(C6:C17,"FI")&gt;0,COUNTIF(C6:C17,"SI")&gt;0),"","!")</f>
        <v/>
      </c>
      <c r="D18" s="22" t="n"/>
      <c r="E18" s="22" t="n"/>
      <c r="F18" s="23">
        <f>IF(AND(COUNTIF(F6:F17,"FI")&gt;0,COUNTIF(F6:F17,"SI")&gt;0,COUNTIF(F6:F17,"NI")&gt;0),"","!")</f>
        <v/>
      </c>
      <c r="G18" s="23">
        <f>IF(AND(COUNTIF(G6:G17,"FI")&gt;0,COUNTIF(G6:G17,"SI")&gt;0,COUNTIF(G6:G17,"NI")&gt;0),"","!")</f>
        <v/>
      </c>
      <c r="H18" s="23">
        <f>IF(AND(COUNTIF(H6:H17,"FI")&gt;0,COUNTIF(H6:H17,"SI")&gt;0,COUNTIF(H6:H17,"NI")&gt;0),"","!")</f>
        <v/>
      </c>
      <c r="I18" s="23">
        <f>IF(AND(COUNTIF(I6:I17,"FI")&gt;0,COUNTIF(I6:I17,"SI")&gt;0,COUNTIF(I6:I17,"NI")&gt;0),"","!")</f>
        <v/>
      </c>
      <c r="J18" s="23">
        <f>IF(AND(COUNTIF(J6:J17,"FI")&gt;0,COUNTIF(J6:J17,"SI")&gt;0),"","!")</f>
        <v/>
      </c>
      <c r="K18" s="22" t="n"/>
      <c r="L18" s="22" t="n"/>
      <c r="M18" s="23">
        <f>IF(AND(COUNTIF(M6:M17,"FI")&gt;0,COUNTIF(M6:M17,"SI")&gt;0,COUNTIF(M6:M17,"NI")&gt;0),"","!")</f>
        <v/>
      </c>
      <c r="N18" s="23">
        <f>IF(AND(COUNTIF(N6:N17,"FI")&gt;0,COUNTIF(N6:N17,"SI")&gt;0,COUNTIF(N6:N17,"NI")&gt;0),"","!")</f>
        <v/>
      </c>
      <c r="O18" s="23">
        <f>IF(AND(COUNTIF(O6:O17,"FI")&gt;0,COUNTIF(O6:O17,"SI")&gt;0,COUNTIF(O6:O17,"NI")&gt;0),"","!")</f>
        <v/>
      </c>
      <c r="P18" s="23">
        <f>IF(AND(COUNTIF(P6:P17,"FI")&gt;0,COUNTIF(P6:P17,"SI")&gt;0,COUNTIF(P6:P17,"NI")&gt;0),"","!")</f>
        <v/>
      </c>
      <c r="Q18" s="23">
        <f>IF(AND(COUNTIF(Q6:Q17,"FI")&gt;0,COUNTIF(Q6:Q17,"SI")&gt;0),"","!")</f>
        <v/>
      </c>
      <c r="R18" s="22" t="n"/>
      <c r="S18" s="22" t="n"/>
      <c r="T18" s="23">
        <f>IF(AND(COUNTIF(T6:T17,"FI")&gt;0,COUNTIF(T6:T17,"SI")&gt;0,COUNTIF(T6:T17,"NI")&gt;0),"","!")</f>
        <v/>
      </c>
      <c r="U18" s="23">
        <f>IF(AND(COUNTIF(U6:U17,"FI")&gt;0,COUNTIF(U6:U17,"SI")&gt;0,COUNTIF(U6:U17,"NI")&gt;0),"","!")</f>
        <v/>
      </c>
      <c r="V18" s="23">
        <f>IF(AND(COUNTIF(V6:V17,"FI")&gt;0,COUNTIF(V6:V17,"SI")&gt;0,COUNTIF(V6:V17,"NI")&gt;0),"","!")</f>
        <v/>
      </c>
      <c r="W18" s="23">
        <f>IF(AND(COUNTIF(W6:W17,"FI")&gt;0,COUNTIF(W6:W17,"SI")&gt;0,COUNTIF(W6:W17,"NI")&gt;0),"","!")</f>
        <v/>
      </c>
      <c r="X18" s="23">
        <f>IF(AND(COUNTIF(X6:X17,"FI")&gt;0,COUNTIF(X6:X17,"SI")&gt;0),"","!")</f>
        <v/>
      </c>
      <c r="Y18" s="22" t="n"/>
      <c r="Z18" s="22" t="n"/>
      <c r="AA18" s="23">
        <f>IF(AND(COUNTIF(AA6:AA17,"FI")&gt;0,COUNTIF(AA6:AA17,"SI")&gt;0,COUNTIF(AA6:AA17,"NI")&gt;0),"","!")</f>
        <v/>
      </c>
      <c r="AB18" s="23">
        <f>IF(AND(COUNTIF(AB6:AB17,"FI")&gt;0,COUNTIF(AB6:AB17,"SI")&gt;0,COUNTIF(AB6:AB17,"NI")&gt;0),"","!")</f>
        <v/>
      </c>
      <c r="AC18" s="23">
        <f>IF(AND(COUNTIF(AC6:AC17,"FI")&gt;0,COUNTIF(AC6:AC17,"SI")&gt;0,COUNTIF(AC6:AC17,"NI")&gt;0),"","!")</f>
        <v/>
      </c>
      <c r="AD18" s="23">
        <f>IF(AND(COUNTIF(AD6:AD17,"FI")&gt;0,COUNTIF(AD6:AD17,"SI")&gt;0,COUNTIF(AD6:AD17,"NI")&gt;0),"","!")</f>
        <v/>
      </c>
      <c r="AE18" s="31">
        <f>IF(AND(COUNTIF(AE6:AE17,"FI")&gt;0,COUNTIF(AE6:AE17,"SI")&gt;0),"","!")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B2:D2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E18">
    <cfRule type="cellIs" priority="1" operator="equal" dxfId="5" stopIfTrue="1">
      <formula>"!"</formula>
    </cfRule>
  </conditionalFormatting>
  <conditionalFormatting sqref="B6:AE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Mai 2027</t>
        </is>
      </c>
      <c r="AC1" s="33" t="inlineStr">
        <is>
          <t>AT: 18   Sa: 5</t>
        </is>
      </c>
    </row>
    <row r="2">
      <c r="R2" s="25" t="inlineStr">
        <is>
          <t>Pfingstferien</t>
        </is>
      </c>
    </row>
    <row r="3" ht="18" customHeight="1">
      <c r="A3" s="34" t="inlineStr">
        <is>
          <t>Tag</t>
        </is>
      </c>
      <c r="B3" s="35" t="n">
        <v>1</v>
      </c>
      <c r="C3" s="35" t="n">
        <v>2</v>
      </c>
      <c r="D3" s="36" t="n">
        <v>3</v>
      </c>
      <c r="E3" s="36" t="n">
        <v>4</v>
      </c>
      <c r="F3" s="36" t="n">
        <v>5</v>
      </c>
      <c r="G3" s="35" t="n">
        <v>6</v>
      </c>
      <c r="H3" s="36" t="n">
        <v>7</v>
      </c>
      <c r="I3" s="35" t="n">
        <v>8</v>
      </c>
      <c r="J3" s="35" t="n">
        <v>9</v>
      </c>
      <c r="K3" s="36" t="n">
        <v>10</v>
      </c>
      <c r="L3" s="36" t="n">
        <v>11</v>
      </c>
      <c r="M3" s="36" t="n">
        <v>12</v>
      </c>
      <c r="N3" s="36" t="n">
        <v>13</v>
      </c>
      <c r="O3" s="36" t="n">
        <v>14</v>
      </c>
      <c r="P3" s="35" t="n">
        <v>15</v>
      </c>
      <c r="Q3" s="35" t="n">
        <v>16</v>
      </c>
      <c r="R3" s="35" t="n">
        <v>17</v>
      </c>
      <c r="S3" s="36" t="n">
        <v>18</v>
      </c>
      <c r="T3" s="36" t="n">
        <v>19</v>
      </c>
      <c r="U3" s="36" t="n">
        <v>20</v>
      </c>
      <c r="V3" s="36" t="n">
        <v>21</v>
      </c>
      <c r="W3" s="35" t="n">
        <v>22</v>
      </c>
      <c r="X3" s="35" t="n">
        <v>23</v>
      </c>
      <c r="Y3" s="36" t="n">
        <v>24</v>
      </c>
      <c r="Z3" s="36" t="n">
        <v>25</v>
      </c>
      <c r="AA3" s="36" t="n">
        <v>26</v>
      </c>
      <c r="AB3" s="35" t="n">
        <v>27</v>
      </c>
      <c r="AC3" s="36" t="n">
        <v>28</v>
      </c>
      <c r="AD3" s="35" t="n">
        <v>29</v>
      </c>
      <c r="AE3" s="35" t="n">
        <v>30</v>
      </c>
      <c r="AF3" s="65" t="n">
        <v>31</v>
      </c>
    </row>
    <row r="4" ht="18" customHeight="1">
      <c r="A4" s="9" t="inlineStr">
        <is>
          <t>WT</t>
        </is>
      </c>
      <c r="B4" s="13" t="inlineStr">
        <is>
          <t>Sa</t>
        </is>
      </c>
      <c r="C4" s="13" t="inlineStr">
        <is>
          <t>So</t>
        </is>
      </c>
      <c r="D4" s="14" t="inlineStr">
        <is>
          <t>Mo</t>
        </is>
      </c>
      <c r="E4" s="14" t="inlineStr">
        <is>
          <t>Di</t>
        </is>
      </c>
      <c r="F4" s="14" t="inlineStr">
        <is>
          <t>Mi</t>
        </is>
      </c>
      <c r="G4" s="13" t="inlineStr">
        <is>
          <t>Do</t>
        </is>
      </c>
      <c r="H4" s="14" t="inlineStr">
        <is>
          <t>Fr</t>
        </is>
      </c>
      <c r="I4" s="13" t="inlineStr">
        <is>
          <t>Sa</t>
        </is>
      </c>
      <c r="J4" s="13" t="inlineStr">
        <is>
          <t>So</t>
        </is>
      </c>
      <c r="K4" s="14" t="inlineStr">
        <is>
          <t>Mo</t>
        </is>
      </c>
      <c r="L4" s="14" t="inlineStr">
        <is>
          <t>Di</t>
        </is>
      </c>
      <c r="M4" s="14" t="inlineStr">
        <is>
          <t>Mi</t>
        </is>
      </c>
      <c r="N4" s="14" t="inlineStr">
        <is>
          <t>Do</t>
        </is>
      </c>
      <c r="O4" s="14" t="inlineStr">
        <is>
          <t>Fr</t>
        </is>
      </c>
      <c r="P4" s="13" t="inlineStr">
        <is>
          <t>Sa</t>
        </is>
      </c>
      <c r="Q4" s="13" t="inlineStr">
        <is>
          <t>So</t>
        </is>
      </c>
      <c r="R4" s="13" t="inlineStr">
        <is>
          <t>Mo</t>
        </is>
      </c>
      <c r="S4" s="14" t="inlineStr">
        <is>
          <t>Di</t>
        </is>
      </c>
      <c r="T4" s="14" t="inlineStr">
        <is>
          <t>Mi</t>
        </is>
      </c>
      <c r="U4" s="14" t="inlineStr">
        <is>
          <t>Do</t>
        </is>
      </c>
      <c r="V4" s="14" t="inlineStr">
        <is>
          <t>Fr</t>
        </is>
      </c>
      <c r="W4" s="13" t="inlineStr">
        <is>
          <t>Sa</t>
        </is>
      </c>
      <c r="X4" s="13" t="inlineStr">
        <is>
          <t>So</t>
        </is>
      </c>
      <c r="Y4" s="14" t="inlineStr">
        <is>
          <t>Mo</t>
        </is>
      </c>
      <c r="Z4" s="14" t="inlineStr">
        <is>
          <t>Di</t>
        </is>
      </c>
      <c r="AA4" s="14" t="inlineStr">
        <is>
          <t>Mi</t>
        </is>
      </c>
      <c r="AB4" s="13" t="inlineStr">
        <is>
          <t>Do</t>
        </is>
      </c>
      <c r="AC4" s="14" t="inlineStr">
        <is>
          <t>Fr</t>
        </is>
      </c>
      <c r="AD4" s="13" t="inlineStr">
        <is>
          <t>Sa</t>
        </is>
      </c>
      <c r="AE4" s="13" t="inlineStr">
        <is>
          <t>So</t>
        </is>
      </c>
      <c r="AF4" s="28" t="inlineStr">
        <is>
          <t>Mo</t>
        </is>
      </c>
    </row>
    <row r="5" ht="15" customHeight="1">
      <c r="A5" s="9" t="inlineStr">
        <is>
          <t>KW</t>
        </is>
      </c>
      <c r="B5" s="38" t="n">
        <v>17</v>
      </c>
      <c r="C5" s="39" t="n"/>
      <c r="D5" s="40" t="n">
        <v>18</v>
      </c>
      <c r="E5" s="41" t="n"/>
      <c r="F5" s="41" t="n"/>
      <c r="G5" s="39" t="n"/>
      <c r="H5" s="41" t="n"/>
      <c r="I5" s="39" t="n"/>
      <c r="J5" s="39" t="n"/>
      <c r="K5" s="40" t="n">
        <v>19</v>
      </c>
      <c r="L5" s="41" t="n"/>
      <c r="M5" s="41" t="n"/>
      <c r="N5" s="41" t="n"/>
      <c r="O5" s="41" t="n"/>
      <c r="P5" s="39" t="n"/>
      <c r="Q5" s="39" t="n"/>
      <c r="R5" s="38" t="n">
        <v>20</v>
      </c>
      <c r="S5" s="41" t="n"/>
      <c r="T5" s="41" t="n"/>
      <c r="U5" s="41" t="n"/>
      <c r="V5" s="41" t="n"/>
      <c r="W5" s="39" t="n"/>
      <c r="X5" s="39" t="n"/>
      <c r="Y5" s="40" t="n">
        <v>21</v>
      </c>
      <c r="Z5" s="41" t="n"/>
      <c r="AA5" s="41" t="n"/>
      <c r="AB5" s="39" t="n"/>
      <c r="AC5" s="41" t="n"/>
      <c r="AD5" s="39" t="n"/>
      <c r="AE5" s="39" t="n"/>
      <c r="AF5" s="67" t="n">
        <v>22</v>
      </c>
    </row>
    <row r="6" ht="16" customHeight="1">
      <c r="A6" s="43" t="inlineStr">
        <is>
          <t>Breig</t>
        </is>
      </c>
      <c r="B6" s="17">
        <f>IF(Dienstplan!B83="","",Dienstplan!B83)</f>
        <v/>
      </c>
      <c r="C6" s="17">
        <f>IF(Dienstplan!C83="","",Dienstplan!C83)</f>
        <v/>
      </c>
      <c r="D6" s="18">
        <f>IF(Dienstplan!D83="","",Dienstplan!D83)</f>
        <v/>
      </c>
      <c r="E6" s="18">
        <f>IF(Dienstplan!E83="","",Dienstplan!E83)</f>
        <v/>
      </c>
      <c r="F6" s="18">
        <f>IF(Dienstplan!F83="","",Dienstplan!F83)</f>
        <v/>
      </c>
      <c r="G6" s="17">
        <f>IF(Dienstplan!G83="","",Dienstplan!G83)</f>
        <v/>
      </c>
      <c r="H6" s="18">
        <f>IF(Dienstplan!H83="","",Dienstplan!H83)</f>
        <v/>
      </c>
      <c r="I6" s="17">
        <f>IF(Dienstplan!I83="","",Dienstplan!I83)</f>
        <v/>
      </c>
      <c r="J6" s="17">
        <f>IF(Dienstplan!J83="","",Dienstplan!J83)</f>
        <v/>
      </c>
      <c r="K6" s="18">
        <f>IF(Dienstplan!K83="","",Dienstplan!K83)</f>
        <v/>
      </c>
      <c r="L6" s="18">
        <f>IF(Dienstplan!L83="","",Dienstplan!L83)</f>
        <v/>
      </c>
      <c r="M6" s="18">
        <f>IF(Dienstplan!M83="","",Dienstplan!M83)</f>
        <v/>
      </c>
      <c r="N6" s="18">
        <f>IF(Dienstplan!N83="","",Dienstplan!N83)</f>
        <v/>
      </c>
      <c r="O6" s="18">
        <f>IF(Dienstplan!O83="","",Dienstplan!O83)</f>
        <v/>
      </c>
      <c r="P6" s="17">
        <f>IF(Dienstplan!P83="","",Dienstplan!P83)</f>
        <v/>
      </c>
      <c r="Q6" s="17">
        <f>IF(Dienstplan!Q83="","",Dienstplan!Q83)</f>
        <v/>
      </c>
      <c r="R6" s="17">
        <f>IF(Dienstplan!R83="","",Dienstplan!R83)</f>
        <v/>
      </c>
      <c r="S6" s="18">
        <f>IF(Dienstplan!S83="","",Dienstplan!S83)</f>
        <v/>
      </c>
      <c r="T6" s="18">
        <f>IF(Dienstplan!T83="","",Dienstplan!T83)</f>
        <v/>
      </c>
      <c r="U6" s="18">
        <f>IF(Dienstplan!U83="","",Dienstplan!U83)</f>
        <v/>
      </c>
      <c r="V6" s="18">
        <f>IF(Dienstplan!V83="","",Dienstplan!V83)</f>
        <v/>
      </c>
      <c r="W6" s="17">
        <f>IF(Dienstplan!W83="","",Dienstplan!W83)</f>
        <v/>
      </c>
      <c r="X6" s="17">
        <f>IF(Dienstplan!X83="","",Dienstplan!X83)</f>
        <v/>
      </c>
      <c r="Y6" s="18">
        <f>IF(Dienstplan!Y83="","",Dienstplan!Y83)</f>
        <v/>
      </c>
      <c r="Z6" s="18">
        <f>IF(Dienstplan!Z83="","",Dienstplan!Z83)</f>
        <v/>
      </c>
      <c r="AA6" s="18">
        <f>IF(Dienstplan!AA83="","",Dienstplan!AA83)</f>
        <v/>
      </c>
      <c r="AB6" s="17">
        <f>IF(Dienstplan!AB83="","",Dienstplan!AB83)</f>
        <v/>
      </c>
      <c r="AC6" s="18">
        <f>IF(Dienstplan!AC83="","",Dienstplan!AC83)</f>
        <v/>
      </c>
      <c r="AD6" s="17">
        <f>IF(Dienstplan!AD83="","",Dienstplan!AD83)</f>
        <v/>
      </c>
      <c r="AE6" s="17">
        <f>IF(Dienstplan!AE83="","",Dienstplan!AE83)</f>
        <v/>
      </c>
      <c r="AF6" s="29">
        <f>IF(Dienstplan!AF83="","",Dienstplan!AF83)</f>
        <v/>
      </c>
    </row>
    <row r="7" ht="16" customHeight="1">
      <c r="A7" s="43" t="inlineStr">
        <is>
          <t>Siebert</t>
        </is>
      </c>
      <c r="B7" s="17">
        <f>IF(Dienstplan!B84="","",Dienstplan!B84)</f>
        <v/>
      </c>
      <c r="C7" s="17">
        <f>IF(Dienstplan!C84="","",Dienstplan!C84)</f>
        <v/>
      </c>
      <c r="D7" s="20">
        <f>IF(Dienstplan!D84="","",Dienstplan!D84)</f>
        <v/>
      </c>
      <c r="E7" s="20">
        <f>IF(Dienstplan!E84="","",Dienstplan!E84)</f>
        <v/>
      </c>
      <c r="F7" s="20">
        <f>IF(Dienstplan!F84="","",Dienstplan!F84)</f>
        <v/>
      </c>
      <c r="G7" s="17">
        <f>IF(Dienstplan!G84="","",Dienstplan!G84)</f>
        <v/>
      </c>
      <c r="H7" s="20">
        <f>IF(Dienstplan!H84="","",Dienstplan!H84)</f>
        <v/>
      </c>
      <c r="I7" s="17">
        <f>IF(Dienstplan!I84="","",Dienstplan!I84)</f>
        <v/>
      </c>
      <c r="J7" s="17">
        <f>IF(Dienstplan!J84="","",Dienstplan!J84)</f>
        <v/>
      </c>
      <c r="K7" s="20">
        <f>IF(Dienstplan!K84="","",Dienstplan!K84)</f>
        <v/>
      </c>
      <c r="L7" s="20">
        <f>IF(Dienstplan!L84="","",Dienstplan!L84)</f>
        <v/>
      </c>
      <c r="M7" s="20">
        <f>IF(Dienstplan!M84="","",Dienstplan!M84)</f>
        <v/>
      </c>
      <c r="N7" s="20">
        <f>IF(Dienstplan!N84="","",Dienstplan!N84)</f>
        <v/>
      </c>
      <c r="O7" s="20">
        <f>IF(Dienstplan!O84="","",Dienstplan!O84)</f>
        <v/>
      </c>
      <c r="P7" s="17">
        <f>IF(Dienstplan!P84="","",Dienstplan!P84)</f>
        <v/>
      </c>
      <c r="Q7" s="17">
        <f>IF(Dienstplan!Q84="","",Dienstplan!Q84)</f>
        <v/>
      </c>
      <c r="R7" s="17">
        <f>IF(Dienstplan!R84="","",Dienstplan!R84)</f>
        <v/>
      </c>
      <c r="S7" s="20">
        <f>IF(Dienstplan!S84="","",Dienstplan!S84)</f>
        <v/>
      </c>
      <c r="T7" s="20">
        <f>IF(Dienstplan!T84="","",Dienstplan!T84)</f>
        <v/>
      </c>
      <c r="U7" s="20">
        <f>IF(Dienstplan!U84="","",Dienstplan!U84)</f>
        <v/>
      </c>
      <c r="V7" s="20">
        <f>IF(Dienstplan!V84="","",Dienstplan!V84)</f>
        <v/>
      </c>
      <c r="W7" s="17">
        <f>IF(Dienstplan!W84="","",Dienstplan!W84)</f>
        <v/>
      </c>
      <c r="X7" s="17">
        <f>IF(Dienstplan!X84="","",Dienstplan!X84)</f>
        <v/>
      </c>
      <c r="Y7" s="20">
        <f>IF(Dienstplan!Y84="","",Dienstplan!Y84)</f>
        <v/>
      </c>
      <c r="Z7" s="20">
        <f>IF(Dienstplan!Z84="","",Dienstplan!Z84)</f>
        <v/>
      </c>
      <c r="AA7" s="20">
        <f>IF(Dienstplan!AA84="","",Dienstplan!AA84)</f>
        <v/>
      </c>
      <c r="AB7" s="17">
        <f>IF(Dienstplan!AB84="","",Dienstplan!AB84)</f>
        <v/>
      </c>
      <c r="AC7" s="20">
        <f>IF(Dienstplan!AC84="","",Dienstplan!AC84)</f>
        <v/>
      </c>
      <c r="AD7" s="17">
        <f>IF(Dienstplan!AD84="","",Dienstplan!AD84)</f>
        <v/>
      </c>
      <c r="AE7" s="17">
        <f>IF(Dienstplan!AE84="","",Dienstplan!AE84)</f>
        <v/>
      </c>
      <c r="AF7" s="30">
        <f>IF(Dienstplan!AF84="","",Dienstplan!AF84)</f>
        <v/>
      </c>
    </row>
    <row r="8" ht="16" customHeight="1">
      <c r="A8" s="43" t="inlineStr">
        <is>
          <t>Jochim</t>
        </is>
      </c>
      <c r="B8" s="17">
        <f>IF(Dienstplan!B85="","",Dienstplan!B85)</f>
        <v/>
      </c>
      <c r="C8" s="17">
        <f>IF(Dienstplan!C85="","",Dienstplan!C85)</f>
        <v/>
      </c>
      <c r="D8" s="18">
        <f>IF(Dienstplan!D85="","",Dienstplan!D85)</f>
        <v/>
      </c>
      <c r="E8" s="18">
        <f>IF(Dienstplan!E85="","",Dienstplan!E85)</f>
        <v/>
      </c>
      <c r="F8" s="18">
        <f>IF(Dienstplan!F85="","",Dienstplan!F85)</f>
        <v/>
      </c>
      <c r="G8" s="17">
        <f>IF(Dienstplan!G85="","",Dienstplan!G85)</f>
        <v/>
      </c>
      <c r="H8" s="18">
        <f>IF(Dienstplan!H85="","",Dienstplan!H85)</f>
        <v/>
      </c>
      <c r="I8" s="17">
        <f>IF(Dienstplan!I85="","",Dienstplan!I85)</f>
        <v/>
      </c>
      <c r="J8" s="17">
        <f>IF(Dienstplan!J85="","",Dienstplan!J85)</f>
        <v/>
      </c>
      <c r="K8" s="18">
        <f>IF(Dienstplan!K85="","",Dienstplan!K85)</f>
        <v/>
      </c>
      <c r="L8" s="18">
        <f>IF(Dienstplan!L85="","",Dienstplan!L85)</f>
        <v/>
      </c>
      <c r="M8" s="18">
        <f>IF(Dienstplan!M85="","",Dienstplan!M85)</f>
        <v/>
      </c>
      <c r="N8" s="18">
        <f>IF(Dienstplan!N85="","",Dienstplan!N85)</f>
        <v/>
      </c>
      <c r="O8" s="18">
        <f>IF(Dienstplan!O85="","",Dienstplan!O85)</f>
        <v/>
      </c>
      <c r="P8" s="17">
        <f>IF(Dienstplan!P85="","",Dienstplan!P85)</f>
        <v/>
      </c>
      <c r="Q8" s="17">
        <f>IF(Dienstplan!Q85="","",Dienstplan!Q85)</f>
        <v/>
      </c>
      <c r="R8" s="17">
        <f>IF(Dienstplan!R85="","",Dienstplan!R85)</f>
        <v/>
      </c>
      <c r="S8" s="18">
        <f>IF(Dienstplan!S85="","",Dienstplan!S85)</f>
        <v/>
      </c>
      <c r="T8" s="18">
        <f>IF(Dienstplan!T85="","",Dienstplan!T85)</f>
        <v/>
      </c>
      <c r="U8" s="18">
        <f>IF(Dienstplan!U85="","",Dienstplan!U85)</f>
        <v/>
      </c>
      <c r="V8" s="18">
        <f>IF(Dienstplan!V85="","",Dienstplan!V85)</f>
        <v/>
      </c>
      <c r="W8" s="17">
        <f>IF(Dienstplan!W85="","",Dienstplan!W85)</f>
        <v/>
      </c>
      <c r="X8" s="17">
        <f>IF(Dienstplan!X85="","",Dienstplan!X85)</f>
        <v/>
      </c>
      <c r="Y8" s="18">
        <f>IF(Dienstplan!Y85="","",Dienstplan!Y85)</f>
        <v/>
      </c>
      <c r="Z8" s="18">
        <f>IF(Dienstplan!Z85="","",Dienstplan!Z85)</f>
        <v/>
      </c>
      <c r="AA8" s="18">
        <f>IF(Dienstplan!AA85="","",Dienstplan!AA85)</f>
        <v/>
      </c>
      <c r="AB8" s="17">
        <f>IF(Dienstplan!AB85="","",Dienstplan!AB85)</f>
        <v/>
      </c>
      <c r="AC8" s="18">
        <f>IF(Dienstplan!AC85="","",Dienstplan!AC85)</f>
        <v/>
      </c>
      <c r="AD8" s="17">
        <f>IF(Dienstplan!AD85="","",Dienstplan!AD85)</f>
        <v/>
      </c>
      <c r="AE8" s="17">
        <f>IF(Dienstplan!AE85="","",Dienstplan!AE85)</f>
        <v/>
      </c>
      <c r="AF8" s="29">
        <f>IF(Dienstplan!AF85="","",Dienstplan!AF85)</f>
        <v/>
      </c>
    </row>
    <row r="9" ht="16" customHeight="1">
      <c r="A9" s="43" t="inlineStr">
        <is>
          <t>Wunsch</t>
        </is>
      </c>
      <c r="B9" s="17">
        <f>IF(Dienstplan!B86="","",Dienstplan!B86)</f>
        <v/>
      </c>
      <c r="C9" s="17">
        <f>IF(Dienstplan!C86="","",Dienstplan!C86)</f>
        <v/>
      </c>
      <c r="D9" s="20">
        <f>IF(Dienstplan!D86="","",Dienstplan!D86)</f>
        <v/>
      </c>
      <c r="E9" s="20">
        <f>IF(Dienstplan!E86="","",Dienstplan!E86)</f>
        <v/>
      </c>
      <c r="F9" s="20">
        <f>IF(Dienstplan!F86="","",Dienstplan!F86)</f>
        <v/>
      </c>
      <c r="G9" s="17">
        <f>IF(Dienstplan!G86="","",Dienstplan!G86)</f>
        <v/>
      </c>
      <c r="H9" s="20">
        <f>IF(Dienstplan!H86="","",Dienstplan!H86)</f>
        <v/>
      </c>
      <c r="I9" s="17">
        <f>IF(Dienstplan!I86="","",Dienstplan!I86)</f>
        <v/>
      </c>
      <c r="J9" s="17">
        <f>IF(Dienstplan!J86="","",Dienstplan!J86)</f>
        <v/>
      </c>
      <c r="K9" s="20">
        <f>IF(Dienstplan!K86="","",Dienstplan!K86)</f>
        <v/>
      </c>
      <c r="L9" s="20">
        <f>IF(Dienstplan!L86="","",Dienstplan!L86)</f>
        <v/>
      </c>
      <c r="M9" s="20">
        <f>IF(Dienstplan!M86="","",Dienstplan!M86)</f>
        <v/>
      </c>
      <c r="N9" s="20">
        <f>IF(Dienstplan!N86="","",Dienstplan!N86)</f>
        <v/>
      </c>
      <c r="O9" s="20">
        <f>IF(Dienstplan!O86="","",Dienstplan!O86)</f>
        <v/>
      </c>
      <c r="P9" s="17">
        <f>IF(Dienstplan!P86="","",Dienstplan!P86)</f>
        <v/>
      </c>
      <c r="Q9" s="17">
        <f>IF(Dienstplan!Q86="","",Dienstplan!Q86)</f>
        <v/>
      </c>
      <c r="R9" s="17">
        <f>IF(Dienstplan!R86="","",Dienstplan!R86)</f>
        <v/>
      </c>
      <c r="S9" s="20">
        <f>IF(Dienstplan!S86="","",Dienstplan!S86)</f>
        <v/>
      </c>
      <c r="T9" s="20">
        <f>IF(Dienstplan!T86="","",Dienstplan!T86)</f>
        <v/>
      </c>
      <c r="U9" s="20">
        <f>IF(Dienstplan!U86="","",Dienstplan!U86)</f>
        <v/>
      </c>
      <c r="V9" s="20">
        <f>IF(Dienstplan!V86="","",Dienstplan!V86)</f>
        <v/>
      </c>
      <c r="W9" s="17">
        <f>IF(Dienstplan!W86="","",Dienstplan!W86)</f>
        <v/>
      </c>
      <c r="X9" s="17">
        <f>IF(Dienstplan!X86="","",Dienstplan!X86)</f>
        <v/>
      </c>
      <c r="Y9" s="20">
        <f>IF(Dienstplan!Y86="","",Dienstplan!Y86)</f>
        <v/>
      </c>
      <c r="Z9" s="20">
        <f>IF(Dienstplan!Z86="","",Dienstplan!Z86)</f>
        <v/>
      </c>
      <c r="AA9" s="20">
        <f>IF(Dienstplan!AA86="","",Dienstplan!AA86)</f>
        <v/>
      </c>
      <c r="AB9" s="17">
        <f>IF(Dienstplan!AB86="","",Dienstplan!AB86)</f>
        <v/>
      </c>
      <c r="AC9" s="20">
        <f>IF(Dienstplan!AC86="","",Dienstplan!AC86)</f>
        <v/>
      </c>
      <c r="AD9" s="17">
        <f>IF(Dienstplan!AD86="","",Dienstplan!AD86)</f>
        <v/>
      </c>
      <c r="AE9" s="17">
        <f>IF(Dienstplan!AE86="","",Dienstplan!AE86)</f>
        <v/>
      </c>
      <c r="AF9" s="30">
        <f>IF(Dienstplan!AF86="","",Dienstplan!AF86)</f>
        <v/>
      </c>
    </row>
    <row r="10" ht="16" customHeight="1">
      <c r="A10" s="43" t="inlineStr">
        <is>
          <t>Göpfrich</t>
        </is>
      </c>
      <c r="B10" s="17">
        <f>IF(Dienstplan!B87="","",Dienstplan!B87)</f>
        <v/>
      </c>
      <c r="C10" s="17">
        <f>IF(Dienstplan!C87="","",Dienstplan!C87)</f>
        <v/>
      </c>
      <c r="D10" s="18">
        <f>IF(Dienstplan!D87="","",Dienstplan!D87)</f>
        <v/>
      </c>
      <c r="E10" s="18">
        <f>IF(Dienstplan!E87="","",Dienstplan!E87)</f>
        <v/>
      </c>
      <c r="F10" s="18">
        <f>IF(Dienstplan!F87="","",Dienstplan!F87)</f>
        <v/>
      </c>
      <c r="G10" s="17">
        <f>IF(Dienstplan!G87="","",Dienstplan!G87)</f>
        <v/>
      </c>
      <c r="H10" s="18">
        <f>IF(Dienstplan!H87="","",Dienstplan!H87)</f>
        <v/>
      </c>
      <c r="I10" s="17">
        <f>IF(Dienstplan!I87="","",Dienstplan!I87)</f>
        <v/>
      </c>
      <c r="J10" s="17">
        <f>IF(Dienstplan!J87="","",Dienstplan!J87)</f>
        <v/>
      </c>
      <c r="K10" s="18">
        <f>IF(Dienstplan!K87="","",Dienstplan!K87)</f>
        <v/>
      </c>
      <c r="L10" s="18">
        <f>IF(Dienstplan!L87="","",Dienstplan!L87)</f>
        <v/>
      </c>
      <c r="M10" s="18">
        <f>IF(Dienstplan!M87="","",Dienstplan!M87)</f>
        <v/>
      </c>
      <c r="N10" s="18">
        <f>IF(Dienstplan!N87="","",Dienstplan!N87)</f>
        <v/>
      </c>
      <c r="O10" s="18">
        <f>IF(Dienstplan!O87="","",Dienstplan!O87)</f>
        <v/>
      </c>
      <c r="P10" s="17">
        <f>IF(Dienstplan!P87="","",Dienstplan!P87)</f>
        <v/>
      </c>
      <c r="Q10" s="17">
        <f>IF(Dienstplan!Q87="","",Dienstplan!Q87)</f>
        <v/>
      </c>
      <c r="R10" s="17">
        <f>IF(Dienstplan!R87="","",Dienstplan!R87)</f>
        <v/>
      </c>
      <c r="S10" s="18">
        <f>IF(Dienstplan!S87="","",Dienstplan!S87)</f>
        <v/>
      </c>
      <c r="T10" s="18">
        <f>IF(Dienstplan!T87="","",Dienstplan!T87)</f>
        <v/>
      </c>
      <c r="U10" s="18">
        <f>IF(Dienstplan!U87="","",Dienstplan!U87)</f>
        <v/>
      </c>
      <c r="V10" s="18">
        <f>IF(Dienstplan!V87="","",Dienstplan!V87)</f>
        <v/>
      </c>
      <c r="W10" s="17">
        <f>IF(Dienstplan!W87="","",Dienstplan!W87)</f>
        <v/>
      </c>
      <c r="X10" s="17">
        <f>IF(Dienstplan!X87="","",Dienstplan!X87)</f>
        <v/>
      </c>
      <c r="Y10" s="18">
        <f>IF(Dienstplan!Y87="","",Dienstplan!Y87)</f>
        <v/>
      </c>
      <c r="Z10" s="18">
        <f>IF(Dienstplan!Z87="","",Dienstplan!Z87)</f>
        <v/>
      </c>
      <c r="AA10" s="18">
        <f>IF(Dienstplan!AA87="","",Dienstplan!AA87)</f>
        <v/>
      </c>
      <c r="AB10" s="17">
        <f>IF(Dienstplan!AB87="","",Dienstplan!AB87)</f>
        <v/>
      </c>
      <c r="AC10" s="18">
        <f>IF(Dienstplan!AC87="","",Dienstplan!AC87)</f>
        <v/>
      </c>
      <c r="AD10" s="17">
        <f>IF(Dienstplan!AD87="","",Dienstplan!AD87)</f>
        <v/>
      </c>
      <c r="AE10" s="17">
        <f>IF(Dienstplan!AE87="","",Dienstplan!AE87)</f>
        <v/>
      </c>
      <c r="AF10" s="29">
        <f>IF(Dienstplan!AF87="","",Dienstplan!AF87)</f>
        <v/>
      </c>
    </row>
    <row r="11" ht="16" customHeight="1">
      <c r="A11" s="43" t="inlineStr">
        <is>
          <t>Zeller</t>
        </is>
      </c>
      <c r="B11" s="17">
        <f>IF(Dienstplan!B88="","",Dienstplan!B88)</f>
        <v/>
      </c>
      <c r="C11" s="17">
        <f>IF(Dienstplan!C88="","",Dienstplan!C88)</f>
        <v/>
      </c>
      <c r="D11" s="20">
        <f>IF(Dienstplan!D88="","",Dienstplan!D88)</f>
        <v/>
      </c>
      <c r="E11" s="20">
        <f>IF(Dienstplan!E88="","",Dienstplan!E88)</f>
        <v/>
      </c>
      <c r="F11" s="20">
        <f>IF(Dienstplan!F88="","",Dienstplan!F88)</f>
        <v/>
      </c>
      <c r="G11" s="17">
        <f>IF(Dienstplan!G88="","",Dienstplan!G88)</f>
        <v/>
      </c>
      <c r="H11" s="20">
        <f>IF(Dienstplan!H88="","",Dienstplan!H88)</f>
        <v/>
      </c>
      <c r="I11" s="17">
        <f>IF(Dienstplan!I88="","",Dienstplan!I88)</f>
        <v/>
      </c>
      <c r="J11" s="17">
        <f>IF(Dienstplan!J88="","",Dienstplan!J88)</f>
        <v/>
      </c>
      <c r="K11" s="20">
        <f>IF(Dienstplan!K88="","",Dienstplan!K88)</f>
        <v/>
      </c>
      <c r="L11" s="20">
        <f>IF(Dienstplan!L88="","",Dienstplan!L88)</f>
        <v/>
      </c>
      <c r="M11" s="20">
        <f>IF(Dienstplan!M88="","",Dienstplan!M88)</f>
        <v/>
      </c>
      <c r="N11" s="20">
        <f>IF(Dienstplan!N88="","",Dienstplan!N88)</f>
        <v/>
      </c>
      <c r="O11" s="20">
        <f>IF(Dienstplan!O88="","",Dienstplan!O88)</f>
        <v/>
      </c>
      <c r="P11" s="17">
        <f>IF(Dienstplan!P88="","",Dienstplan!P88)</f>
        <v/>
      </c>
      <c r="Q11" s="17">
        <f>IF(Dienstplan!Q88="","",Dienstplan!Q88)</f>
        <v/>
      </c>
      <c r="R11" s="17">
        <f>IF(Dienstplan!R88="","",Dienstplan!R88)</f>
        <v/>
      </c>
      <c r="S11" s="20">
        <f>IF(Dienstplan!S88="","",Dienstplan!S88)</f>
        <v/>
      </c>
      <c r="T11" s="20">
        <f>IF(Dienstplan!T88="","",Dienstplan!T88)</f>
        <v/>
      </c>
      <c r="U11" s="20">
        <f>IF(Dienstplan!U88="","",Dienstplan!U88)</f>
        <v/>
      </c>
      <c r="V11" s="20">
        <f>IF(Dienstplan!V88="","",Dienstplan!V88)</f>
        <v/>
      </c>
      <c r="W11" s="17">
        <f>IF(Dienstplan!W88="","",Dienstplan!W88)</f>
        <v/>
      </c>
      <c r="X11" s="17">
        <f>IF(Dienstplan!X88="","",Dienstplan!X88)</f>
        <v/>
      </c>
      <c r="Y11" s="20">
        <f>IF(Dienstplan!Y88="","",Dienstplan!Y88)</f>
        <v/>
      </c>
      <c r="Z11" s="20">
        <f>IF(Dienstplan!Z88="","",Dienstplan!Z88)</f>
        <v/>
      </c>
      <c r="AA11" s="20">
        <f>IF(Dienstplan!AA88="","",Dienstplan!AA88)</f>
        <v/>
      </c>
      <c r="AB11" s="17">
        <f>IF(Dienstplan!AB88="","",Dienstplan!AB88)</f>
        <v/>
      </c>
      <c r="AC11" s="20">
        <f>IF(Dienstplan!AC88="","",Dienstplan!AC88)</f>
        <v/>
      </c>
      <c r="AD11" s="17">
        <f>IF(Dienstplan!AD88="","",Dienstplan!AD88)</f>
        <v/>
      </c>
      <c r="AE11" s="17">
        <f>IF(Dienstplan!AE88="","",Dienstplan!AE88)</f>
        <v/>
      </c>
      <c r="AF11" s="30">
        <f>IF(Dienstplan!AF88="","",Dienstplan!AF88)</f>
        <v/>
      </c>
    </row>
    <row r="12" ht="16" customHeight="1">
      <c r="A12" s="43" t="inlineStr">
        <is>
          <t>Behrendt</t>
        </is>
      </c>
      <c r="B12" s="17">
        <f>IF(Dienstplan!B89="","",Dienstplan!B89)</f>
        <v/>
      </c>
      <c r="C12" s="17">
        <f>IF(Dienstplan!C89="","",Dienstplan!C89)</f>
        <v/>
      </c>
      <c r="D12" s="18">
        <f>IF(Dienstplan!D89="","",Dienstplan!D89)</f>
        <v/>
      </c>
      <c r="E12" s="18">
        <f>IF(Dienstplan!E89="","",Dienstplan!E89)</f>
        <v/>
      </c>
      <c r="F12" s="18">
        <f>IF(Dienstplan!F89="","",Dienstplan!F89)</f>
        <v/>
      </c>
      <c r="G12" s="17">
        <f>IF(Dienstplan!G89="","",Dienstplan!G89)</f>
        <v/>
      </c>
      <c r="H12" s="18">
        <f>IF(Dienstplan!H89="","",Dienstplan!H89)</f>
        <v/>
      </c>
      <c r="I12" s="17">
        <f>IF(Dienstplan!I89="","",Dienstplan!I89)</f>
        <v/>
      </c>
      <c r="J12" s="17">
        <f>IF(Dienstplan!J89="","",Dienstplan!J89)</f>
        <v/>
      </c>
      <c r="K12" s="18">
        <f>IF(Dienstplan!K89="","",Dienstplan!K89)</f>
        <v/>
      </c>
      <c r="L12" s="18">
        <f>IF(Dienstplan!L89="","",Dienstplan!L89)</f>
        <v/>
      </c>
      <c r="M12" s="18">
        <f>IF(Dienstplan!M89="","",Dienstplan!M89)</f>
        <v/>
      </c>
      <c r="N12" s="18">
        <f>IF(Dienstplan!N89="","",Dienstplan!N89)</f>
        <v/>
      </c>
      <c r="O12" s="18">
        <f>IF(Dienstplan!O89="","",Dienstplan!O89)</f>
        <v/>
      </c>
      <c r="P12" s="17">
        <f>IF(Dienstplan!P89="","",Dienstplan!P89)</f>
        <v/>
      </c>
      <c r="Q12" s="17">
        <f>IF(Dienstplan!Q89="","",Dienstplan!Q89)</f>
        <v/>
      </c>
      <c r="R12" s="17">
        <f>IF(Dienstplan!R89="","",Dienstplan!R89)</f>
        <v/>
      </c>
      <c r="S12" s="18">
        <f>IF(Dienstplan!S89="","",Dienstplan!S89)</f>
        <v/>
      </c>
      <c r="T12" s="18">
        <f>IF(Dienstplan!T89="","",Dienstplan!T89)</f>
        <v/>
      </c>
      <c r="U12" s="18">
        <f>IF(Dienstplan!U89="","",Dienstplan!U89)</f>
        <v/>
      </c>
      <c r="V12" s="18">
        <f>IF(Dienstplan!V89="","",Dienstplan!V89)</f>
        <v/>
      </c>
      <c r="W12" s="17">
        <f>IF(Dienstplan!W89="","",Dienstplan!W89)</f>
        <v/>
      </c>
      <c r="X12" s="17">
        <f>IF(Dienstplan!X89="","",Dienstplan!X89)</f>
        <v/>
      </c>
      <c r="Y12" s="18">
        <f>IF(Dienstplan!Y89="","",Dienstplan!Y89)</f>
        <v/>
      </c>
      <c r="Z12" s="18">
        <f>IF(Dienstplan!Z89="","",Dienstplan!Z89)</f>
        <v/>
      </c>
      <c r="AA12" s="18">
        <f>IF(Dienstplan!AA89="","",Dienstplan!AA89)</f>
        <v/>
      </c>
      <c r="AB12" s="17">
        <f>IF(Dienstplan!AB89="","",Dienstplan!AB89)</f>
        <v/>
      </c>
      <c r="AC12" s="18">
        <f>IF(Dienstplan!AC89="","",Dienstplan!AC89)</f>
        <v/>
      </c>
      <c r="AD12" s="17">
        <f>IF(Dienstplan!AD89="","",Dienstplan!AD89)</f>
        <v/>
      </c>
      <c r="AE12" s="17">
        <f>IF(Dienstplan!AE89="","",Dienstplan!AE89)</f>
        <v/>
      </c>
      <c r="AF12" s="29">
        <f>IF(Dienstplan!AF89="","",Dienstplan!AF89)</f>
        <v/>
      </c>
    </row>
    <row r="13" ht="16" customHeight="1">
      <c r="A13" s="43" t="inlineStr">
        <is>
          <t>Krempl</t>
        </is>
      </c>
      <c r="B13" s="17">
        <f>IF(Dienstplan!B90="","",Dienstplan!B90)</f>
        <v/>
      </c>
      <c r="C13" s="17">
        <f>IF(Dienstplan!C90="","",Dienstplan!C90)</f>
        <v/>
      </c>
      <c r="D13" s="20">
        <f>IF(Dienstplan!D90="","",Dienstplan!D90)</f>
        <v/>
      </c>
      <c r="E13" s="20">
        <f>IF(Dienstplan!E90="","",Dienstplan!E90)</f>
        <v/>
      </c>
      <c r="F13" s="20">
        <f>IF(Dienstplan!F90="","",Dienstplan!F90)</f>
        <v/>
      </c>
      <c r="G13" s="17">
        <f>IF(Dienstplan!G90="","",Dienstplan!G90)</f>
        <v/>
      </c>
      <c r="H13" s="20">
        <f>IF(Dienstplan!H90="","",Dienstplan!H90)</f>
        <v/>
      </c>
      <c r="I13" s="17">
        <f>IF(Dienstplan!I90="","",Dienstplan!I90)</f>
        <v/>
      </c>
      <c r="J13" s="17">
        <f>IF(Dienstplan!J90="","",Dienstplan!J90)</f>
        <v/>
      </c>
      <c r="K13" s="20">
        <f>IF(Dienstplan!K90="","",Dienstplan!K90)</f>
        <v/>
      </c>
      <c r="L13" s="20">
        <f>IF(Dienstplan!L90="","",Dienstplan!L90)</f>
        <v/>
      </c>
      <c r="M13" s="20">
        <f>IF(Dienstplan!M90="","",Dienstplan!M90)</f>
        <v/>
      </c>
      <c r="N13" s="20">
        <f>IF(Dienstplan!N90="","",Dienstplan!N90)</f>
        <v/>
      </c>
      <c r="O13" s="20">
        <f>IF(Dienstplan!O90="","",Dienstplan!O90)</f>
        <v/>
      </c>
      <c r="P13" s="17">
        <f>IF(Dienstplan!P90="","",Dienstplan!P90)</f>
        <v/>
      </c>
      <c r="Q13" s="17">
        <f>IF(Dienstplan!Q90="","",Dienstplan!Q90)</f>
        <v/>
      </c>
      <c r="R13" s="17">
        <f>IF(Dienstplan!R90="","",Dienstplan!R90)</f>
        <v/>
      </c>
      <c r="S13" s="20">
        <f>IF(Dienstplan!S90="","",Dienstplan!S90)</f>
        <v/>
      </c>
      <c r="T13" s="20">
        <f>IF(Dienstplan!T90="","",Dienstplan!T90)</f>
        <v/>
      </c>
      <c r="U13" s="20">
        <f>IF(Dienstplan!U90="","",Dienstplan!U90)</f>
        <v/>
      </c>
      <c r="V13" s="20">
        <f>IF(Dienstplan!V90="","",Dienstplan!V90)</f>
        <v/>
      </c>
      <c r="W13" s="17">
        <f>IF(Dienstplan!W90="","",Dienstplan!W90)</f>
        <v/>
      </c>
      <c r="X13" s="17">
        <f>IF(Dienstplan!X90="","",Dienstplan!X90)</f>
        <v/>
      </c>
      <c r="Y13" s="20">
        <f>IF(Dienstplan!Y90="","",Dienstplan!Y90)</f>
        <v/>
      </c>
      <c r="Z13" s="20">
        <f>IF(Dienstplan!Z90="","",Dienstplan!Z90)</f>
        <v/>
      </c>
      <c r="AA13" s="20">
        <f>IF(Dienstplan!AA90="","",Dienstplan!AA90)</f>
        <v/>
      </c>
      <c r="AB13" s="17">
        <f>IF(Dienstplan!AB90="","",Dienstplan!AB90)</f>
        <v/>
      </c>
      <c r="AC13" s="20">
        <f>IF(Dienstplan!AC90="","",Dienstplan!AC90)</f>
        <v/>
      </c>
      <c r="AD13" s="17">
        <f>IF(Dienstplan!AD90="","",Dienstplan!AD90)</f>
        <v/>
      </c>
      <c r="AE13" s="17">
        <f>IF(Dienstplan!AE90="","",Dienstplan!AE90)</f>
        <v/>
      </c>
      <c r="AF13" s="30">
        <f>IF(Dienstplan!AF90="","",Dienstplan!AF90)</f>
        <v/>
      </c>
    </row>
    <row r="14" ht="16" customHeight="1">
      <c r="A14" s="43" t="inlineStr">
        <is>
          <t>Putschler</t>
        </is>
      </c>
      <c r="B14" s="17">
        <f>IF(Dienstplan!B91="","",Dienstplan!B91)</f>
        <v/>
      </c>
      <c r="C14" s="17">
        <f>IF(Dienstplan!C91="","",Dienstplan!C91)</f>
        <v/>
      </c>
      <c r="D14" s="18">
        <f>IF(Dienstplan!D91="","",Dienstplan!D91)</f>
        <v/>
      </c>
      <c r="E14" s="18">
        <f>IF(Dienstplan!E91="","",Dienstplan!E91)</f>
        <v/>
      </c>
      <c r="F14" s="18">
        <f>IF(Dienstplan!F91="","",Dienstplan!F91)</f>
        <v/>
      </c>
      <c r="G14" s="17">
        <f>IF(Dienstplan!G91="","",Dienstplan!G91)</f>
        <v/>
      </c>
      <c r="H14" s="18">
        <f>IF(Dienstplan!H91="","",Dienstplan!H91)</f>
        <v/>
      </c>
      <c r="I14" s="17">
        <f>IF(Dienstplan!I91="","",Dienstplan!I91)</f>
        <v/>
      </c>
      <c r="J14" s="17">
        <f>IF(Dienstplan!J91="","",Dienstplan!J91)</f>
        <v/>
      </c>
      <c r="K14" s="18">
        <f>IF(Dienstplan!K91="","",Dienstplan!K91)</f>
        <v/>
      </c>
      <c r="L14" s="18">
        <f>IF(Dienstplan!L91="","",Dienstplan!L91)</f>
        <v/>
      </c>
      <c r="M14" s="18">
        <f>IF(Dienstplan!M91="","",Dienstplan!M91)</f>
        <v/>
      </c>
      <c r="N14" s="18">
        <f>IF(Dienstplan!N91="","",Dienstplan!N91)</f>
        <v/>
      </c>
      <c r="O14" s="18">
        <f>IF(Dienstplan!O91="","",Dienstplan!O91)</f>
        <v/>
      </c>
      <c r="P14" s="17">
        <f>IF(Dienstplan!P91="","",Dienstplan!P91)</f>
        <v/>
      </c>
      <c r="Q14" s="17">
        <f>IF(Dienstplan!Q91="","",Dienstplan!Q91)</f>
        <v/>
      </c>
      <c r="R14" s="17">
        <f>IF(Dienstplan!R91="","",Dienstplan!R91)</f>
        <v/>
      </c>
      <c r="S14" s="18">
        <f>IF(Dienstplan!S91="","",Dienstplan!S91)</f>
        <v/>
      </c>
      <c r="T14" s="18">
        <f>IF(Dienstplan!T91="","",Dienstplan!T91)</f>
        <v/>
      </c>
      <c r="U14" s="18">
        <f>IF(Dienstplan!U91="","",Dienstplan!U91)</f>
        <v/>
      </c>
      <c r="V14" s="18">
        <f>IF(Dienstplan!V91="","",Dienstplan!V91)</f>
        <v/>
      </c>
      <c r="W14" s="17">
        <f>IF(Dienstplan!W91="","",Dienstplan!W91)</f>
        <v/>
      </c>
      <c r="X14" s="17">
        <f>IF(Dienstplan!X91="","",Dienstplan!X91)</f>
        <v/>
      </c>
      <c r="Y14" s="18">
        <f>IF(Dienstplan!Y91="","",Dienstplan!Y91)</f>
        <v/>
      </c>
      <c r="Z14" s="18">
        <f>IF(Dienstplan!Z91="","",Dienstplan!Z91)</f>
        <v/>
      </c>
      <c r="AA14" s="18">
        <f>IF(Dienstplan!AA91="","",Dienstplan!AA91)</f>
        <v/>
      </c>
      <c r="AB14" s="17">
        <f>IF(Dienstplan!AB91="","",Dienstplan!AB91)</f>
        <v/>
      </c>
      <c r="AC14" s="18">
        <f>IF(Dienstplan!AC91="","",Dienstplan!AC91)</f>
        <v/>
      </c>
      <c r="AD14" s="17">
        <f>IF(Dienstplan!AD91="","",Dienstplan!AD91)</f>
        <v/>
      </c>
      <c r="AE14" s="17">
        <f>IF(Dienstplan!AE91="","",Dienstplan!AE91)</f>
        <v/>
      </c>
      <c r="AF14" s="29">
        <f>IF(Dienstplan!AF91="","",Dienstplan!AF91)</f>
        <v/>
      </c>
    </row>
    <row r="15" ht="16" customHeight="1">
      <c r="A15" s="43" t="inlineStr">
        <is>
          <t>Kunz</t>
        </is>
      </c>
      <c r="B15" s="17">
        <f>IF(Dienstplan!B92="","",Dienstplan!B92)</f>
        <v/>
      </c>
      <c r="C15" s="17">
        <f>IF(Dienstplan!C92="","",Dienstplan!C92)</f>
        <v/>
      </c>
      <c r="D15" s="20">
        <f>IF(Dienstplan!D92="","",Dienstplan!D92)</f>
        <v/>
      </c>
      <c r="E15" s="20">
        <f>IF(Dienstplan!E92="","",Dienstplan!E92)</f>
        <v/>
      </c>
      <c r="F15" s="20">
        <f>IF(Dienstplan!F92="","",Dienstplan!F92)</f>
        <v/>
      </c>
      <c r="G15" s="17">
        <f>IF(Dienstplan!G92="","",Dienstplan!G92)</f>
        <v/>
      </c>
      <c r="H15" s="20">
        <f>IF(Dienstplan!H92="","",Dienstplan!H92)</f>
        <v/>
      </c>
      <c r="I15" s="17">
        <f>IF(Dienstplan!I92="","",Dienstplan!I92)</f>
        <v/>
      </c>
      <c r="J15" s="17">
        <f>IF(Dienstplan!J92="","",Dienstplan!J92)</f>
        <v/>
      </c>
      <c r="K15" s="20">
        <f>IF(Dienstplan!K92="","",Dienstplan!K92)</f>
        <v/>
      </c>
      <c r="L15" s="20">
        <f>IF(Dienstplan!L92="","",Dienstplan!L92)</f>
        <v/>
      </c>
      <c r="M15" s="20">
        <f>IF(Dienstplan!M92="","",Dienstplan!M92)</f>
        <v/>
      </c>
      <c r="N15" s="20">
        <f>IF(Dienstplan!N92="","",Dienstplan!N92)</f>
        <v/>
      </c>
      <c r="O15" s="20">
        <f>IF(Dienstplan!O92="","",Dienstplan!O92)</f>
        <v/>
      </c>
      <c r="P15" s="17">
        <f>IF(Dienstplan!P92="","",Dienstplan!P92)</f>
        <v/>
      </c>
      <c r="Q15" s="17">
        <f>IF(Dienstplan!Q92="","",Dienstplan!Q92)</f>
        <v/>
      </c>
      <c r="R15" s="17">
        <f>IF(Dienstplan!R92="","",Dienstplan!R92)</f>
        <v/>
      </c>
      <c r="S15" s="20">
        <f>IF(Dienstplan!S92="","",Dienstplan!S92)</f>
        <v/>
      </c>
      <c r="T15" s="20">
        <f>IF(Dienstplan!T92="","",Dienstplan!T92)</f>
        <v/>
      </c>
      <c r="U15" s="20">
        <f>IF(Dienstplan!U92="","",Dienstplan!U92)</f>
        <v/>
      </c>
      <c r="V15" s="20">
        <f>IF(Dienstplan!V92="","",Dienstplan!V92)</f>
        <v/>
      </c>
      <c r="W15" s="17">
        <f>IF(Dienstplan!W92="","",Dienstplan!W92)</f>
        <v/>
      </c>
      <c r="X15" s="17">
        <f>IF(Dienstplan!X92="","",Dienstplan!X92)</f>
        <v/>
      </c>
      <c r="Y15" s="20">
        <f>IF(Dienstplan!Y92="","",Dienstplan!Y92)</f>
        <v/>
      </c>
      <c r="Z15" s="20">
        <f>IF(Dienstplan!Z92="","",Dienstplan!Z92)</f>
        <v/>
      </c>
      <c r="AA15" s="20">
        <f>IF(Dienstplan!AA92="","",Dienstplan!AA92)</f>
        <v/>
      </c>
      <c r="AB15" s="17">
        <f>IF(Dienstplan!AB92="","",Dienstplan!AB92)</f>
        <v/>
      </c>
      <c r="AC15" s="20">
        <f>IF(Dienstplan!AC92="","",Dienstplan!AC92)</f>
        <v/>
      </c>
      <c r="AD15" s="17">
        <f>IF(Dienstplan!AD92="","",Dienstplan!AD92)</f>
        <v/>
      </c>
      <c r="AE15" s="17">
        <f>IF(Dienstplan!AE92="","",Dienstplan!AE92)</f>
        <v/>
      </c>
      <c r="AF15" s="30">
        <f>IF(Dienstplan!AF92="","",Dienstplan!AF92)</f>
        <v/>
      </c>
    </row>
    <row r="16" hidden="1" ht="16" customHeight="1">
      <c r="A16" s="44" t="inlineStr">
        <is>
          <t>Schmidt</t>
        </is>
      </c>
      <c r="B16" s="17">
        <f>IF(Dienstplan!B93="","",Dienstplan!B93)</f>
        <v/>
      </c>
      <c r="C16" s="17">
        <f>IF(Dienstplan!C93="","",Dienstplan!C93)</f>
        <v/>
      </c>
      <c r="D16" s="18">
        <f>IF(Dienstplan!D93="","",Dienstplan!D93)</f>
        <v/>
      </c>
      <c r="E16" s="18">
        <f>IF(Dienstplan!E93="","",Dienstplan!E93)</f>
        <v/>
      </c>
      <c r="F16" s="18">
        <f>IF(Dienstplan!F93="","",Dienstplan!F93)</f>
        <v/>
      </c>
      <c r="G16" s="17">
        <f>IF(Dienstplan!G93="","",Dienstplan!G93)</f>
        <v/>
      </c>
      <c r="H16" s="18">
        <f>IF(Dienstplan!H93="","",Dienstplan!H93)</f>
        <v/>
      </c>
      <c r="I16" s="17">
        <f>IF(Dienstplan!I93="","",Dienstplan!I93)</f>
        <v/>
      </c>
      <c r="J16" s="17">
        <f>IF(Dienstplan!J93="","",Dienstplan!J93)</f>
        <v/>
      </c>
      <c r="K16" s="18">
        <f>IF(Dienstplan!K93="","",Dienstplan!K93)</f>
        <v/>
      </c>
      <c r="L16" s="18">
        <f>IF(Dienstplan!L93="","",Dienstplan!L93)</f>
        <v/>
      </c>
      <c r="M16" s="18">
        <f>IF(Dienstplan!M93="","",Dienstplan!M93)</f>
        <v/>
      </c>
      <c r="N16" s="18">
        <f>IF(Dienstplan!N93="","",Dienstplan!N93)</f>
        <v/>
      </c>
      <c r="O16" s="18">
        <f>IF(Dienstplan!O93="","",Dienstplan!O93)</f>
        <v/>
      </c>
      <c r="P16" s="17">
        <f>IF(Dienstplan!P93="","",Dienstplan!P93)</f>
        <v/>
      </c>
      <c r="Q16" s="17">
        <f>IF(Dienstplan!Q93="","",Dienstplan!Q93)</f>
        <v/>
      </c>
      <c r="R16" s="17">
        <f>IF(Dienstplan!R93="","",Dienstplan!R93)</f>
        <v/>
      </c>
      <c r="S16" s="18">
        <f>IF(Dienstplan!S93="","",Dienstplan!S93)</f>
        <v/>
      </c>
      <c r="T16" s="18">
        <f>IF(Dienstplan!T93="","",Dienstplan!T93)</f>
        <v/>
      </c>
      <c r="U16" s="18">
        <f>IF(Dienstplan!U93="","",Dienstplan!U93)</f>
        <v/>
      </c>
      <c r="V16" s="18">
        <f>IF(Dienstplan!V93="","",Dienstplan!V93)</f>
        <v/>
      </c>
      <c r="W16" s="17">
        <f>IF(Dienstplan!W93="","",Dienstplan!W93)</f>
        <v/>
      </c>
      <c r="X16" s="17">
        <f>IF(Dienstplan!X93="","",Dienstplan!X93)</f>
        <v/>
      </c>
      <c r="Y16" s="18">
        <f>IF(Dienstplan!Y93="","",Dienstplan!Y93)</f>
        <v/>
      </c>
      <c r="Z16" s="18">
        <f>IF(Dienstplan!Z93="","",Dienstplan!Z93)</f>
        <v/>
      </c>
      <c r="AA16" s="18">
        <f>IF(Dienstplan!AA93="","",Dienstplan!AA93)</f>
        <v/>
      </c>
      <c r="AB16" s="17">
        <f>IF(Dienstplan!AB93="","",Dienstplan!AB93)</f>
        <v/>
      </c>
      <c r="AC16" s="18">
        <f>IF(Dienstplan!AC93="","",Dienstplan!AC93)</f>
        <v/>
      </c>
      <c r="AD16" s="17">
        <f>IF(Dienstplan!AD93="","",Dienstplan!AD93)</f>
        <v/>
      </c>
      <c r="AE16" s="17">
        <f>IF(Dienstplan!AE93="","",Dienstplan!AE93)</f>
        <v/>
      </c>
      <c r="AF16" s="29">
        <f>IF(Dienstplan!AF93="","",Dienstplan!AF93)</f>
        <v/>
      </c>
    </row>
    <row r="17" hidden="1" ht="16" customHeight="1">
      <c r="A17" s="44" t="inlineStr">
        <is>
          <t>Radimersky</t>
        </is>
      </c>
      <c r="B17" s="17">
        <f>IF(Dienstplan!B94="","",Dienstplan!B94)</f>
        <v/>
      </c>
      <c r="C17" s="17">
        <f>IF(Dienstplan!C94="","",Dienstplan!C94)</f>
        <v/>
      </c>
      <c r="D17" s="20">
        <f>IF(Dienstplan!D94="","",Dienstplan!D94)</f>
        <v/>
      </c>
      <c r="E17" s="20">
        <f>IF(Dienstplan!E94="","",Dienstplan!E94)</f>
        <v/>
      </c>
      <c r="F17" s="20">
        <f>IF(Dienstplan!F94="","",Dienstplan!F94)</f>
        <v/>
      </c>
      <c r="G17" s="17">
        <f>IF(Dienstplan!G94="","",Dienstplan!G94)</f>
        <v/>
      </c>
      <c r="H17" s="20">
        <f>IF(Dienstplan!H94="","",Dienstplan!H94)</f>
        <v/>
      </c>
      <c r="I17" s="17">
        <f>IF(Dienstplan!I94="","",Dienstplan!I94)</f>
        <v/>
      </c>
      <c r="J17" s="17">
        <f>IF(Dienstplan!J94="","",Dienstplan!J94)</f>
        <v/>
      </c>
      <c r="K17" s="20">
        <f>IF(Dienstplan!K94="","",Dienstplan!K94)</f>
        <v/>
      </c>
      <c r="L17" s="20">
        <f>IF(Dienstplan!L94="","",Dienstplan!L94)</f>
        <v/>
      </c>
      <c r="M17" s="20">
        <f>IF(Dienstplan!M94="","",Dienstplan!M94)</f>
        <v/>
      </c>
      <c r="N17" s="20">
        <f>IF(Dienstplan!N94="","",Dienstplan!N94)</f>
        <v/>
      </c>
      <c r="O17" s="20">
        <f>IF(Dienstplan!O94="","",Dienstplan!O94)</f>
        <v/>
      </c>
      <c r="P17" s="17">
        <f>IF(Dienstplan!P94="","",Dienstplan!P94)</f>
        <v/>
      </c>
      <c r="Q17" s="17">
        <f>IF(Dienstplan!Q94="","",Dienstplan!Q94)</f>
        <v/>
      </c>
      <c r="R17" s="17">
        <f>IF(Dienstplan!R94="","",Dienstplan!R94)</f>
        <v/>
      </c>
      <c r="S17" s="20">
        <f>IF(Dienstplan!S94="","",Dienstplan!S94)</f>
        <v/>
      </c>
      <c r="T17" s="20">
        <f>IF(Dienstplan!T94="","",Dienstplan!T94)</f>
        <v/>
      </c>
      <c r="U17" s="20">
        <f>IF(Dienstplan!U94="","",Dienstplan!U94)</f>
        <v/>
      </c>
      <c r="V17" s="20">
        <f>IF(Dienstplan!V94="","",Dienstplan!V94)</f>
        <v/>
      </c>
      <c r="W17" s="17">
        <f>IF(Dienstplan!W94="","",Dienstplan!W94)</f>
        <v/>
      </c>
      <c r="X17" s="17">
        <f>IF(Dienstplan!X94="","",Dienstplan!X94)</f>
        <v/>
      </c>
      <c r="Y17" s="20">
        <f>IF(Dienstplan!Y94="","",Dienstplan!Y94)</f>
        <v/>
      </c>
      <c r="Z17" s="20">
        <f>IF(Dienstplan!Z94="","",Dienstplan!Z94)</f>
        <v/>
      </c>
      <c r="AA17" s="20">
        <f>IF(Dienstplan!AA94="","",Dienstplan!AA94)</f>
        <v/>
      </c>
      <c r="AB17" s="17">
        <f>IF(Dienstplan!AB94="","",Dienstplan!AB94)</f>
        <v/>
      </c>
      <c r="AC17" s="20">
        <f>IF(Dienstplan!AC94="","",Dienstplan!AC94)</f>
        <v/>
      </c>
      <c r="AD17" s="17">
        <f>IF(Dienstplan!AD94="","",Dienstplan!AD94)</f>
        <v/>
      </c>
      <c r="AE17" s="17">
        <f>IF(Dienstplan!AE94="","",Dienstplan!AE94)</f>
        <v/>
      </c>
      <c r="AF17" s="30">
        <f>IF(Dienstplan!AF94="","",Dienstplan!AF94)</f>
        <v/>
      </c>
    </row>
    <row r="18" ht="15" customHeight="1">
      <c r="A18" s="21" t="inlineStr">
        <is>
          <t>Besetzung</t>
        </is>
      </c>
      <c r="B18" s="22" t="n"/>
      <c r="C18" s="22" t="n"/>
      <c r="D18" s="23">
        <f>IF(AND(COUNTIF(D6:D17,"FI")&gt;0,COUNTIF(D6:D17,"SI")&gt;0,COUNTIF(D6:D17,"NI")&gt;0),"","!")</f>
        <v/>
      </c>
      <c r="E18" s="23">
        <f>IF(AND(COUNTIF(E6:E17,"FI")&gt;0,COUNTIF(E6:E17,"SI")&gt;0,COUNTIF(E6:E17,"NI")&gt;0),"","!")</f>
        <v/>
      </c>
      <c r="F18" s="23">
        <f>IF(AND(COUNTIF(F6:F17,"FI")&gt;0,COUNTIF(F6:F17,"SI")&gt;0,COUNTIF(F6:F17,"NI")&gt;0),"","!")</f>
        <v/>
      </c>
      <c r="G18" s="22" t="n"/>
      <c r="H18" s="23">
        <f>IF(AND(COUNTIF(H6:H17,"FI")&gt;0,COUNTIF(H6:H17,"SI")&gt;0),"","!")</f>
        <v/>
      </c>
      <c r="I18" s="22" t="n"/>
      <c r="J18" s="22" t="n"/>
      <c r="K18" s="23">
        <f>IF(AND(COUNTIF(K6:K17,"FI")&gt;0,COUNTIF(K6:K17,"SI")&gt;0,COUNTIF(K6:K17,"NI")&gt;0),"","!")</f>
        <v/>
      </c>
      <c r="L18" s="23">
        <f>IF(AND(COUNTIF(L6:L17,"FI")&gt;0,COUNTIF(L6:L17,"SI")&gt;0,COUNTIF(L6:L17,"NI")&gt;0),"","!")</f>
        <v/>
      </c>
      <c r="M18" s="23">
        <f>IF(AND(COUNTIF(M6:M17,"FI")&gt;0,COUNTIF(M6:M17,"SI")&gt;0,COUNTIF(M6:M17,"NI")&gt;0),"","!")</f>
        <v/>
      </c>
      <c r="N18" s="23">
        <f>IF(AND(COUNTIF(N6:N17,"FI")&gt;0,COUNTIF(N6:N17,"SI")&gt;0,COUNTIF(N6:N17,"NI")&gt;0),"","!")</f>
        <v/>
      </c>
      <c r="O18" s="23">
        <f>IF(AND(COUNTIF(O6:O17,"FI")&gt;0,COUNTIF(O6:O17,"SI")&gt;0),"","!")</f>
        <v/>
      </c>
      <c r="P18" s="22" t="n"/>
      <c r="Q18" s="22" t="n"/>
      <c r="R18" s="22" t="n"/>
      <c r="S18" s="23">
        <f>IF(AND(COUNTIF(S6:S17,"FI")&gt;0,COUNTIF(S6:S17,"SI")&gt;0,COUNTIF(S6:S17,"NI")&gt;0),"","!")</f>
        <v/>
      </c>
      <c r="T18" s="23">
        <f>IF(AND(COUNTIF(T6:T17,"FI")&gt;0,COUNTIF(T6:T17,"SI")&gt;0,COUNTIF(T6:T17,"NI")&gt;0),"","!")</f>
        <v/>
      </c>
      <c r="U18" s="23">
        <f>IF(AND(COUNTIF(U6:U17,"FI")&gt;0,COUNTIF(U6:U17,"SI")&gt;0,COUNTIF(U6:U17,"NI")&gt;0),"","!")</f>
        <v/>
      </c>
      <c r="V18" s="23">
        <f>IF(AND(COUNTIF(V6:V17,"FI")&gt;0,COUNTIF(V6:V17,"SI")&gt;0),"","!")</f>
        <v/>
      </c>
      <c r="W18" s="22" t="n"/>
      <c r="X18" s="22" t="n"/>
      <c r="Y18" s="23">
        <f>IF(AND(COUNTIF(Y6:Y17,"FI")&gt;0,COUNTIF(Y6:Y17,"SI")&gt;0,COUNTIF(Y6:Y17,"NI")&gt;0),"","!")</f>
        <v/>
      </c>
      <c r="Z18" s="23">
        <f>IF(AND(COUNTIF(Z6:Z17,"FI")&gt;0,COUNTIF(Z6:Z17,"SI")&gt;0,COUNTIF(Z6:Z17,"NI")&gt;0),"","!")</f>
        <v/>
      </c>
      <c r="AA18" s="23">
        <f>IF(AND(COUNTIF(AA6:AA17,"FI")&gt;0,COUNTIF(AA6:AA17,"SI")&gt;0,COUNTIF(AA6:AA17,"NI")&gt;0),"","!")</f>
        <v/>
      </c>
      <c r="AB18" s="22" t="n"/>
      <c r="AC18" s="23">
        <f>IF(AND(COUNTIF(AC6:AC17,"FI")&gt;0,COUNTIF(AC6:AC17,"SI")&gt;0),"","!")</f>
        <v/>
      </c>
      <c r="AD18" s="22" t="n"/>
      <c r="AE18" s="22" t="n"/>
      <c r="AF18" s="31">
        <f>IF(AND(COUNTIF(AF6:AF17,"FI")&gt;0,COUNTIF(AF6:AF17,"SI")&gt;0,COUNTIF(AF6:AF17,"NI")&gt;0),"","!")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R2:AC2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F18">
    <cfRule type="cellIs" priority="1" operator="equal" dxfId="5" stopIfTrue="1">
      <formula>"!"</formula>
    </cfRule>
  </conditionalFormatting>
  <conditionalFormatting sqref="B6:AF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Juni 2027</t>
        </is>
      </c>
      <c r="AB1" s="33" t="inlineStr">
        <is>
          <t>AT: 22   Sa: 4</t>
        </is>
      </c>
    </row>
    <row r="3" ht="18" customHeight="1">
      <c r="A3" s="34" t="inlineStr">
        <is>
          <t>Tag</t>
        </is>
      </c>
      <c r="B3" s="36" t="n">
        <v>1</v>
      </c>
      <c r="C3" s="36" t="n">
        <v>2</v>
      </c>
      <c r="D3" s="36" t="n">
        <v>3</v>
      </c>
      <c r="E3" s="36" t="n">
        <v>4</v>
      </c>
      <c r="F3" s="35" t="n">
        <v>5</v>
      </c>
      <c r="G3" s="35" t="n">
        <v>6</v>
      </c>
      <c r="H3" s="36" t="n">
        <v>7</v>
      </c>
      <c r="I3" s="36" t="n">
        <v>8</v>
      </c>
      <c r="J3" s="36" t="n">
        <v>9</v>
      </c>
      <c r="K3" s="36" t="n">
        <v>10</v>
      </c>
      <c r="L3" s="36" t="n">
        <v>11</v>
      </c>
      <c r="M3" s="35" t="n">
        <v>12</v>
      </c>
      <c r="N3" s="35" t="n">
        <v>13</v>
      </c>
      <c r="O3" s="36" t="n">
        <v>14</v>
      </c>
      <c r="P3" s="36" t="n">
        <v>15</v>
      </c>
      <c r="Q3" s="36" t="n">
        <v>16</v>
      </c>
      <c r="R3" s="36" t="n">
        <v>17</v>
      </c>
      <c r="S3" s="36" t="n">
        <v>18</v>
      </c>
      <c r="T3" s="35" t="n">
        <v>19</v>
      </c>
      <c r="U3" s="35" t="n">
        <v>20</v>
      </c>
      <c r="V3" s="36" t="n">
        <v>21</v>
      </c>
      <c r="W3" s="36" t="n">
        <v>22</v>
      </c>
      <c r="X3" s="36" t="n">
        <v>23</v>
      </c>
      <c r="Y3" s="36" t="n">
        <v>24</v>
      </c>
      <c r="Z3" s="36" t="n">
        <v>25</v>
      </c>
      <c r="AA3" s="35" t="n">
        <v>26</v>
      </c>
      <c r="AB3" s="35" t="n">
        <v>27</v>
      </c>
      <c r="AC3" s="36" t="n">
        <v>28</v>
      </c>
      <c r="AD3" s="36" t="n">
        <v>29</v>
      </c>
      <c r="AE3" s="65" t="n">
        <v>30</v>
      </c>
    </row>
    <row r="4" ht="18" customHeight="1">
      <c r="A4" s="9" t="inlineStr">
        <is>
          <t>WT</t>
        </is>
      </c>
      <c r="B4" s="14" t="inlineStr">
        <is>
          <t>Di</t>
        </is>
      </c>
      <c r="C4" s="14" t="inlineStr">
        <is>
          <t>Mi</t>
        </is>
      </c>
      <c r="D4" s="14" t="inlineStr">
        <is>
          <t>Do</t>
        </is>
      </c>
      <c r="E4" s="14" t="inlineStr">
        <is>
          <t>Fr</t>
        </is>
      </c>
      <c r="F4" s="13" t="inlineStr">
        <is>
          <t>Sa</t>
        </is>
      </c>
      <c r="G4" s="13" t="inlineStr">
        <is>
          <t>So</t>
        </is>
      </c>
      <c r="H4" s="14" t="inlineStr">
        <is>
          <t>Mo</t>
        </is>
      </c>
      <c r="I4" s="14" t="inlineStr">
        <is>
          <t>Di</t>
        </is>
      </c>
      <c r="J4" s="14" t="inlineStr">
        <is>
          <t>Mi</t>
        </is>
      </c>
      <c r="K4" s="14" t="inlineStr">
        <is>
          <t>Do</t>
        </is>
      </c>
      <c r="L4" s="14" t="inlineStr">
        <is>
          <t>Fr</t>
        </is>
      </c>
      <c r="M4" s="13" t="inlineStr">
        <is>
          <t>Sa</t>
        </is>
      </c>
      <c r="N4" s="13" t="inlineStr">
        <is>
          <t>So</t>
        </is>
      </c>
      <c r="O4" s="14" t="inlineStr">
        <is>
          <t>Mo</t>
        </is>
      </c>
      <c r="P4" s="14" t="inlineStr">
        <is>
          <t>Di</t>
        </is>
      </c>
      <c r="Q4" s="14" t="inlineStr">
        <is>
          <t>Mi</t>
        </is>
      </c>
      <c r="R4" s="14" t="inlineStr">
        <is>
          <t>Do</t>
        </is>
      </c>
      <c r="S4" s="14" t="inlineStr">
        <is>
          <t>Fr</t>
        </is>
      </c>
      <c r="T4" s="13" t="inlineStr">
        <is>
          <t>Sa</t>
        </is>
      </c>
      <c r="U4" s="13" t="inlineStr">
        <is>
          <t>So</t>
        </is>
      </c>
      <c r="V4" s="14" t="inlineStr">
        <is>
          <t>Mo</t>
        </is>
      </c>
      <c r="W4" s="14" t="inlineStr">
        <is>
          <t>Di</t>
        </is>
      </c>
      <c r="X4" s="14" t="inlineStr">
        <is>
          <t>Mi</t>
        </is>
      </c>
      <c r="Y4" s="14" t="inlineStr">
        <is>
          <t>Do</t>
        </is>
      </c>
      <c r="Z4" s="14" t="inlineStr">
        <is>
          <t>Fr</t>
        </is>
      </c>
      <c r="AA4" s="13" t="inlineStr">
        <is>
          <t>Sa</t>
        </is>
      </c>
      <c r="AB4" s="13" t="inlineStr">
        <is>
          <t>So</t>
        </is>
      </c>
      <c r="AC4" s="14" t="inlineStr">
        <is>
          <t>Mo</t>
        </is>
      </c>
      <c r="AD4" s="14" t="inlineStr">
        <is>
          <t>Di</t>
        </is>
      </c>
      <c r="AE4" s="28" t="inlineStr">
        <is>
          <t>Mi</t>
        </is>
      </c>
    </row>
    <row r="5" ht="15" customHeight="1">
      <c r="A5" s="9" t="inlineStr">
        <is>
          <t>KW</t>
        </is>
      </c>
      <c r="B5" s="40" t="n">
        <v>22</v>
      </c>
      <c r="C5" s="41" t="n"/>
      <c r="D5" s="41" t="n"/>
      <c r="E5" s="41" t="n"/>
      <c r="F5" s="39" t="n"/>
      <c r="G5" s="39" t="n"/>
      <c r="H5" s="40" t="n">
        <v>23</v>
      </c>
      <c r="I5" s="41" t="n"/>
      <c r="J5" s="41" t="n"/>
      <c r="K5" s="41" t="n"/>
      <c r="L5" s="41" t="n"/>
      <c r="M5" s="39" t="n"/>
      <c r="N5" s="39" t="n"/>
      <c r="O5" s="40" t="n">
        <v>24</v>
      </c>
      <c r="P5" s="41" t="n"/>
      <c r="Q5" s="41" t="n"/>
      <c r="R5" s="41" t="n"/>
      <c r="S5" s="41" t="n"/>
      <c r="T5" s="39" t="n"/>
      <c r="U5" s="39" t="n"/>
      <c r="V5" s="40" t="n">
        <v>25</v>
      </c>
      <c r="W5" s="41" t="n"/>
      <c r="X5" s="41" t="n"/>
      <c r="Y5" s="41" t="n"/>
      <c r="Z5" s="41" t="n"/>
      <c r="AA5" s="39" t="n"/>
      <c r="AB5" s="39" t="n"/>
      <c r="AC5" s="40" t="n">
        <v>26</v>
      </c>
      <c r="AD5" s="41" t="n"/>
      <c r="AE5" s="66" t="n"/>
    </row>
    <row r="6" ht="16" customHeight="1">
      <c r="A6" s="43" t="inlineStr">
        <is>
          <t>Breig</t>
        </is>
      </c>
      <c r="B6" s="18">
        <f>IF(Dienstplan!B101="","",Dienstplan!B101)</f>
        <v/>
      </c>
      <c r="C6" s="18">
        <f>IF(Dienstplan!C101="","",Dienstplan!C101)</f>
        <v/>
      </c>
      <c r="D6" s="18">
        <f>IF(Dienstplan!D101="","",Dienstplan!D101)</f>
        <v/>
      </c>
      <c r="E6" s="18">
        <f>IF(Dienstplan!E101="","",Dienstplan!E101)</f>
        <v/>
      </c>
      <c r="F6" s="17">
        <f>IF(Dienstplan!F101="","",Dienstplan!F101)</f>
        <v/>
      </c>
      <c r="G6" s="17">
        <f>IF(Dienstplan!G101="","",Dienstplan!G101)</f>
        <v/>
      </c>
      <c r="H6" s="18">
        <f>IF(Dienstplan!H101="","",Dienstplan!H101)</f>
        <v/>
      </c>
      <c r="I6" s="18">
        <f>IF(Dienstplan!I101="","",Dienstplan!I101)</f>
        <v/>
      </c>
      <c r="J6" s="18">
        <f>IF(Dienstplan!J101="","",Dienstplan!J101)</f>
        <v/>
      </c>
      <c r="K6" s="18">
        <f>IF(Dienstplan!K101="","",Dienstplan!K101)</f>
        <v/>
      </c>
      <c r="L6" s="18">
        <f>IF(Dienstplan!L101="","",Dienstplan!L101)</f>
        <v/>
      </c>
      <c r="M6" s="17">
        <f>IF(Dienstplan!M101="","",Dienstplan!M101)</f>
        <v/>
      </c>
      <c r="N6" s="17">
        <f>IF(Dienstplan!N101="","",Dienstplan!N101)</f>
        <v/>
      </c>
      <c r="O6" s="18">
        <f>IF(Dienstplan!O101="","",Dienstplan!O101)</f>
        <v/>
      </c>
      <c r="P6" s="18">
        <f>IF(Dienstplan!P101="","",Dienstplan!P101)</f>
        <v/>
      </c>
      <c r="Q6" s="18">
        <f>IF(Dienstplan!Q101="","",Dienstplan!Q101)</f>
        <v/>
      </c>
      <c r="R6" s="18">
        <f>IF(Dienstplan!R101="","",Dienstplan!R101)</f>
        <v/>
      </c>
      <c r="S6" s="18">
        <f>IF(Dienstplan!S101="","",Dienstplan!S101)</f>
        <v/>
      </c>
      <c r="T6" s="17">
        <f>IF(Dienstplan!T101="","",Dienstplan!T101)</f>
        <v/>
      </c>
      <c r="U6" s="17">
        <f>IF(Dienstplan!U101="","",Dienstplan!U101)</f>
        <v/>
      </c>
      <c r="V6" s="18">
        <f>IF(Dienstplan!V101="","",Dienstplan!V101)</f>
        <v/>
      </c>
      <c r="W6" s="18">
        <f>IF(Dienstplan!W101="","",Dienstplan!W101)</f>
        <v/>
      </c>
      <c r="X6" s="18">
        <f>IF(Dienstplan!X101="","",Dienstplan!X101)</f>
        <v/>
      </c>
      <c r="Y6" s="18">
        <f>IF(Dienstplan!Y101="","",Dienstplan!Y101)</f>
        <v/>
      </c>
      <c r="Z6" s="18">
        <f>IF(Dienstplan!Z101="","",Dienstplan!Z101)</f>
        <v/>
      </c>
      <c r="AA6" s="17">
        <f>IF(Dienstplan!AA101="","",Dienstplan!AA101)</f>
        <v/>
      </c>
      <c r="AB6" s="17">
        <f>IF(Dienstplan!AB101="","",Dienstplan!AB101)</f>
        <v/>
      </c>
      <c r="AC6" s="18">
        <f>IF(Dienstplan!AC101="","",Dienstplan!AC101)</f>
        <v/>
      </c>
      <c r="AD6" s="18">
        <f>IF(Dienstplan!AD101="","",Dienstplan!AD101)</f>
        <v/>
      </c>
      <c r="AE6" s="29">
        <f>IF(Dienstplan!AE101="","",Dienstplan!AE101)</f>
        <v/>
      </c>
    </row>
    <row r="7" ht="16" customHeight="1">
      <c r="A7" s="43" t="inlineStr">
        <is>
          <t>Siebert</t>
        </is>
      </c>
      <c r="B7" s="20">
        <f>IF(Dienstplan!B102="","",Dienstplan!B102)</f>
        <v/>
      </c>
      <c r="C7" s="20">
        <f>IF(Dienstplan!C102="","",Dienstplan!C102)</f>
        <v/>
      </c>
      <c r="D7" s="20">
        <f>IF(Dienstplan!D102="","",Dienstplan!D102)</f>
        <v/>
      </c>
      <c r="E7" s="20">
        <f>IF(Dienstplan!E102="","",Dienstplan!E102)</f>
        <v/>
      </c>
      <c r="F7" s="17">
        <f>IF(Dienstplan!F102="","",Dienstplan!F102)</f>
        <v/>
      </c>
      <c r="G7" s="17">
        <f>IF(Dienstplan!G102="","",Dienstplan!G102)</f>
        <v/>
      </c>
      <c r="H7" s="20">
        <f>IF(Dienstplan!H102="","",Dienstplan!H102)</f>
        <v/>
      </c>
      <c r="I7" s="20">
        <f>IF(Dienstplan!I102="","",Dienstplan!I102)</f>
        <v/>
      </c>
      <c r="J7" s="20">
        <f>IF(Dienstplan!J102="","",Dienstplan!J102)</f>
        <v/>
      </c>
      <c r="K7" s="20">
        <f>IF(Dienstplan!K102="","",Dienstplan!K102)</f>
        <v/>
      </c>
      <c r="L7" s="20">
        <f>IF(Dienstplan!L102="","",Dienstplan!L102)</f>
        <v/>
      </c>
      <c r="M7" s="17">
        <f>IF(Dienstplan!M102="","",Dienstplan!M102)</f>
        <v/>
      </c>
      <c r="N7" s="17">
        <f>IF(Dienstplan!N102="","",Dienstplan!N102)</f>
        <v/>
      </c>
      <c r="O7" s="20">
        <f>IF(Dienstplan!O102="","",Dienstplan!O102)</f>
        <v/>
      </c>
      <c r="P7" s="20">
        <f>IF(Dienstplan!P102="","",Dienstplan!P102)</f>
        <v/>
      </c>
      <c r="Q7" s="20">
        <f>IF(Dienstplan!Q102="","",Dienstplan!Q102)</f>
        <v/>
      </c>
      <c r="R7" s="20">
        <f>IF(Dienstplan!R102="","",Dienstplan!R102)</f>
        <v/>
      </c>
      <c r="S7" s="20">
        <f>IF(Dienstplan!S102="","",Dienstplan!S102)</f>
        <v/>
      </c>
      <c r="T7" s="17">
        <f>IF(Dienstplan!T102="","",Dienstplan!T102)</f>
        <v/>
      </c>
      <c r="U7" s="17">
        <f>IF(Dienstplan!U102="","",Dienstplan!U102)</f>
        <v/>
      </c>
      <c r="V7" s="20">
        <f>IF(Dienstplan!V102="","",Dienstplan!V102)</f>
        <v/>
      </c>
      <c r="W7" s="20">
        <f>IF(Dienstplan!W102="","",Dienstplan!W102)</f>
        <v/>
      </c>
      <c r="X7" s="20">
        <f>IF(Dienstplan!X102="","",Dienstplan!X102)</f>
        <v/>
      </c>
      <c r="Y7" s="20">
        <f>IF(Dienstplan!Y102="","",Dienstplan!Y102)</f>
        <v/>
      </c>
      <c r="Z7" s="20">
        <f>IF(Dienstplan!Z102="","",Dienstplan!Z102)</f>
        <v/>
      </c>
      <c r="AA7" s="17">
        <f>IF(Dienstplan!AA102="","",Dienstplan!AA102)</f>
        <v/>
      </c>
      <c r="AB7" s="17">
        <f>IF(Dienstplan!AB102="","",Dienstplan!AB102)</f>
        <v/>
      </c>
      <c r="AC7" s="20">
        <f>IF(Dienstplan!AC102="","",Dienstplan!AC102)</f>
        <v/>
      </c>
      <c r="AD7" s="20">
        <f>IF(Dienstplan!AD102="","",Dienstplan!AD102)</f>
        <v/>
      </c>
      <c r="AE7" s="30">
        <f>IF(Dienstplan!AE102="","",Dienstplan!AE102)</f>
        <v/>
      </c>
    </row>
    <row r="8" ht="16" customHeight="1">
      <c r="A8" s="43" t="inlineStr">
        <is>
          <t>Jochim</t>
        </is>
      </c>
      <c r="B8" s="18">
        <f>IF(Dienstplan!B103="","",Dienstplan!B103)</f>
        <v/>
      </c>
      <c r="C8" s="18">
        <f>IF(Dienstplan!C103="","",Dienstplan!C103)</f>
        <v/>
      </c>
      <c r="D8" s="18">
        <f>IF(Dienstplan!D103="","",Dienstplan!D103)</f>
        <v/>
      </c>
      <c r="E8" s="18">
        <f>IF(Dienstplan!E103="","",Dienstplan!E103)</f>
        <v/>
      </c>
      <c r="F8" s="17">
        <f>IF(Dienstplan!F103="","",Dienstplan!F103)</f>
        <v/>
      </c>
      <c r="G8" s="17">
        <f>IF(Dienstplan!G103="","",Dienstplan!G103)</f>
        <v/>
      </c>
      <c r="H8" s="18">
        <f>IF(Dienstplan!H103="","",Dienstplan!H103)</f>
        <v/>
      </c>
      <c r="I8" s="18">
        <f>IF(Dienstplan!I103="","",Dienstplan!I103)</f>
        <v/>
      </c>
      <c r="J8" s="18">
        <f>IF(Dienstplan!J103="","",Dienstplan!J103)</f>
        <v/>
      </c>
      <c r="K8" s="18">
        <f>IF(Dienstplan!K103="","",Dienstplan!K103)</f>
        <v/>
      </c>
      <c r="L8" s="18">
        <f>IF(Dienstplan!L103="","",Dienstplan!L103)</f>
        <v/>
      </c>
      <c r="M8" s="17">
        <f>IF(Dienstplan!M103="","",Dienstplan!M103)</f>
        <v/>
      </c>
      <c r="N8" s="17">
        <f>IF(Dienstplan!N103="","",Dienstplan!N103)</f>
        <v/>
      </c>
      <c r="O8" s="18">
        <f>IF(Dienstplan!O103="","",Dienstplan!O103)</f>
        <v/>
      </c>
      <c r="P8" s="18">
        <f>IF(Dienstplan!P103="","",Dienstplan!P103)</f>
        <v/>
      </c>
      <c r="Q8" s="18">
        <f>IF(Dienstplan!Q103="","",Dienstplan!Q103)</f>
        <v/>
      </c>
      <c r="R8" s="18">
        <f>IF(Dienstplan!R103="","",Dienstplan!R103)</f>
        <v/>
      </c>
      <c r="S8" s="18">
        <f>IF(Dienstplan!S103="","",Dienstplan!S103)</f>
        <v/>
      </c>
      <c r="T8" s="17">
        <f>IF(Dienstplan!T103="","",Dienstplan!T103)</f>
        <v/>
      </c>
      <c r="U8" s="17">
        <f>IF(Dienstplan!U103="","",Dienstplan!U103)</f>
        <v/>
      </c>
      <c r="V8" s="18">
        <f>IF(Dienstplan!V103="","",Dienstplan!V103)</f>
        <v/>
      </c>
      <c r="W8" s="18">
        <f>IF(Dienstplan!W103="","",Dienstplan!W103)</f>
        <v/>
      </c>
      <c r="X8" s="18">
        <f>IF(Dienstplan!X103="","",Dienstplan!X103)</f>
        <v/>
      </c>
      <c r="Y8" s="18">
        <f>IF(Dienstplan!Y103="","",Dienstplan!Y103)</f>
        <v/>
      </c>
      <c r="Z8" s="18">
        <f>IF(Dienstplan!Z103="","",Dienstplan!Z103)</f>
        <v/>
      </c>
      <c r="AA8" s="17">
        <f>IF(Dienstplan!AA103="","",Dienstplan!AA103)</f>
        <v/>
      </c>
      <c r="AB8" s="17">
        <f>IF(Dienstplan!AB103="","",Dienstplan!AB103)</f>
        <v/>
      </c>
      <c r="AC8" s="18">
        <f>IF(Dienstplan!AC103="","",Dienstplan!AC103)</f>
        <v/>
      </c>
      <c r="AD8" s="18">
        <f>IF(Dienstplan!AD103="","",Dienstplan!AD103)</f>
        <v/>
      </c>
      <c r="AE8" s="29">
        <f>IF(Dienstplan!AE103="","",Dienstplan!AE103)</f>
        <v/>
      </c>
    </row>
    <row r="9" ht="16" customHeight="1">
      <c r="A9" s="43" t="inlineStr">
        <is>
          <t>Wunsch</t>
        </is>
      </c>
      <c r="B9" s="20">
        <f>IF(Dienstplan!B104="","",Dienstplan!B104)</f>
        <v/>
      </c>
      <c r="C9" s="20">
        <f>IF(Dienstplan!C104="","",Dienstplan!C104)</f>
        <v/>
      </c>
      <c r="D9" s="20">
        <f>IF(Dienstplan!D104="","",Dienstplan!D104)</f>
        <v/>
      </c>
      <c r="E9" s="20">
        <f>IF(Dienstplan!E104="","",Dienstplan!E104)</f>
        <v/>
      </c>
      <c r="F9" s="17">
        <f>IF(Dienstplan!F104="","",Dienstplan!F104)</f>
        <v/>
      </c>
      <c r="G9" s="17">
        <f>IF(Dienstplan!G104="","",Dienstplan!G104)</f>
        <v/>
      </c>
      <c r="H9" s="20">
        <f>IF(Dienstplan!H104="","",Dienstplan!H104)</f>
        <v/>
      </c>
      <c r="I9" s="20">
        <f>IF(Dienstplan!I104="","",Dienstplan!I104)</f>
        <v/>
      </c>
      <c r="J9" s="20">
        <f>IF(Dienstplan!J104="","",Dienstplan!J104)</f>
        <v/>
      </c>
      <c r="K9" s="20">
        <f>IF(Dienstplan!K104="","",Dienstplan!K104)</f>
        <v/>
      </c>
      <c r="L9" s="20">
        <f>IF(Dienstplan!L104="","",Dienstplan!L104)</f>
        <v/>
      </c>
      <c r="M9" s="17">
        <f>IF(Dienstplan!M104="","",Dienstplan!M104)</f>
        <v/>
      </c>
      <c r="N9" s="17">
        <f>IF(Dienstplan!N104="","",Dienstplan!N104)</f>
        <v/>
      </c>
      <c r="O9" s="20">
        <f>IF(Dienstplan!O104="","",Dienstplan!O104)</f>
        <v/>
      </c>
      <c r="P9" s="20">
        <f>IF(Dienstplan!P104="","",Dienstplan!P104)</f>
        <v/>
      </c>
      <c r="Q9" s="20">
        <f>IF(Dienstplan!Q104="","",Dienstplan!Q104)</f>
        <v/>
      </c>
      <c r="R9" s="20">
        <f>IF(Dienstplan!R104="","",Dienstplan!R104)</f>
        <v/>
      </c>
      <c r="S9" s="20">
        <f>IF(Dienstplan!S104="","",Dienstplan!S104)</f>
        <v/>
      </c>
      <c r="T9" s="17">
        <f>IF(Dienstplan!T104="","",Dienstplan!T104)</f>
        <v/>
      </c>
      <c r="U9" s="17">
        <f>IF(Dienstplan!U104="","",Dienstplan!U104)</f>
        <v/>
      </c>
      <c r="V9" s="20">
        <f>IF(Dienstplan!V104="","",Dienstplan!V104)</f>
        <v/>
      </c>
      <c r="W9" s="20">
        <f>IF(Dienstplan!W104="","",Dienstplan!W104)</f>
        <v/>
      </c>
      <c r="X9" s="20">
        <f>IF(Dienstplan!X104="","",Dienstplan!X104)</f>
        <v/>
      </c>
      <c r="Y9" s="20">
        <f>IF(Dienstplan!Y104="","",Dienstplan!Y104)</f>
        <v/>
      </c>
      <c r="Z9" s="20">
        <f>IF(Dienstplan!Z104="","",Dienstplan!Z104)</f>
        <v/>
      </c>
      <c r="AA9" s="17">
        <f>IF(Dienstplan!AA104="","",Dienstplan!AA104)</f>
        <v/>
      </c>
      <c r="AB9" s="17">
        <f>IF(Dienstplan!AB104="","",Dienstplan!AB104)</f>
        <v/>
      </c>
      <c r="AC9" s="20">
        <f>IF(Dienstplan!AC104="","",Dienstplan!AC104)</f>
        <v/>
      </c>
      <c r="AD9" s="20">
        <f>IF(Dienstplan!AD104="","",Dienstplan!AD104)</f>
        <v/>
      </c>
      <c r="AE9" s="30">
        <f>IF(Dienstplan!AE104="","",Dienstplan!AE104)</f>
        <v/>
      </c>
    </row>
    <row r="10" ht="16" customHeight="1">
      <c r="A10" s="43" t="inlineStr">
        <is>
          <t>Göpfrich</t>
        </is>
      </c>
      <c r="B10" s="18">
        <f>IF(Dienstplan!B105="","",Dienstplan!B105)</f>
        <v/>
      </c>
      <c r="C10" s="18">
        <f>IF(Dienstplan!C105="","",Dienstplan!C105)</f>
        <v/>
      </c>
      <c r="D10" s="18">
        <f>IF(Dienstplan!D105="","",Dienstplan!D105)</f>
        <v/>
      </c>
      <c r="E10" s="18">
        <f>IF(Dienstplan!E105="","",Dienstplan!E105)</f>
        <v/>
      </c>
      <c r="F10" s="17">
        <f>IF(Dienstplan!F105="","",Dienstplan!F105)</f>
        <v/>
      </c>
      <c r="G10" s="17">
        <f>IF(Dienstplan!G105="","",Dienstplan!G105)</f>
        <v/>
      </c>
      <c r="H10" s="18">
        <f>IF(Dienstplan!H105="","",Dienstplan!H105)</f>
        <v/>
      </c>
      <c r="I10" s="18">
        <f>IF(Dienstplan!I105="","",Dienstplan!I105)</f>
        <v/>
      </c>
      <c r="J10" s="18">
        <f>IF(Dienstplan!J105="","",Dienstplan!J105)</f>
        <v/>
      </c>
      <c r="K10" s="18">
        <f>IF(Dienstplan!K105="","",Dienstplan!K105)</f>
        <v/>
      </c>
      <c r="L10" s="18">
        <f>IF(Dienstplan!L105="","",Dienstplan!L105)</f>
        <v/>
      </c>
      <c r="M10" s="17">
        <f>IF(Dienstplan!M105="","",Dienstplan!M105)</f>
        <v/>
      </c>
      <c r="N10" s="17">
        <f>IF(Dienstplan!N105="","",Dienstplan!N105)</f>
        <v/>
      </c>
      <c r="O10" s="18">
        <f>IF(Dienstplan!O105="","",Dienstplan!O105)</f>
        <v/>
      </c>
      <c r="P10" s="18">
        <f>IF(Dienstplan!P105="","",Dienstplan!P105)</f>
        <v/>
      </c>
      <c r="Q10" s="18">
        <f>IF(Dienstplan!Q105="","",Dienstplan!Q105)</f>
        <v/>
      </c>
      <c r="R10" s="18">
        <f>IF(Dienstplan!R105="","",Dienstplan!R105)</f>
        <v/>
      </c>
      <c r="S10" s="18">
        <f>IF(Dienstplan!S105="","",Dienstplan!S105)</f>
        <v/>
      </c>
      <c r="T10" s="17">
        <f>IF(Dienstplan!T105="","",Dienstplan!T105)</f>
        <v/>
      </c>
      <c r="U10" s="17">
        <f>IF(Dienstplan!U105="","",Dienstplan!U105)</f>
        <v/>
      </c>
      <c r="V10" s="18">
        <f>IF(Dienstplan!V105="","",Dienstplan!V105)</f>
        <v/>
      </c>
      <c r="W10" s="18">
        <f>IF(Dienstplan!W105="","",Dienstplan!W105)</f>
        <v/>
      </c>
      <c r="X10" s="18">
        <f>IF(Dienstplan!X105="","",Dienstplan!X105)</f>
        <v/>
      </c>
      <c r="Y10" s="18">
        <f>IF(Dienstplan!Y105="","",Dienstplan!Y105)</f>
        <v/>
      </c>
      <c r="Z10" s="18">
        <f>IF(Dienstplan!Z105="","",Dienstplan!Z105)</f>
        <v/>
      </c>
      <c r="AA10" s="17">
        <f>IF(Dienstplan!AA105="","",Dienstplan!AA105)</f>
        <v/>
      </c>
      <c r="AB10" s="17">
        <f>IF(Dienstplan!AB105="","",Dienstplan!AB105)</f>
        <v/>
      </c>
      <c r="AC10" s="18">
        <f>IF(Dienstplan!AC105="","",Dienstplan!AC105)</f>
        <v/>
      </c>
      <c r="AD10" s="18">
        <f>IF(Dienstplan!AD105="","",Dienstplan!AD105)</f>
        <v/>
      </c>
      <c r="AE10" s="29">
        <f>IF(Dienstplan!AE105="","",Dienstplan!AE105)</f>
        <v/>
      </c>
    </row>
    <row r="11" ht="16" customHeight="1">
      <c r="A11" s="43" t="inlineStr">
        <is>
          <t>Zeller</t>
        </is>
      </c>
      <c r="B11" s="20">
        <f>IF(Dienstplan!B106="","",Dienstplan!B106)</f>
        <v/>
      </c>
      <c r="C11" s="20">
        <f>IF(Dienstplan!C106="","",Dienstplan!C106)</f>
        <v/>
      </c>
      <c r="D11" s="20">
        <f>IF(Dienstplan!D106="","",Dienstplan!D106)</f>
        <v/>
      </c>
      <c r="E11" s="20">
        <f>IF(Dienstplan!E106="","",Dienstplan!E106)</f>
        <v/>
      </c>
      <c r="F11" s="17">
        <f>IF(Dienstplan!F106="","",Dienstplan!F106)</f>
        <v/>
      </c>
      <c r="G11" s="17">
        <f>IF(Dienstplan!G106="","",Dienstplan!G106)</f>
        <v/>
      </c>
      <c r="H11" s="20">
        <f>IF(Dienstplan!H106="","",Dienstplan!H106)</f>
        <v/>
      </c>
      <c r="I11" s="20">
        <f>IF(Dienstplan!I106="","",Dienstplan!I106)</f>
        <v/>
      </c>
      <c r="J11" s="20">
        <f>IF(Dienstplan!J106="","",Dienstplan!J106)</f>
        <v/>
      </c>
      <c r="K11" s="20">
        <f>IF(Dienstplan!K106="","",Dienstplan!K106)</f>
        <v/>
      </c>
      <c r="L11" s="20">
        <f>IF(Dienstplan!L106="","",Dienstplan!L106)</f>
        <v/>
      </c>
      <c r="M11" s="17">
        <f>IF(Dienstplan!M106="","",Dienstplan!M106)</f>
        <v/>
      </c>
      <c r="N11" s="17">
        <f>IF(Dienstplan!N106="","",Dienstplan!N106)</f>
        <v/>
      </c>
      <c r="O11" s="20">
        <f>IF(Dienstplan!O106="","",Dienstplan!O106)</f>
        <v/>
      </c>
      <c r="P11" s="20">
        <f>IF(Dienstplan!P106="","",Dienstplan!P106)</f>
        <v/>
      </c>
      <c r="Q11" s="20">
        <f>IF(Dienstplan!Q106="","",Dienstplan!Q106)</f>
        <v/>
      </c>
      <c r="R11" s="20">
        <f>IF(Dienstplan!R106="","",Dienstplan!R106)</f>
        <v/>
      </c>
      <c r="S11" s="20">
        <f>IF(Dienstplan!S106="","",Dienstplan!S106)</f>
        <v/>
      </c>
      <c r="T11" s="17">
        <f>IF(Dienstplan!T106="","",Dienstplan!T106)</f>
        <v/>
      </c>
      <c r="U11" s="17">
        <f>IF(Dienstplan!U106="","",Dienstplan!U106)</f>
        <v/>
      </c>
      <c r="V11" s="20">
        <f>IF(Dienstplan!V106="","",Dienstplan!V106)</f>
        <v/>
      </c>
      <c r="W11" s="20">
        <f>IF(Dienstplan!W106="","",Dienstplan!W106)</f>
        <v/>
      </c>
      <c r="X11" s="20">
        <f>IF(Dienstplan!X106="","",Dienstplan!X106)</f>
        <v/>
      </c>
      <c r="Y11" s="20">
        <f>IF(Dienstplan!Y106="","",Dienstplan!Y106)</f>
        <v/>
      </c>
      <c r="Z11" s="20">
        <f>IF(Dienstplan!Z106="","",Dienstplan!Z106)</f>
        <v/>
      </c>
      <c r="AA11" s="17">
        <f>IF(Dienstplan!AA106="","",Dienstplan!AA106)</f>
        <v/>
      </c>
      <c r="AB11" s="17">
        <f>IF(Dienstplan!AB106="","",Dienstplan!AB106)</f>
        <v/>
      </c>
      <c r="AC11" s="20">
        <f>IF(Dienstplan!AC106="","",Dienstplan!AC106)</f>
        <v/>
      </c>
      <c r="AD11" s="20">
        <f>IF(Dienstplan!AD106="","",Dienstplan!AD106)</f>
        <v/>
      </c>
      <c r="AE11" s="30">
        <f>IF(Dienstplan!AE106="","",Dienstplan!AE106)</f>
        <v/>
      </c>
    </row>
    <row r="12" ht="16" customHeight="1">
      <c r="A12" s="43" t="inlineStr">
        <is>
          <t>Behrendt</t>
        </is>
      </c>
      <c r="B12" s="18">
        <f>IF(Dienstplan!B107="","",Dienstplan!B107)</f>
        <v/>
      </c>
      <c r="C12" s="18">
        <f>IF(Dienstplan!C107="","",Dienstplan!C107)</f>
        <v/>
      </c>
      <c r="D12" s="18">
        <f>IF(Dienstplan!D107="","",Dienstplan!D107)</f>
        <v/>
      </c>
      <c r="E12" s="18">
        <f>IF(Dienstplan!E107="","",Dienstplan!E107)</f>
        <v/>
      </c>
      <c r="F12" s="17">
        <f>IF(Dienstplan!F107="","",Dienstplan!F107)</f>
        <v/>
      </c>
      <c r="G12" s="17">
        <f>IF(Dienstplan!G107="","",Dienstplan!G107)</f>
        <v/>
      </c>
      <c r="H12" s="18">
        <f>IF(Dienstplan!H107="","",Dienstplan!H107)</f>
        <v/>
      </c>
      <c r="I12" s="18">
        <f>IF(Dienstplan!I107="","",Dienstplan!I107)</f>
        <v/>
      </c>
      <c r="J12" s="18">
        <f>IF(Dienstplan!J107="","",Dienstplan!J107)</f>
        <v/>
      </c>
      <c r="K12" s="18">
        <f>IF(Dienstplan!K107="","",Dienstplan!K107)</f>
        <v/>
      </c>
      <c r="L12" s="18">
        <f>IF(Dienstplan!L107="","",Dienstplan!L107)</f>
        <v/>
      </c>
      <c r="M12" s="17">
        <f>IF(Dienstplan!M107="","",Dienstplan!M107)</f>
        <v/>
      </c>
      <c r="N12" s="17">
        <f>IF(Dienstplan!N107="","",Dienstplan!N107)</f>
        <v/>
      </c>
      <c r="O12" s="18">
        <f>IF(Dienstplan!O107="","",Dienstplan!O107)</f>
        <v/>
      </c>
      <c r="P12" s="18">
        <f>IF(Dienstplan!P107="","",Dienstplan!P107)</f>
        <v/>
      </c>
      <c r="Q12" s="18">
        <f>IF(Dienstplan!Q107="","",Dienstplan!Q107)</f>
        <v/>
      </c>
      <c r="R12" s="18">
        <f>IF(Dienstplan!R107="","",Dienstplan!R107)</f>
        <v/>
      </c>
      <c r="S12" s="18">
        <f>IF(Dienstplan!S107="","",Dienstplan!S107)</f>
        <v/>
      </c>
      <c r="T12" s="17">
        <f>IF(Dienstplan!T107="","",Dienstplan!T107)</f>
        <v/>
      </c>
      <c r="U12" s="17">
        <f>IF(Dienstplan!U107="","",Dienstplan!U107)</f>
        <v/>
      </c>
      <c r="V12" s="18">
        <f>IF(Dienstplan!V107="","",Dienstplan!V107)</f>
        <v/>
      </c>
      <c r="W12" s="18">
        <f>IF(Dienstplan!W107="","",Dienstplan!W107)</f>
        <v/>
      </c>
      <c r="X12" s="18">
        <f>IF(Dienstplan!X107="","",Dienstplan!X107)</f>
        <v/>
      </c>
      <c r="Y12" s="18">
        <f>IF(Dienstplan!Y107="","",Dienstplan!Y107)</f>
        <v/>
      </c>
      <c r="Z12" s="18">
        <f>IF(Dienstplan!Z107="","",Dienstplan!Z107)</f>
        <v/>
      </c>
      <c r="AA12" s="17">
        <f>IF(Dienstplan!AA107="","",Dienstplan!AA107)</f>
        <v/>
      </c>
      <c r="AB12" s="17">
        <f>IF(Dienstplan!AB107="","",Dienstplan!AB107)</f>
        <v/>
      </c>
      <c r="AC12" s="18">
        <f>IF(Dienstplan!AC107="","",Dienstplan!AC107)</f>
        <v/>
      </c>
      <c r="AD12" s="18">
        <f>IF(Dienstplan!AD107="","",Dienstplan!AD107)</f>
        <v/>
      </c>
      <c r="AE12" s="29">
        <f>IF(Dienstplan!AE107="","",Dienstplan!AE107)</f>
        <v/>
      </c>
    </row>
    <row r="13" ht="16" customHeight="1">
      <c r="A13" s="43" t="inlineStr">
        <is>
          <t>Krempl</t>
        </is>
      </c>
      <c r="B13" s="20">
        <f>IF(Dienstplan!B108="","",Dienstplan!B108)</f>
        <v/>
      </c>
      <c r="C13" s="20">
        <f>IF(Dienstplan!C108="","",Dienstplan!C108)</f>
        <v/>
      </c>
      <c r="D13" s="20">
        <f>IF(Dienstplan!D108="","",Dienstplan!D108)</f>
        <v/>
      </c>
      <c r="E13" s="20">
        <f>IF(Dienstplan!E108="","",Dienstplan!E108)</f>
        <v/>
      </c>
      <c r="F13" s="17">
        <f>IF(Dienstplan!F108="","",Dienstplan!F108)</f>
        <v/>
      </c>
      <c r="G13" s="17">
        <f>IF(Dienstplan!G108="","",Dienstplan!G108)</f>
        <v/>
      </c>
      <c r="H13" s="20">
        <f>IF(Dienstplan!H108="","",Dienstplan!H108)</f>
        <v/>
      </c>
      <c r="I13" s="20">
        <f>IF(Dienstplan!I108="","",Dienstplan!I108)</f>
        <v/>
      </c>
      <c r="J13" s="20">
        <f>IF(Dienstplan!J108="","",Dienstplan!J108)</f>
        <v/>
      </c>
      <c r="K13" s="20">
        <f>IF(Dienstplan!K108="","",Dienstplan!K108)</f>
        <v/>
      </c>
      <c r="L13" s="20">
        <f>IF(Dienstplan!L108="","",Dienstplan!L108)</f>
        <v/>
      </c>
      <c r="M13" s="17">
        <f>IF(Dienstplan!M108="","",Dienstplan!M108)</f>
        <v/>
      </c>
      <c r="N13" s="17">
        <f>IF(Dienstplan!N108="","",Dienstplan!N108)</f>
        <v/>
      </c>
      <c r="O13" s="20">
        <f>IF(Dienstplan!O108="","",Dienstplan!O108)</f>
        <v/>
      </c>
      <c r="P13" s="20">
        <f>IF(Dienstplan!P108="","",Dienstplan!P108)</f>
        <v/>
      </c>
      <c r="Q13" s="20">
        <f>IF(Dienstplan!Q108="","",Dienstplan!Q108)</f>
        <v/>
      </c>
      <c r="R13" s="20">
        <f>IF(Dienstplan!R108="","",Dienstplan!R108)</f>
        <v/>
      </c>
      <c r="S13" s="20">
        <f>IF(Dienstplan!S108="","",Dienstplan!S108)</f>
        <v/>
      </c>
      <c r="T13" s="17">
        <f>IF(Dienstplan!T108="","",Dienstplan!T108)</f>
        <v/>
      </c>
      <c r="U13" s="17">
        <f>IF(Dienstplan!U108="","",Dienstplan!U108)</f>
        <v/>
      </c>
      <c r="V13" s="20">
        <f>IF(Dienstplan!V108="","",Dienstplan!V108)</f>
        <v/>
      </c>
      <c r="W13" s="20">
        <f>IF(Dienstplan!W108="","",Dienstplan!W108)</f>
        <v/>
      </c>
      <c r="X13" s="20">
        <f>IF(Dienstplan!X108="","",Dienstplan!X108)</f>
        <v/>
      </c>
      <c r="Y13" s="20">
        <f>IF(Dienstplan!Y108="","",Dienstplan!Y108)</f>
        <v/>
      </c>
      <c r="Z13" s="20">
        <f>IF(Dienstplan!Z108="","",Dienstplan!Z108)</f>
        <v/>
      </c>
      <c r="AA13" s="17">
        <f>IF(Dienstplan!AA108="","",Dienstplan!AA108)</f>
        <v/>
      </c>
      <c r="AB13" s="17">
        <f>IF(Dienstplan!AB108="","",Dienstplan!AB108)</f>
        <v/>
      </c>
      <c r="AC13" s="20">
        <f>IF(Dienstplan!AC108="","",Dienstplan!AC108)</f>
        <v/>
      </c>
      <c r="AD13" s="20">
        <f>IF(Dienstplan!AD108="","",Dienstplan!AD108)</f>
        <v/>
      </c>
      <c r="AE13" s="30">
        <f>IF(Dienstplan!AE108="","",Dienstplan!AE108)</f>
        <v/>
      </c>
    </row>
    <row r="14" ht="16" customHeight="1">
      <c r="A14" s="43" t="inlineStr">
        <is>
          <t>Putschler</t>
        </is>
      </c>
      <c r="B14" s="18">
        <f>IF(Dienstplan!B109="","",Dienstplan!B109)</f>
        <v/>
      </c>
      <c r="C14" s="18">
        <f>IF(Dienstplan!C109="","",Dienstplan!C109)</f>
        <v/>
      </c>
      <c r="D14" s="18">
        <f>IF(Dienstplan!D109="","",Dienstplan!D109)</f>
        <v/>
      </c>
      <c r="E14" s="18">
        <f>IF(Dienstplan!E109="","",Dienstplan!E109)</f>
        <v/>
      </c>
      <c r="F14" s="17">
        <f>IF(Dienstplan!F109="","",Dienstplan!F109)</f>
        <v/>
      </c>
      <c r="G14" s="17">
        <f>IF(Dienstplan!G109="","",Dienstplan!G109)</f>
        <v/>
      </c>
      <c r="H14" s="18">
        <f>IF(Dienstplan!H109="","",Dienstplan!H109)</f>
        <v/>
      </c>
      <c r="I14" s="18">
        <f>IF(Dienstplan!I109="","",Dienstplan!I109)</f>
        <v/>
      </c>
      <c r="J14" s="18">
        <f>IF(Dienstplan!J109="","",Dienstplan!J109)</f>
        <v/>
      </c>
      <c r="K14" s="18">
        <f>IF(Dienstplan!K109="","",Dienstplan!K109)</f>
        <v/>
      </c>
      <c r="L14" s="18">
        <f>IF(Dienstplan!L109="","",Dienstplan!L109)</f>
        <v/>
      </c>
      <c r="M14" s="17">
        <f>IF(Dienstplan!M109="","",Dienstplan!M109)</f>
        <v/>
      </c>
      <c r="N14" s="17">
        <f>IF(Dienstplan!N109="","",Dienstplan!N109)</f>
        <v/>
      </c>
      <c r="O14" s="18">
        <f>IF(Dienstplan!O109="","",Dienstplan!O109)</f>
        <v/>
      </c>
      <c r="P14" s="18">
        <f>IF(Dienstplan!P109="","",Dienstplan!P109)</f>
        <v/>
      </c>
      <c r="Q14" s="18">
        <f>IF(Dienstplan!Q109="","",Dienstplan!Q109)</f>
        <v/>
      </c>
      <c r="R14" s="18">
        <f>IF(Dienstplan!R109="","",Dienstplan!R109)</f>
        <v/>
      </c>
      <c r="S14" s="18">
        <f>IF(Dienstplan!S109="","",Dienstplan!S109)</f>
        <v/>
      </c>
      <c r="T14" s="17">
        <f>IF(Dienstplan!T109="","",Dienstplan!T109)</f>
        <v/>
      </c>
      <c r="U14" s="17">
        <f>IF(Dienstplan!U109="","",Dienstplan!U109)</f>
        <v/>
      </c>
      <c r="V14" s="18">
        <f>IF(Dienstplan!V109="","",Dienstplan!V109)</f>
        <v/>
      </c>
      <c r="W14" s="18">
        <f>IF(Dienstplan!W109="","",Dienstplan!W109)</f>
        <v/>
      </c>
      <c r="X14" s="18">
        <f>IF(Dienstplan!X109="","",Dienstplan!X109)</f>
        <v/>
      </c>
      <c r="Y14" s="18">
        <f>IF(Dienstplan!Y109="","",Dienstplan!Y109)</f>
        <v/>
      </c>
      <c r="Z14" s="18">
        <f>IF(Dienstplan!Z109="","",Dienstplan!Z109)</f>
        <v/>
      </c>
      <c r="AA14" s="17">
        <f>IF(Dienstplan!AA109="","",Dienstplan!AA109)</f>
        <v/>
      </c>
      <c r="AB14" s="17">
        <f>IF(Dienstplan!AB109="","",Dienstplan!AB109)</f>
        <v/>
      </c>
      <c r="AC14" s="18">
        <f>IF(Dienstplan!AC109="","",Dienstplan!AC109)</f>
        <v/>
      </c>
      <c r="AD14" s="18">
        <f>IF(Dienstplan!AD109="","",Dienstplan!AD109)</f>
        <v/>
      </c>
      <c r="AE14" s="29">
        <f>IF(Dienstplan!AE109="","",Dienstplan!AE109)</f>
        <v/>
      </c>
    </row>
    <row r="15" ht="16" customHeight="1">
      <c r="A15" s="43" t="inlineStr">
        <is>
          <t>Kunz</t>
        </is>
      </c>
      <c r="B15" s="20">
        <f>IF(Dienstplan!B110="","",Dienstplan!B110)</f>
        <v/>
      </c>
      <c r="C15" s="20">
        <f>IF(Dienstplan!C110="","",Dienstplan!C110)</f>
        <v/>
      </c>
      <c r="D15" s="20">
        <f>IF(Dienstplan!D110="","",Dienstplan!D110)</f>
        <v/>
      </c>
      <c r="E15" s="20">
        <f>IF(Dienstplan!E110="","",Dienstplan!E110)</f>
        <v/>
      </c>
      <c r="F15" s="17">
        <f>IF(Dienstplan!F110="","",Dienstplan!F110)</f>
        <v/>
      </c>
      <c r="G15" s="17">
        <f>IF(Dienstplan!G110="","",Dienstplan!G110)</f>
        <v/>
      </c>
      <c r="H15" s="20">
        <f>IF(Dienstplan!H110="","",Dienstplan!H110)</f>
        <v/>
      </c>
      <c r="I15" s="20">
        <f>IF(Dienstplan!I110="","",Dienstplan!I110)</f>
        <v/>
      </c>
      <c r="J15" s="20">
        <f>IF(Dienstplan!J110="","",Dienstplan!J110)</f>
        <v/>
      </c>
      <c r="K15" s="20">
        <f>IF(Dienstplan!K110="","",Dienstplan!K110)</f>
        <v/>
      </c>
      <c r="L15" s="20">
        <f>IF(Dienstplan!L110="","",Dienstplan!L110)</f>
        <v/>
      </c>
      <c r="M15" s="17">
        <f>IF(Dienstplan!M110="","",Dienstplan!M110)</f>
        <v/>
      </c>
      <c r="N15" s="17">
        <f>IF(Dienstplan!N110="","",Dienstplan!N110)</f>
        <v/>
      </c>
      <c r="O15" s="20">
        <f>IF(Dienstplan!O110="","",Dienstplan!O110)</f>
        <v/>
      </c>
      <c r="P15" s="20">
        <f>IF(Dienstplan!P110="","",Dienstplan!P110)</f>
        <v/>
      </c>
      <c r="Q15" s="20">
        <f>IF(Dienstplan!Q110="","",Dienstplan!Q110)</f>
        <v/>
      </c>
      <c r="R15" s="20">
        <f>IF(Dienstplan!R110="","",Dienstplan!R110)</f>
        <v/>
      </c>
      <c r="S15" s="20">
        <f>IF(Dienstplan!S110="","",Dienstplan!S110)</f>
        <v/>
      </c>
      <c r="T15" s="17">
        <f>IF(Dienstplan!T110="","",Dienstplan!T110)</f>
        <v/>
      </c>
      <c r="U15" s="17">
        <f>IF(Dienstplan!U110="","",Dienstplan!U110)</f>
        <v/>
      </c>
      <c r="V15" s="20">
        <f>IF(Dienstplan!V110="","",Dienstplan!V110)</f>
        <v/>
      </c>
      <c r="W15" s="20">
        <f>IF(Dienstplan!W110="","",Dienstplan!W110)</f>
        <v/>
      </c>
      <c r="X15" s="20">
        <f>IF(Dienstplan!X110="","",Dienstplan!X110)</f>
        <v/>
      </c>
      <c r="Y15" s="20">
        <f>IF(Dienstplan!Y110="","",Dienstplan!Y110)</f>
        <v/>
      </c>
      <c r="Z15" s="20">
        <f>IF(Dienstplan!Z110="","",Dienstplan!Z110)</f>
        <v/>
      </c>
      <c r="AA15" s="17">
        <f>IF(Dienstplan!AA110="","",Dienstplan!AA110)</f>
        <v/>
      </c>
      <c r="AB15" s="17">
        <f>IF(Dienstplan!AB110="","",Dienstplan!AB110)</f>
        <v/>
      </c>
      <c r="AC15" s="20">
        <f>IF(Dienstplan!AC110="","",Dienstplan!AC110)</f>
        <v/>
      </c>
      <c r="AD15" s="20">
        <f>IF(Dienstplan!AD110="","",Dienstplan!AD110)</f>
        <v/>
      </c>
      <c r="AE15" s="30">
        <f>IF(Dienstplan!AE110="","",Dienstplan!AE110)</f>
        <v/>
      </c>
    </row>
    <row r="16" hidden="1" ht="16" customHeight="1">
      <c r="A16" s="44" t="inlineStr">
        <is>
          <t>Schmidt</t>
        </is>
      </c>
      <c r="B16" s="18">
        <f>IF(Dienstplan!B111="","",Dienstplan!B111)</f>
        <v/>
      </c>
      <c r="C16" s="18">
        <f>IF(Dienstplan!C111="","",Dienstplan!C111)</f>
        <v/>
      </c>
      <c r="D16" s="18">
        <f>IF(Dienstplan!D111="","",Dienstplan!D111)</f>
        <v/>
      </c>
      <c r="E16" s="18">
        <f>IF(Dienstplan!E111="","",Dienstplan!E111)</f>
        <v/>
      </c>
      <c r="F16" s="17">
        <f>IF(Dienstplan!F111="","",Dienstplan!F111)</f>
        <v/>
      </c>
      <c r="G16" s="17">
        <f>IF(Dienstplan!G111="","",Dienstplan!G111)</f>
        <v/>
      </c>
      <c r="H16" s="18">
        <f>IF(Dienstplan!H111="","",Dienstplan!H111)</f>
        <v/>
      </c>
      <c r="I16" s="18">
        <f>IF(Dienstplan!I111="","",Dienstplan!I111)</f>
        <v/>
      </c>
      <c r="J16" s="18">
        <f>IF(Dienstplan!J111="","",Dienstplan!J111)</f>
        <v/>
      </c>
      <c r="K16" s="18">
        <f>IF(Dienstplan!K111="","",Dienstplan!K111)</f>
        <v/>
      </c>
      <c r="L16" s="18">
        <f>IF(Dienstplan!L111="","",Dienstplan!L111)</f>
        <v/>
      </c>
      <c r="M16" s="17">
        <f>IF(Dienstplan!M111="","",Dienstplan!M111)</f>
        <v/>
      </c>
      <c r="N16" s="17">
        <f>IF(Dienstplan!N111="","",Dienstplan!N111)</f>
        <v/>
      </c>
      <c r="O16" s="18">
        <f>IF(Dienstplan!O111="","",Dienstplan!O111)</f>
        <v/>
      </c>
      <c r="P16" s="18">
        <f>IF(Dienstplan!P111="","",Dienstplan!P111)</f>
        <v/>
      </c>
      <c r="Q16" s="18">
        <f>IF(Dienstplan!Q111="","",Dienstplan!Q111)</f>
        <v/>
      </c>
      <c r="R16" s="18">
        <f>IF(Dienstplan!R111="","",Dienstplan!R111)</f>
        <v/>
      </c>
      <c r="S16" s="18">
        <f>IF(Dienstplan!S111="","",Dienstplan!S111)</f>
        <v/>
      </c>
      <c r="T16" s="17">
        <f>IF(Dienstplan!T111="","",Dienstplan!T111)</f>
        <v/>
      </c>
      <c r="U16" s="17">
        <f>IF(Dienstplan!U111="","",Dienstplan!U111)</f>
        <v/>
      </c>
      <c r="V16" s="18">
        <f>IF(Dienstplan!V111="","",Dienstplan!V111)</f>
        <v/>
      </c>
      <c r="W16" s="18">
        <f>IF(Dienstplan!W111="","",Dienstplan!W111)</f>
        <v/>
      </c>
      <c r="X16" s="18">
        <f>IF(Dienstplan!X111="","",Dienstplan!X111)</f>
        <v/>
      </c>
      <c r="Y16" s="18">
        <f>IF(Dienstplan!Y111="","",Dienstplan!Y111)</f>
        <v/>
      </c>
      <c r="Z16" s="18">
        <f>IF(Dienstplan!Z111="","",Dienstplan!Z111)</f>
        <v/>
      </c>
      <c r="AA16" s="17">
        <f>IF(Dienstplan!AA111="","",Dienstplan!AA111)</f>
        <v/>
      </c>
      <c r="AB16" s="17">
        <f>IF(Dienstplan!AB111="","",Dienstplan!AB111)</f>
        <v/>
      </c>
      <c r="AC16" s="18">
        <f>IF(Dienstplan!AC111="","",Dienstplan!AC111)</f>
        <v/>
      </c>
      <c r="AD16" s="18">
        <f>IF(Dienstplan!AD111="","",Dienstplan!AD111)</f>
        <v/>
      </c>
      <c r="AE16" s="29">
        <f>IF(Dienstplan!AE111="","",Dienstplan!AE111)</f>
        <v/>
      </c>
    </row>
    <row r="17" hidden="1" ht="16" customHeight="1">
      <c r="A17" s="44" t="inlineStr">
        <is>
          <t>Radimersky</t>
        </is>
      </c>
      <c r="B17" s="20">
        <f>IF(Dienstplan!B112="","",Dienstplan!B112)</f>
        <v/>
      </c>
      <c r="C17" s="20">
        <f>IF(Dienstplan!C112="","",Dienstplan!C112)</f>
        <v/>
      </c>
      <c r="D17" s="20">
        <f>IF(Dienstplan!D112="","",Dienstplan!D112)</f>
        <v/>
      </c>
      <c r="E17" s="20">
        <f>IF(Dienstplan!E112="","",Dienstplan!E112)</f>
        <v/>
      </c>
      <c r="F17" s="17">
        <f>IF(Dienstplan!F112="","",Dienstplan!F112)</f>
        <v/>
      </c>
      <c r="G17" s="17">
        <f>IF(Dienstplan!G112="","",Dienstplan!G112)</f>
        <v/>
      </c>
      <c r="H17" s="20">
        <f>IF(Dienstplan!H112="","",Dienstplan!H112)</f>
        <v/>
      </c>
      <c r="I17" s="20">
        <f>IF(Dienstplan!I112="","",Dienstplan!I112)</f>
        <v/>
      </c>
      <c r="J17" s="20">
        <f>IF(Dienstplan!J112="","",Dienstplan!J112)</f>
        <v/>
      </c>
      <c r="K17" s="20">
        <f>IF(Dienstplan!K112="","",Dienstplan!K112)</f>
        <v/>
      </c>
      <c r="L17" s="20">
        <f>IF(Dienstplan!L112="","",Dienstplan!L112)</f>
        <v/>
      </c>
      <c r="M17" s="17">
        <f>IF(Dienstplan!M112="","",Dienstplan!M112)</f>
        <v/>
      </c>
      <c r="N17" s="17">
        <f>IF(Dienstplan!N112="","",Dienstplan!N112)</f>
        <v/>
      </c>
      <c r="O17" s="20">
        <f>IF(Dienstplan!O112="","",Dienstplan!O112)</f>
        <v/>
      </c>
      <c r="P17" s="20">
        <f>IF(Dienstplan!P112="","",Dienstplan!P112)</f>
        <v/>
      </c>
      <c r="Q17" s="20">
        <f>IF(Dienstplan!Q112="","",Dienstplan!Q112)</f>
        <v/>
      </c>
      <c r="R17" s="20">
        <f>IF(Dienstplan!R112="","",Dienstplan!R112)</f>
        <v/>
      </c>
      <c r="S17" s="20">
        <f>IF(Dienstplan!S112="","",Dienstplan!S112)</f>
        <v/>
      </c>
      <c r="T17" s="17">
        <f>IF(Dienstplan!T112="","",Dienstplan!T112)</f>
        <v/>
      </c>
      <c r="U17" s="17">
        <f>IF(Dienstplan!U112="","",Dienstplan!U112)</f>
        <v/>
      </c>
      <c r="V17" s="20">
        <f>IF(Dienstplan!V112="","",Dienstplan!V112)</f>
        <v/>
      </c>
      <c r="W17" s="20">
        <f>IF(Dienstplan!W112="","",Dienstplan!W112)</f>
        <v/>
      </c>
      <c r="X17" s="20">
        <f>IF(Dienstplan!X112="","",Dienstplan!X112)</f>
        <v/>
      </c>
      <c r="Y17" s="20">
        <f>IF(Dienstplan!Y112="","",Dienstplan!Y112)</f>
        <v/>
      </c>
      <c r="Z17" s="20">
        <f>IF(Dienstplan!Z112="","",Dienstplan!Z112)</f>
        <v/>
      </c>
      <c r="AA17" s="17">
        <f>IF(Dienstplan!AA112="","",Dienstplan!AA112)</f>
        <v/>
      </c>
      <c r="AB17" s="17">
        <f>IF(Dienstplan!AB112="","",Dienstplan!AB112)</f>
        <v/>
      </c>
      <c r="AC17" s="20">
        <f>IF(Dienstplan!AC112="","",Dienstplan!AC112)</f>
        <v/>
      </c>
      <c r="AD17" s="20">
        <f>IF(Dienstplan!AD112="","",Dienstplan!AD112)</f>
        <v/>
      </c>
      <c r="AE17" s="30">
        <f>IF(Dienstplan!AE112="","",Dienstplan!AE112)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IF(AND(COUNTIF(B6:B17,"FI")&gt;0,COUNTIF(B6:B17,"SI")&gt;0,COUNTIF(B6:B17,"NI")&gt;0),"","!")</f>
        <v/>
      </c>
      <c r="C18" s="23">
        <f>IF(AND(COUNTIF(C6:C17,"FI")&gt;0,COUNTIF(C6:C17,"SI")&gt;0,COUNTIF(C6:C17,"NI")&gt;0),"","!")</f>
        <v/>
      </c>
      <c r="D18" s="23">
        <f>IF(AND(COUNTIF(D6:D17,"FI")&gt;0,COUNTIF(D6:D17,"SI")&gt;0,COUNTIF(D6:D17,"NI")&gt;0),"","!")</f>
        <v/>
      </c>
      <c r="E18" s="23">
        <f>IF(AND(COUNTIF(E6:E17,"FI")&gt;0,COUNTIF(E6:E17,"SI")&gt;0),"","!")</f>
        <v/>
      </c>
      <c r="F18" s="22" t="n"/>
      <c r="G18" s="22" t="n"/>
      <c r="H18" s="23">
        <f>IF(AND(COUNTIF(H6:H17,"FI")&gt;0,COUNTIF(H6:H17,"SI")&gt;0,COUNTIF(H6:H17,"NI")&gt;0),"","!")</f>
        <v/>
      </c>
      <c r="I18" s="23">
        <f>IF(AND(COUNTIF(I6:I17,"FI")&gt;0,COUNTIF(I6:I17,"SI")&gt;0,COUNTIF(I6:I17,"NI")&gt;0),"","!")</f>
        <v/>
      </c>
      <c r="J18" s="23">
        <f>IF(AND(COUNTIF(J6:J17,"FI")&gt;0,COUNTIF(J6:J17,"SI")&gt;0,COUNTIF(J6:J17,"NI")&gt;0),"","!")</f>
        <v/>
      </c>
      <c r="K18" s="23">
        <f>IF(AND(COUNTIF(K6:K17,"FI")&gt;0,COUNTIF(K6:K17,"SI")&gt;0,COUNTIF(K6:K17,"NI")&gt;0),"","!")</f>
        <v/>
      </c>
      <c r="L18" s="23">
        <f>IF(AND(COUNTIF(L6:L17,"FI")&gt;0,COUNTIF(L6:L17,"SI")&gt;0),"","!")</f>
        <v/>
      </c>
      <c r="M18" s="22" t="n"/>
      <c r="N18" s="22" t="n"/>
      <c r="O18" s="23">
        <f>IF(AND(COUNTIF(O6:O17,"FI")&gt;0,COUNTIF(O6:O17,"SI")&gt;0,COUNTIF(O6:O17,"NI")&gt;0),"","!")</f>
        <v/>
      </c>
      <c r="P18" s="23">
        <f>IF(AND(COUNTIF(P6:P17,"FI")&gt;0,COUNTIF(P6:P17,"SI")&gt;0,COUNTIF(P6:P17,"NI")&gt;0),"","!")</f>
        <v/>
      </c>
      <c r="Q18" s="23">
        <f>IF(AND(COUNTIF(Q6:Q17,"FI")&gt;0,COUNTIF(Q6:Q17,"SI")&gt;0,COUNTIF(Q6:Q17,"NI")&gt;0),"","!")</f>
        <v/>
      </c>
      <c r="R18" s="23">
        <f>IF(AND(COUNTIF(R6:R17,"FI")&gt;0,COUNTIF(R6:R17,"SI")&gt;0,COUNTIF(R6:R17,"NI")&gt;0),"","!")</f>
        <v/>
      </c>
      <c r="S18" s="23">
        <f>IF(AND(COUNTIF(S6:S17,"FI")&gt;0,COUNTIF(S6:S17,"SI")&gt;0),"","!")</f>
        <v/>
      </c>
      <c r="T18" s="22" t="n"/>
      <c r="U18" s="22" t="n"/>
      <c r="V18" s="23">
        <f>IF(AND(COUNTIF(V6:V17,"FI")&gt;0,COUNTIF(V6:V17,"SI")&gt;0,COUNTIF(V6:V17,"NI")&gt;0),"","!")</f>
        <v/>
      </c>
      <c r="W18" s="23">
        <f>IF(AND(COUNTIF(W6:W17,"FI")&gt;0,COUNTIF(W6:W17,"SI")&gt;0,COUNTIF(W6:W17,"NI")&gt;0),"","!")</f>
        <v/>
      </c>
      <c r="X18" s="23">
        <f>IF(AND(COUNTIF(X6:X17,"FI")&gt;0,COUNTIF(X6:X17,"SI")&gt;0,COUNTIF(X6:X17,"NI")&gt;0),"","!")</f>
        <v/>
      </c>
      <c r="Y18" s="23">
        <f>IF(AND(COUNTIF(Y6:Y17,"FI")&gt;0,COUNTIF(Y6:Y17,"SI")&gt;0,COUNTIF(Y6:Y17,"NI")&gt;0),"","!")</f>
        <v/>
      </c>
      <c r="Z18" s="23">
        <f>IF(AND(COUNTIF(Z6:Z17,"FI")&gt;0,COUNTIF(Z6:Z17,"SI")&gt;0),"","!")</f>
        <v/>
      </c>
      <c r="AA18" s="22" t="n"/>
      <c r="AB18" s="22" t="n"/>
      <c r="AC18" s="23">
        <f>IF(AND(COUNTIF(AC6:AC17,"FI")&gt;0,COUNTIF(AC6:AC17,"SI")&gt;0,COUNTIF(AC6:AC17,"NI")&gt;0),"","!")</f>
        <v/>
      </c>
      <c r="AD18" s="23">
        <f>IF(AND(COUNTIF(AD6:AD17,"FI")&gt;0,COUNTIF(AD6:AD17,"SI")&gt;0,COUNTIF(AD6:AD17,"NI")&gt;0),"","!")</f>
        <v/>
      </c>
      <c r="AE18" s="31">
        <f>IF(AND(COUNTIF(AE6:AE17,"FI")&gt;0,COUNTIF(AE6:AE17,"SI")&gt;0,COUNTIF(AE6:AE17,"NI")&gt;0),"","!")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3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E18">
    <cfRule type="cellIs" priority="1" operator="equal" dxfId="5" stopIfTrue="1">
      <formula>"!"</formula>
    </cfRule>
  </conditionalFormatting>
  <conditionalFormatting sqref="B6:AE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Juli 2027</t>
        </is>
      </c>
      <c r="AC1" s="33" t="inlineStr">
        <is>
          <t>AT: 22   Sa: 5</t>
        </is>
      </c>
    </row>
    <row r="2">
      <c r="AE2" s="25" t="inlineStr">
        <is>
          <t>Sommerferien</t>
        </is>
      </c>
    </row>
    <row r="3" ht="18" customHeight="1">
      <c r="A3" s="34" t="inlineStr">
        <is>
          <t>Tag</t>
        </is>
      </c>
      <c r="B3" s="36" t="n">
        <v>1</v>
      </c>
      <c r="C3" s="36" t="n">
        <v>2</v>
      </c>
      <c r="D3" s="35" t="n">
        <v>3</v>
      </c>
      <c r="E3" s="35" t="n">
        <v>4</v>
      </c>
      <c r="F3" s="36" t="n">
        <v>5</v>
      </c>
      <c r="G3" s="36" t="n">
        <v>6</v>
      </c>
      <c r="H3" s="36" t="n">
        <v>7</v>
      </c>
      <c r="I3" s="36" t="n">
        <v>8</v>
      </c>
      <c r="J3" s="36" t="n">
        <v>9</v>
      </c>
      <c r="K3" s="35" t="n">
        <v>10</v>
      </c>
      <c r="L3" s="35" t="n">
        <v>11</v>
      </c>
      <c r="M3" s="36" t="n">
        <v>12</v>
      </c>
      <c r="N3" s="36" t="n">
        <v>13</v>
      </c>
      <c r="O3" s="36" t="n">
        <v>14</v>
      </c>
      <c r="P3" s="36" t="n">
        <v>15</v>
      </c>
      <c r="Q3" s="36" t="n">
        <v>16</v>
      </c>
      <c r="R3" s="35" t="n">
        <v>17</v>
      </c>
      <c r="S3" s="35" t="n">
        <v>18</v>
      </c>
      <c r="T3" s="36" t="n">
        <v>19</v>
      </c>
      <c r="U3" s="36" t="n">
        <v>20</v>
      </c>
      <c r="V3" s="36" t="n">
        <v>21</v>
      </c>
      <c r="W3" s="36" t="n">
        <v>22</v>
      </c>
      <c r="X3" s="36" t="n">
        <v>23</v>
      </c>
      <c r="Y3" s="35" t="n">
        <v>24</v>
      </c>
      <c r="Z3" s="35" t="n">
        <v>25</v>
      </c>
      <c r="AA3" s="36" t="n">
        <v>26</v>
      </c>
      <c r="AB3" s="36" t="n">
        <v>27</v>
      </c>
      <c r="AC3" s="36" t="n">
        <v>28</v>
      </c>
      <c r="AD3" s="36" t="n">
        <v>29</v>
      </c>
      <c r="AE3" s="36" t="n">
        <v>30</v>
      </c>
      <c r="AF3" s="37" t="n">
        <v>31</v>
      </c>
    </row>
    <row r="4" ht="18" customHeight="1">
      <c r="A4" s="9" t="inlineStr">
        <is>
          <t>WT</t>
        </is>
      </c>
      <c r="B4" s="14" t="inlineStr">
        <is>
          <t>Do</t>
        </is>
      </c>
      <c r="C4" s="14" t="inlineStr">
        <is>
          <t>Fr</t>
        </is>
      </c>
      <c r="D4" s="13" t="inlineStr">
        <is>
          <t>Sa</t>
        </is>
      </c>
      <c r="E4" s="13" t="inlineStr">
        <is>
          <t>So</t>
        </is>
      </c>
      <c r="F4" s="14" t="inlineStr">
        <is>
          <t>Mo</t>
        </is>
      </c>
      <c r="G4" s="14" t="inlineStr">
        <is>
          <t>Di</t>
        </is>
      </c>
      <c r="H4" s="14" t="inlineStr">
        <is>
          <t>Mi</t>
        </is>
      </c>
      <c r="I4" s="14" t="inlineStr">
        <is>
          <t>Do</t>
        </is>
      </c>
      <c r="J4" s="14" t="inlineStr">
        <is>
          <t>Fr</t>
        </is>
      </c>
      <c r="K4" s="13" t="inlineStr">
        <is>
          <t>Sa</t>
        </is>
      </c>
      <c r="L4" s="13" t="inlineStr">
        <is>
          <t>So</t>
        </is>
      </c>
      <c r="M4" s="14" t="inlineStr">
        <is>
          <t>Mo</t>
        </is>
      </c>
      <c r="N4" s="14" t="inlineStr">
        <is>
          <t>Di</t>
        </is>
      </c>
      <c r="O4" s="14" t="inlineStr">
        <is>
          <t>Mi</t>
        </is>
      </c>
      <c r="P4" s="14" t="inlineStr">
        <is>
          <t>Do</t>
        </is>
      </c>
      <c r="Q4" s="14" t="inlineStr">
        <is>
          <t>Fr</t>
        </is>
      </c>
      <c r="R4" s="13" t="inlineStr">
        <is>
          <t>Sa</t>
        </is>
      </c>
      <c r="S4" s="13" t="inlineStr">
        <is>
          <t>So</t>
        </is>
      </c>
      <c r="T4" s="14" t="inlineStr">
        <is>
          <t>Mo</t>
        </is>
      </c>
      <c r="U4" s="14" t="inlineStr">
        <is>
          <t>Di</t>
        </is>
      </c>
      <c r="V4" s="14" t="inlineStr">
        <is>
          <t>Mi</t>
        </is>
      </c>
      <c r="W4" s="14" t="inlineStr">
        <is>
          <t>Do</t>
        </is>
      </c>
      <c r="X4" s="14" t="inlineStr">
        <is>
          <t>Fr</t>
        </is>
      </c>
      <c r="Y4" s="13" t="inlineStr">
        <is>
          <t>Sa</t>
        </is>
      </c>
      <c r="Z4" s="13" t="inlineStr">
        <is>
          <t>So</t>
        </is>
      </c>
      <c r="AA4" s="14" t="inlineStr">
        <is>
          <t>Mo</t>
        </is>
      </c>
      <c r="AB4" s="14" t="inlineStr">
        <is>
          <t>Di</t>
        </is>
      </c>
      <c r="AC4" s="14" t="inlineStr">
        <is>
          <t>Mi</t>
        </is>
      </c>
      <c r="AD4" s="14" t="inlineStr">
        <is>
          <t>Do</t>
        </is>
      </c>
      <c r="AE4" s="14" t="inlineStr">
        <is>
          <t>Fr</t>
        </is>
      </c>
      <c r="AF4" s="15" t="inlineStr">
        <is>
          <t>Sa</t>
        </is>
      </c>
    </row>
    <row r="5" ht="15" customHeight="1">
      <c r="A5" s="9" t="inlineStr">
        <is>
          <t>KW</t>
        </is>
      </c>
      <c r="B5" s="40" t="n">
        <v>26</v>
      </c>
      <c r="C5" s="41" t="n"/>
      <c r="D5" s="39" t="n"/>
      <c r="E5" s="39" t="n"/>
      <c r="F5" s="40" t="n">
        <v>27</v>
      </c>
      <c r="G5" s="41" t="n"/>
      <c r="H5" s="41" t="n"/>
      <c r="I5" s="41" t="n"/>
      <c r="J5" s="41" t="n"/>
      <c r="K5" s="39" t="n"/>
      <c r="L5" s="39" t="n"/>
      <c r="M5" s="40" t="n">
        <v>28</v>
      </c>
      <c r="N5" s="41" t="n"/>
      <c r="O5" s="41" t="n"/>
      <c r="P5" s="41" t="n"/>
      <c r="Q5" s="41" t="n"/>
      <c r="R5" s="39" t="n"/>
      <c r="S5" s="39" t="n"/>
      <c r="T5" s="40" t="n">
        <v>29</v>
      </c>
      <c r="U5" s="41" t="n"/>
      <c r="V5" s="41" t="n"/>
      <c r="W5" s="41" t="n"/>
      <c r="X5" s="41" t="n"/>
      <c r="Y5" s="39" t="n"/>
      <c r="Z5" s="39" t="n"/>
      <c r="AA5" s="40" t="n">
        <v>30</v>
      </c>
      <c r="AB5" s="41" t="n"/>
      <c r="AC5" s="41" t="n"/>
      <c r="AD5" s="41" t="n"/>
      <c r="AE5" s="41" t="n"/>
      <c r="AF5" s="42" t="n"/>
    </row>
    <row r="6" ht="16" customHeight="1">
      <c r="A6" s="43" t="inlineStr">
        <is>
          <t>Breig</t>
        </is>
      </c>
      <c r="B6" s="18">
        <f>IF(Dienstplan!B120="","",Dienstplan!B120)</f>
        <v/>
      </c>
      <c r="C6" s="18">
        <f>IF(Dienstplan!C120="","",Dienstplan!C120)</f>
        <v/>
      </c>
      <c r="D6" s="17">
        <f>IF(Dienstplan!D120="","",Dienstplan!D120)</f>
        <v/>
      </c>
      <c r="E6" s="17">
        <f>IF(Dienstplan!E120="","",Dienstplan!E120)</f>
        <v/>
      </c>
      <c r="F6" s="18">
        <f>IF(Dienstplan!F120="","",Dienstplan!F120)</f>
        <v/>
      </c>
      <c r="G6" s="18">
        <f>IF(Dienstplan!G120="","",Dienstplan!G120)</f>
        <v/>
      </c>
      <c r="H6" s="18">
        <f>IF(Dienstplan!H120="","",Dienstplan!H120)</f>
        <v/>
      </c>
      <c r="I6" s="18">
        <f>IF(Dienstplan!I120="","",Dienstplan!I120)</f>
        <v/>
      </c>
      <c r="J6" s="18">
        <f>IF(Dienstplan!J120="","",Dienstplan!J120)</f>
        <v/>
      </c>
      <c r="K6" s="17">
        <f>IF(Dienstplan!K120="","",Dienstplan!K120)</f>
        <v/>
      </c>
      <c r="L6" s="17">
        <f>IF(Dienstplan!L120="","",Dienstplan!L120)</f>
        <v/>
      </c>
      <c r="M6" s="18">
        <f>IF(Dienstplan!M120="","",Dienstplan!M120)</f>
        <v/>
      </c>
      <c r="N6" s="18">
        <f>IF(Dienstplan!N120="","",Dienstplan!N120)</f>
        <v/>
      </c>
      <c r="O6" s="18">
        <f>IF(Dienstplan!O120="","",Dienstplan!O120)</f>
        <v/>
      </c>
      <c r="P6" s="18">
        <f>IF(Dienstplan!P120="","",Dienstplan!P120)</f>
        <v/>
      </c>
      <c r="Q6" s="18">
        <f>IF(Dienstplan!Q120="","",Dienstplan!Q120)</f>
        <v/>
      </c>
      <c r="R6" s="17">
        <f>IF(Dienstplan!R120="","",Dienstplan!R120)</f>
        <v/>
      </c>
      <c r="S6" s="17">
        <f>IF(Dienstplan!S120="","",Dienstplan!S120)</f>
        <v/>
      </c>
      <c r="T6" s="18">
        <f>IF(Dienstplan!T120="","",Dienstplan!T120)</f>
        <v/>
      </c>
      <c r="U6" s="18">
        <f>IF(Dienstplan!U120="","",Dienstplan!U120)</f>
        <v/>
      </c>
      <c r="V6" s="18">
        <f>IF(Dienstplan!V120="","",Dienstplan!V120)</f>
        <v/>
      </c>
      <c r="W6" s="18">
        <f>IF(Dienstplan!W120="","",Dienstplan!W120)</f>
        <v/>
      </c>
      <c r="X6" s="18">
        <f>IF(Dienstplan!X120="","",Dienstplan!X120)</f>
        <v/>
      </c>
      <c r="Y6" s="17">
        <f>IF(Dienstplan!Y120="","",Dienstplan!Y120)</f>
        <v/>
      </c>
      <c r="Z6" s="17">
        <f>IF(Dienstplan!Z120="","",Dienstplan!Z120)</f>
        <v/>
      </c>
      <c r="AA6" s="18">
        <f>IF(Dienstplan!AA120="","",Dienstplan!AA120)</f>
        <v/>
      </c>
      <c r="AB6" s="18">
        <f>IF(Dienstplan!AB120="","",Dienstplan!AB120)</f>
        <v/>
      </c>
      <c r="AC6" s="18">
        <f>IF(Dienstplan!AC120="","",Dienstplan!AC120)</f>
        <v/>
      </c>
      <c r="AD6" s="18">
        <f>IF(Dienstplan!AD120="","",Dienstplan!AD120)</f>
        <v/>
      </c>
      <c r="AE6" s="18">
        <f>IF(Dienstplan!AE120="","",Dienstplan!AE120)</f>
        <v/>
      </c>
      <c r="AF6" s="19">
        <f>IF(Dienstplan!AF120="","",Dienstplan!AF120)</f>
        <v/>
      </c>
    </row>
    <row r="7" ht="16" customHeight="1">
      <c r="A7" s="43" t="inlineStr">
        <is>
          <t>Siebert</t>
        </is>
      </c>
      <c r="B7" s="20">
        <f>IF(Dienstplan!B121="","",Dienstplan!B121)</f>
        <v/>
      </c>
      <c r="C7" s="20">
        <f>IF(Dienstplan!C121="","",Dienstplan!C121)</f>
        <v/>
      </c>
      <c r="D7" s="17">
        <f>IF(Dienstplan!D121="","",Dienstplan!D121)</f>
        <v/>
      </c>
      <c r="E7" s="17">
        <f>IF(Dienstplan!E121="","",Dienstplan!E121)</f>
        <v/>
      </c>
      <c r="F7" s="20">
        <f>IF(Dienstplan!F121="","",Dienstplan!F121)</f>
        <v/>
      </c>
      <c r="G7" s="20">
        <f>IF(Dienstplan!G121="","",Dienstplan!G121)</f>
        <v/>
      </c>
      <c r="H7" s="20">
        <f>IF(Dienstplan!H121="","",Dienstplan!H121)</f>
        <v/>
      </c>
      <c r="I7" s="20">
        <f>IF(Dienstplan!I121="","",Dienstplan!I121)</f>
        <v/>
      </c>
      <c r="J7" s="20">
        <f>IF(Dienstplan!J121="","",Dienstplan!J121)</f>
        <v/>
      </c>
      <c r="K7" s="17">
        <f>IF(Dienstplan!K121="","",Dienstplan!K121)</f>
        <v/>
      </c>
      <c r="L7" s="17">
        <f>IF(Dienstplan!L121="","",Dienstplan!L121)</f>
        <v/>
      </c>
      <c r="M7" s="20">
        <f>IF(Dienstplan!M121="","",Dienstplan!M121)</f>
        <v/>
      </c>
      <c r="N7" s="20">
        <f>IF(Dienstplan!N121="","",Dienstplan!N121)</f>
        <v/>
      </c>
      <c r="O7" s="20">
        <f>IF(Dienstplan!O121="","",Dienstplan!O121)</f>
        <v/>
      </c>
      <c r="P7" s="20">
        <f>IF(Dienstplan!P121="","",Dienstplan!P121)</f>
        <v/>
      </c>
      <c r="Q7" s="20">
        <f>IF(Dienstplan!Q121="","",Dienstplan!Q121)</f>
        <v/>
      </c>
      <c r="R7" s="17">
        <f>IF(Dienstplan!R121="","",Dienstplan!R121)</f>
        <v/>
      </c>
      <c r="S7" s="17">
        <f>IF(Dienstplan!S121="","",Dienstplan!S121)</f>
        <v/>
      </c>
      <c r="T7" s="20">
        <f>IF(Dienstplan!T121="","",Dienstplan!T121)</f>
        <v/>
      </c>
      <c r="U7" s="20">
        <f>IF(Dienstplan!U121="","",Dienstplan!U121)</f>
        <v/>
      </c>
      <c r="V7" s="20">
        <f>IF(Dienstplan!V121="","",Dienstplan!V121)</f>
        <v/>
      </c>
      <c r="W7" s="20">
        <f>IF(Dienstplan!W121="","",Dienstplan!W121)</f>
        <v/>
      </c>
      <c r="X7" s="20">
        <f>IF(Dienstplan!X121="","",Dienstplan!X121)</f>
        <v/>
      </c>
      <c r="Y7" s="17">
        <f>IF(Dienstplan!Y121="","",Dienstplan!Y121)</f>
        <v/>
      </c>
      <c r="Z7" s="17">
        <f>IF(Dienstplan!Z121="","",Dienstplan!Z121)</f>
        <v/>
      </c>
      <c r="AA7" s="20">
        <f>IF(Dienstplan!AA121="","",Dienstplan!AA121)</f>
        <v/>
      </c>
      <c r="AB7" s="20">
        <f>IF(Dienstplan!AB121="","",Dienstplan!AB121)</f>
        <v/>
      </c>
      <c r="AC7" s="20">
        <f>IF(Dienstplan!AC121="","",Dienstplan!AC121)</f>
        <v/>
      </c>
      <c r="AD7" s="20">
        <f>IF(Dienstplan!AD121="","",Dienstplan!AD121)</f>
        <v/>
      </c>
      <c r="AE7" s="20">
        <f>IF(Dienstplan!AE121="","",Dienstplan!AE121)</f>
        <v/>
      </c>
      <c r="AF7" s="19">
        <f>IF(Dienstplan!AF121="","",Dienstplan!AF121)</f>
        <v/>
      </c>
    </row>
    <row r="8" ht="16" customHeight="1">
      <c r="A8" s="43" t="inlineStr">
        <is>
          <t>Jochim</t>
        </is>
      </c>
      <c r="B8" s="18">
        <f>IF(Dienstplan!B122="","",Dienstplan!B122)</f>
        <v/>
      </c>
      <c r="C8" s="18">
        <f>IF(Dienstplan!C122="","",Dienstplan!C122)</f>
        <v/>
      </c>
      <c r="D8" s="17">
        <f>IF(Dienstplan!D122="","",Dienstplan!D122)</f>
        <v/>
      </c>
      <c r="E8" s="17">
        <f>IF(Dienstplan!E122="","",Dienstplan!E122)</f>
        <v/>
      </c>
      <c r="F8" s="18">
        <f>IF(Dienstplan!F122="","",Dienstplan!F122)</f>
        <v/>
      </c>
      <c r="G8" s="18">
        <f>IF(Dienstplan!G122="","",Dienstplan!G122)</f>
        <v/>
      </c>
      <c r="H8" s="18">
        <f>IF(Dienstplan!H122="","",Dienstplan!H122)</f>
        <v/>
      </c>
      <c r="I8" s="18">
        <f>IF(Dienstplan!I122="","",Dienstplan!I122)</f>
        <v/>
      </c>
      <c r="J8" s="18">
        <f>IF(Dienstplan!J122="","",Dienstplan!J122)</f>
        <v/>
      </c>
      <c r="K8" s="17">
        <f>IF(Dienstplan!K122="","",Dienstplan!K122)</f>
        <v/>
      </c>
      <c r="L8" s="17">
        <f>IF(Dienstplan!L122="","",Dienstplan!L122)</f>
        <v/>
      </c>
      <c r="M8" s="18">
        <f>IF(Dienstplan!M122="","",Dienstplan!M122)</f>
        <v/>
      </c>
      <c r="N8" s="18">
        <f>IF(Dienstplan!N122="","",Dienstplan!N122)</f>
        <v/>
      </c>
      <c r="O8" s="18">
        <f>IF(Dienstplan!O122="","",Dienstplan!O122)</f>
        <v/>
      </c>
      <c r="P8" s="18">
        <f>IF(Dienstplan!P122="","",Dienstplan!P122)</f>
        <v/>
      </c>
      <c r="Q8" s="18">
        <f>IF(Dienstplan!Q122="","",Dienstplan!Q122)</f>
        <v/>
      </c>
      <c r="R8" s="17">
        <f>IF(Dienstplan!R122="","",Dienstplan!R122)</f>
        <v/>
      </c>
      <c r="S8" s="17">
        <f>IF(Dienstplan!S122="","",Dienstplan!S122)</f>
        <v/>
      </c>
      <c r="T8" s="18">
        <f>IF(Dienstplan!T122="","",Dienstplan!T122)</f>
        <v/>
      </c>
      <c r="U8" s="18">
        <f>IF(Dienstplan!U122="","",Dienstplan!U122)</f>
        <v/>
      </c>
      <c r="V8" s="18">
        <f>IF(Dienstplan!V122="","",Dienstplan!V122)</f>
        <v/>
      </c>
      <c r="W8" s="18">
        <f>IF(Dienstplan!W122="","",Dienstplan!W122)</f>
        <v/>
      </c>
      <c r="X8" s="18">
        <f>IF(Dienstplan!X122="","",Dienstplan!X122)</f>
        <v/>
      </c>
      <c r="Y8" s="17">
        <f>IF(Dienstplan!Y122="","",Dienstplan!Y122)</f>
        <v/>
      </c>
      <c r="Z8" s="17">
        <f>IF(Dienstplan!Z122="","",Dienstplan!Z122)</f>
        <v/>
      </c>
      <c r="AA8" s="18">
        <f>IF(Dienstplan!AA122="","",Dienstplan!AA122)</f>
        <v/>
      </c>
      <c r="AB8" s="18">
        <f>IF(Dienstplan!AB122="","",Dienstplan!AB122)</f>
        <v/>
      </c>
      <c r="AC8" s="18">
        <f>IF(Dienstplan!AC122="","",Dienstplan!AC122)</f>
        <v/>
      </c>
      <c r="AD8" s="18">
        <f>IF(Dienstplan!AD122="","",Dienstplan!AD122)</f>
        <v/>
      </c>
      <c r="AE8" s="18">
        <f>IF(Dienstplan!AE122="","",Dienstplan!AE122)</f>
        <v/>
      </c>
      <c r="AF8" s="19">
        <f>IF(Dienstplan!AF122="","",Dienstplan!AF122)</f>
        <v/>
      </c>
    </row>
    <row r="9" ht="16" customHeight="1">
      <c r="A9" s="43" t="inlineStr">
        <is>
          <t>Wunsch</t>
        </is>
      </c>
      <c r="B9" s="20">
        <f>IF(Dienstplan!B123="","",Dienstplan!B123)</f>
        <v/>
      </c>
      <c r="C9" s="20">
        <f>IF(Dienstplan!C123="","",Dienstplan!C123)</f>
        <v/>
      </c>
      <c r="D9" s="17">
        <f>IF(Dienstplan!D123="","",Dienstplan!D123)</f>
        <v/>
      </c>
      <c r="E9" s="17">
        <f>IF(Dienstplan!E123="","",Dienstplan!E123)</f>
        <v/>
      </c>
      <c r="F9" s="20">
        <f>IF(Dienstplan!F123="","",Dienstplan!F123)</f>
        <v/>
      </c>
      <c r="G9" s="20">
        <f>IF(Dienstplan!G123="","",Dienstplan!G123)</f>
        <v/>
      </c>
      <c r="H9" s="20">
        <f>IF(Dienstplan!H123="","",Dienstplan!H123)</f>
        <v/>
      </c>
      <c r="I9" s="20">
        <f>IF(Dienstplan!I123="","",Dienstplan!I123)</f>
        <v/>
      </c>
      <c r="J9" s="20">
        <f>IF(Dienstplan!J123="","",Dienstplan!J123)</f>
        <v/>
      </c>
      <c r="K9" s="17">
        <f>IF(Dienstplan!K123="","",Dienstplan!K123)</f>
        <v/>
      </c>
      <c r="L9" s="17">
        <f>IF(Dienstplan!L123="","",Dienstplan!L123)</f>
        <v/>
      </c>
      <c r="M9" s="20">
        <f>IF(Dienstplan!M123="","",Dienstplan!M123)</f>
        <v/>
      </c>
      <c r="N9" s="20">
        <f>IF(Dienstplan!N123="","",Dienstplan!N123)</f>
        <v/>
      </c>
      <c r="O9" s="20">
        <f>IF(Dienstplan!O123="","",Dienstplan!O123)</f>
        <v/>
      </c>
      <c r="P9" s="20">
        <f>IF(Dienstplan!P123="","",Dienstplan!P123)</f>
        <v/>
      </c>
      <c r="Q9" s="20">
        <f>IF(Dienstplan!Q123="","",Dienstplan!Q123)</f>
        <v/>
      </c>
      <c r="R9" s="17">
        <f>IF(Dienstplan!R123="","",Dienstplan!R123)</f>
        <v/>
      </c>
      <c r="S9" s="17">
        <f>IF(Dienstplan!S123="","",Dienstplan!S123)</f>
        <v/>
      </c>
      <c r="T9" s="20">
        <f>IF(Dienstplan!T123="","",Dienstplan!T123)</f>
        <v/>
      </c>
      <c r="U9" s="20">
        <f>IF(Dienstplan!U123="","",Dienstplan!U123)</f>
        <v/>
      </c>
      <c r="V9" s="20">
        <f>IF(Dienstplan!V123="","",Dienstplan!V123)</f>
        <v/>
      </c>
      <c r="W9" s="20">
        <f>IF(Dienstplan!W123="","",Dienstplan!W123)</f>
        <v/>
      </c>
      <c r="X9" s="20">
        <f>IF(Dienstplan!X123="","",Dienstplan!X123)</f>
        <v/>
      </c>
      <c r="Y9" s="17">
        <f>IF(Dienstplan!Y123="","",Dienstplan!Y123)</f>
        <v/>
      </c>
      <c r="Z9" s="17">
        <f>IF(Dienstplan!Z123="","",Dienstplan!Z123)</f>
        <v/>
      </c>
      <c r="AA9" s="20">
        <f>IF(Dienstplan!AA123="","",Dienstplan!AA123)</f>
        <v/>
      </c>
      <c r="AB9" s="20">
        <f>IF(Dienstplan!AB123="","",Dienstplan!AB123)</f>
        <v/>
      </c>
      <c r="AC9" s="20">
        <f>IF(Dienstplan!AC123="","",Dienstplan!AC123)</f>
        <v/>
      </c>
      <c r="AD9" s="20">
        <f>IF(Dienstplan!AD123="","",Dienstplan!AD123)</f>
        <v/>
      </c>
      <c r="AE9" s="20">
        <f>IF(Dienstplan!AE123="","",Dienstplan!AE123)</f>
        <v/>
      </c>
      <c r="AF9" s="19">
        <f>IF(Dienstplan!AF123="","",Dienstplan!AF123)</f>
        <v/>
      </c>
    </row>
    <row r="10" ht="16" customHeight="1">
      <c r="A10" s="43" t="inlineStr">
        <is>
          <t>Göpfrich</t>
        </is>
      </c>
      <c r="B10" s="18">
        <f>IF(Dienstplan!B124="","",Dienstplan!B124)</f>
        <v/>
      </c>
      <c r="C10" s="18">
        <f>IF(Dienstplan!C124="","",Dienstplan!C124)</f>
        <v/>
      </c>
      <c r="D10" s="17">
        <f>IF(Dienstplan!D124="","",Dienstplan!D124)</f>
        <v/>
      </c>
      <c r="E10" s="17">
        <f>IF(Dienstplan!E124="","",Dienstplan!E124)</f>
        <v/>
      </c>
      <c r="F10" s="18">
        <f>IF(Dienstplan!F124="","",Dienstplan!F124)</f>
        <v/>
      </c>
      <c r="G10" s="18">
        <f>IF(Dienstplan!G124="","",Dienstplan!G124)</f>
        <v/>
      </c>
      <c r="H10" s="18">
        <f>IF(Dienstplan!H124="","",Dienstplan!H124)</f>
        <v/>
      </c>
      <c r="I10" s="18">
        <f>IF(Dienstplan!I124="","",Dienstplan!I124)</f>
        <v/>
      </c>
      <c r="J10" s="18">
        <f>IF(Dienstplan!J124="","",Dienstplan!J124)</f>
        <v/>
      </c>
      <c r="K10" s="17">
        <f>IF(Dienstplan!K124="","",Dienstplan!K124)</f>
        <v/>
      </c>
      <c r="L10" s="17">
        <f>IF(Dienstplan!L124="","",Dienstplan!L124)</f>
        <v/>
      </c>
      <c r="M10" s="18">
        <f>IF(Dienstplan!M124="","",Dienstplan!M124)</f>
        <v/>
      </c>
      <c r="N10" s="18">
        <f>IF(Dienstplan!N124="","",Dienstplan!N124)</f>
        <v/>
      </c>
      <c r="O10" s="18">
        <f>IF(Dienstplan!O124="","",Dienstplan!O124)</f>
        <v/>
      </c>
      <c r="P10" s="18">
        <f>IF(Dienstplan!P124="","",Dienstplan!P124)</f>
        <v/>
      </c>
      <c r="Q10" s="18">
        <f>IF(Dienstplan!Q124="","",Dienstplan!Q124)</f>
        <v/>
      </c>
      <c r="R10" s="17">
        <f>IF(Dienstplan!R124="","",Dienstplan!R124)</f>
        <v/>
      </c>
      <c r="S10" s="17">
        <f>IF(Dienstplan!S124="","",Dienstplan!S124)</f>
        <v/>
      </c>
      <c r="T10" s="18">
        <f>IF(Dienstplan!T124="","",Dienstplan!T124)</f>
        <v/>
      </c>
      <c r="U10" s="18">
        <f>IF(Dienstplan!U124="","",Dienstplan!U124)</f>
        <v/>
      </c>
      <c r="V10" s="18">
        <f>IF(Dienstplan!V124="","",Dienstplan!V124)</f>
        <v/>
      </c>
      <c r="W10" s="18">
        <f>IF(Dienstplan!W124="","",Dienstplan!W124)</f>
        <v/>
      </c>
      <c r="X10" s="18">
        <f>IF(Dienstplan!X124="","",Dienstplan!X124)</f>
        <v/>
      </c>
      <c r="Y10" s="17">
        <f>IF(Dienstplan!Y124="","",Dienstplan!Y124)</f>
        <v/>
      </c>
      <c r="Z10" s="17">
        <f>IF(Dienstplan!Z124="","",Dienstplan!Z124)</f>
        <v/>
      </c>
      <c r="AA10" s="18">
        <f>IF(Dienstplan!AA124="","",Dienstplan!AA124)</f>
        <v/>
      </c>
      <c r="AB10" s="18">
        <f>IF(Dienstplan!AB124="","",Dienstplan!AB124)</f>
        <v/>
      </c>
      <c r="AC10" s="18">
        <f>IF(Dienstplan!AC124="","",Dienstplan!AC124)</f>
        <v/>
      </c>
      <c r="AD10" s="18">
        <f>IF(Dienstplan!AD124="","",Dienstplan!AD124)</f>
        <v/>
      </c>
      <c r="AE10" s="18">
        <f>IF(Dienstplan!AE124="","",Dienstplan!AE124)</f>
        <v/>
      </c>
      <c r="AF10" s="19">
        <f>IF(Dienstplan!AF124="","",Dienstplan!AF124)</f>
        <v/>
      </c>
    </row>
    <row r="11" ht="16" customHeight="1">
      <c r="A11" s="43" t="inlineStr">
        <is>
          <t>Zeller</t>
        </is>
      </c>
      <c r="B11" s="20">
        <f>IF(Dienstplan!B125="","",Dienstplan!B125)</f>
        <v/>
      </c>
      <c r="C11" s="20">
        <f>IF(Dienstplan!C125="","",Dienstplan!C125)</f>
        <v/>
      </c>
      <c r="D11" s="17">
        <f>IF(Dienstplan!D125="","",Dienstplan!D125)</f>
        <v/>
      </c>
      <c r="E11" s="17">
        <f>IF(Dienstplan!E125="","",Dienstplan!E125)</f>
        <v/>
      </c>
      <c r="F11" s="20">
        <f>IF(Dienstplan!F125="","",Dienstplan!F125)</f>
        <v/>
      </c>
      <c r="G11" s="20">
        <f>IF(Dienstplan!G125="","",Dienstplan!G125)</f>
        <v/>
      </c>
      <c r="H11" s="20">
        <f>IF(Dienstplan!H125="","",Dienstplan!H125)</f>
        <v/>
      </c>
      <c r="I11" s="20">
        <f>IF(Dienstplan!I125="","",Dienstplan!I125)</f>
        <v/>
      </c>
      <c r="J11" s="20">
        <f>IF(Dienstplan!J125="","",Dienstplan!J125)</f>
        <v/>
      </c>
      <c r="K11" s="17">
        <f>IF(Dienstplan!K125="","",Dienstplan!K125)</f>
        <v/>
      </c>
      <c r="L11" s="17">
        <f>IF(Dienstplan!L125="","",Dienstplan!L125)</f>
        <v/>
      </c>
      <c r="M11" s="20">
        <f>IF(Dienstplan!M125="","",Dienstplan!M125)</f>
        <v/>
      </c>
      <c r="N11" s="20">
        <f>IF(Dienstplan!N125="","",Dienstplan!N125)</f>
        <v/>
      </c>
      <c r="O11" s="20">
        <f>IF(Dienstplan!O125="","",Dienstplan!O125)</f>
        <v/>
      </c>
      <c r="P11" s="20">
        <f>IF(Dienstplan!P125="","",Dienstplan!P125)</f>
        <v/>
      </c>
      <c r="Q11" s="20">
        <f>IF(Dienstplan!Q125="","",Dienstplan!Q125)</f>
        <v/>
      </c>
      <c r="R11" s="17">
        <f>IF(Dienstplan!R125="","",Dienstplan!R125)</f>
        <v/>
      </c>
      <c r="S11" s="17">
        <f>IF(Dienstplan!S125="","",Dienstplan!S125)</f>
        <v/>
      </c>
      <c r="T11" s="20">
        <f>IF(Dienstplan!T125="","",Dienstplan!T125)</f>
        <v/>
      </c>
      <c r="U11" s="20">
        <f>IF(Dienstplan!U125="","",Dienstplan!U125)</f>
        <v/>
      </c>
      <c r="V11" s="20">
        <f>IF(Dienstplan!V125="","",Dienstplan!V125)</f>
        <v/>
      </c>
      <c r="W11" s="20">
        <f>IF(Dienstplan!W125="","",Dienstplan!W125)</f>
        <v/>
      </c>
      <c r="X11" s="20">
        <f>IF(Dienstplan!X125="","",Dienstplan!X125)</f>
        <v/>
      </c>
      <c r="Y11" s="17">
        <f>IF(Dienstplan!Y125="","",Dienstplan!Y125)</f>
        <v/>
      </c>
      <c r="Z11" s="17">
        <f>IF(Dienstplan!Z125="","",Dienstplan!Z125)</f>
        <v/>
      </c>
      <c r="AA11" s="20">
        <f>IF(Dienstplan!AA125="","",Dienstplan!AA125)</f>
        <v/>
      </c>
      <c r="AB11" s="20">
        <f>IF(Dienstplan!AB125="","",Dienstplan!AB125)</f>
        <v/>
      </c>
      <c r="AC11" s="20">
        <f>IF(Dienstplan!AC125="","",Dienstplan!AC125)</f>
        <v/>
      </c>
      <c r="AD11" s="20">
        <f>IF(Dienstplan!AD125="","",Dienstplan!AD125)</f>
        <v/>
      </c>
      <c r="AE11" s="20">
        <f>IF(Dienstplan!AE125="","",Dienstplan!AE125)</f>
        <v/>
      </c>
      <c r="AF11" s="19">
        <f>IF(Dienstplan!AF125="","",Dienstplan!AF125)</f>
        <v/>
      </c>
    </row>
    <row r="12" ht="16" customHeight="1">
      <c r="A12" s="43" t="inlineStr">
        <is>
          <t>Behrendt</t>
        </is>
      </c>
      <c r="B12" s="18">
        <f>IF(Dienstplan!B126="","",Dienstplan!B126)</f>
        <v/>
      </c>
      <c r="C12" s="18">
        <f>IF(Dienstplan!C126="","",Dienstplan!C126)</f>
        <v/>
      </c>
      <c r="D12" s="17">
        <f>IF(Dienstplan!D126="","",Dienstplan!D126)</f>
        <v/>
      </c>
      <c r="E12" s="17">
        <f>IF(Dienstplan!E126="","",Dienstplan!E126)</f>
        <v/>
      </c>
      <c r="F12" s="18">
        <f>IF(Dienstplan!F126="","",Dienstplan!F126)</f>
        <v/>
      </c>
      <c r="G12" s="18">
        <f>IF(Dienstplan!G126="","",Dienstplan!G126)</f>
        <v/>
      </c>
      <c r="H12" s="18">
        <f>IF(Dienstplan!H126="","",Dienstplan!H126)</f>
        <v/>
      </c>
      <c r="I12" s="18">
        <f>IF(Dienstplan!I126="","",Dienstplan!I126)</f>
        <v/>
      </c>
      <c r="J12" s="18">
        <f>IF(Dienstplan!J126="","",Dienstplan!J126)</f>
        <v/>
      </c>
      <c r="K12" s="17">
        <f>IF(Dienstplan!K126="","",Dienstplan!K126)</f>
        <v/>
      </c>
      <c r="L12" s="17">
        <f>IF(Dienstplan!L126="","",Dienstplan!L126)</f>
        <v/>
      </c>
      <c r="M12" s="18">
        <f>IF(Dienstplan!M126="","",Dienstplan!M126)</f>
        <v/>
      </c>
      <c r="N12" s="18">
        <f>IF(Dienstplan!N126="","",Dienstplan!N126)</f>
        <v/>
      </c>
      <c r="O12" s="18">
        <f>IF(Dienstplan!O126="","",Dienstplan!O126)</f>
        <v/>
      </c>
      <c r="P12" s="18">
        <f>IF(Dienstplan!P126="","",Dienstplan!P126)</f>
        <v/>
      </c>
      <c r="Q12" s="18">
        <f>IF(Dienstplan!Q126="","",Dienstplan!Q126)</f>
        <v/>
      </c>
      <c r="R12" s="17">
        <f>IF(Dienstplan!R126="","",Dienstplan!R126)</f>
        <v/>
      </c>
      <c r="S12" s="17">
        <f>IF(Dienstplan!S126="","",Dienstplan!S126)</f>
        <v/>
      </c>
      <c r="T12" s="18">
        <f>IF(Dienstplan!T126="","",Dienstplan!T126)</f>
        <v/>
      </c>
      <c r="U12" s="18">
        <f>IF(Dienstplan!U126="","",Dienstplan!U126)</f>
        <v/>
      </c>
      <c r="V12" s="18">
        <f>IF(Dienstplan!V126="","",Dienstplan!V126)</f>
        <v/>
      </c>
      <c r="W12" s="18">
        <f>IF(Dienstplan!W126="","",Dienstplan!W126)</f>
        <v/>
      </c>
      <c r="X12" s="18">
        <f>IF(Dienstplan!X126="","",Dienstplan!X126)</f>
        <v/>
      </c>
      <c r="Y12" s="17">
        <f>IF(Dienstplan!Y126="","",Dienstplan!Y126)</f>
        <v/>
      </c>
      <c r="Z12" s="17">
        <f>IF(Dienstplan!Z126="","",Dienstplan!Z126)</f>
        <v/>
      </c>
      <c r="AA12" s="18">
        <f>IF(Dienstplan!AA126="","",Dienstplan!AA126)</f>
        <v/>
      </c>
      <c r="AB12" s="18">
        <f>IF(Dienstplan!AB126="","",Dienstplan!AB126)</f>
        <v/>
      </c>
      <c r="AC12" s="18">
        <f>IF(Dienstplan!AC126="","",Dienstplan!AC126)</f>
        <v/>
      </c>
      <c r="AD12" s="18">
        <f>IF(Dienstplan!AD126="","",Dienstplan!AD126)</f>
        <v/>
      </c>
      <c r="AE12" s="18">
        <f>IF(Dienstplan!AE126="","",Dienstplan!AE126)</f>
        <v/>
      </c>
      <c r="AF12" s="19">
        <f>IF(Dienstplan!AF126="","",Dienstplan!AF126)</f>
        <v/>
      </c>
    </row>
    <row r="13" ht="16" customHeight="1">
      <c r="A13" s="43" t="inlineStr">
        <is>
          <t>Krempl</t>
        </is>
      </c>
      <c r="B13" s="20">
        <f>IF(Dienstplan!B127="","",Dienstplan!B127)</f>
        <v/>
      </c>
      <c r="C13" s="20">
        <f>IF(Dienstplan!C127="","",Dienstplan!C127)</f>
        <v/>
      </c>
      <c r="D13" s="17">
        <f>IF(Dienstplan!D127="","",Dienstplan!D127)</f>
        <v/>
      </c>
      <c r="E13" s="17">
        <f>IF(Dienstplan!E127="","",Dienstplan!E127)</f>
        <v/>
      </c>
      <c r="F13" s="20">
        <f>IF(Dienstplan!F127="","",Dienstplan!F127)</f>
        <v/>
      </c>
      <c r="G13" s="20">
        <f>IF(Dienstplan!G127="","",Dienstplan!G127)</f>
        <v/>
      </c>
      <c r="H13" s="20">
        <f>IF(Dienstplan!H127="","",Dienstplan!H127)</f>
        <v/>
      </c>
      <c r="I13" s="20">
        <f>IF(Dienstplan!I127="","",Dienstplan!I127)</f>
        <v/>
      </c>
      <c r="J13" s="20">
        <f>IF(Dienstplan!J127="","",Dienstplan!J127)</f>
        <v/>
      </c>
      <c r="K13" s="17">
        <f>IF(Dienstplan!K127="","",Dienstplan!K127)</f>
        <v/>
      </c>
      <c r="L13" s="17">
        <f>IF(Dienstplan!L127="","",Dienstplan!L127)</f>
        <v/>
      </c>
      <c r="M13" s="20">
        <f>IF(Dienstplan!M127="","",Dienstplan!M127)</f>
        <v/>
      </c>
      <c r="N13" s="20">
        <f>IF(Dienstplan!N127="","",Dienstplan!N127)</f>
        <v/>
      </c>
      <c r="O13" s="20">
        <f>IF(Dienstplan!O127="","",Dienstplan!O127)</f>
        <v/>
      </c>
      <c r="P13" s="20">
        <f>IF(Dienstplan!P127="","",Dienstplan!P127)</f>
        <v/>
      </c>
      <c r="Q13" s="20">
        <f>IF(Dienstplan!Q127="","",Dienstplan!Q127)</f>
        <v/>
      </c>
      <c r="R13" s="17">
        <f>IF(Dienstplan!R127="","",Dienstplan!R127)</f>
        <v/>
      </c>
      <c r="S13" s="17">
        <f>IF(Dienstplan!S127="","",Dienstplan!S127)</f>
        <v/>
      </c>
      <c r="T13" s="20">
        <f>IF(Dienstplan!T127="","",Dienstplan!T127)</f>
        <v/>
      </c>
      <c r="U13" s="20">
        <f>IF(Dienstplan!U127="","",Dienstplan!U127)</f>
        <v/>
      </c>
      <c r="V13" s="20">
        <f>IF(Dienstplan!V127="","",Dienstplan!V127)</f>
        <v/>
      </c>
      <c r="W13" s="20">
        <f>IF(Dienstplan!W127="","",Dienstplan!W127)</f>
        <v/>
      </c>
      <c r="X13" s="20">
        <f>IF(Dienstplan!X127="","",Dienstplan!X127)</f>
        <v/>
      </c>
      <c r="Y13" s="17">
        <f>IF(Dienstplan!Y127="","",Dienstplan!Y127)</f>
        <v/>
      </c>
      <c r="Z13" s="17">
        <f>IF(Dienstplan!Z127="","",Dienstplan!Z127)</f>
        <v/>
      </c>
      <c r="AA13" s="20">
        <f>IF(Dienstplan!AA127="","",Dienstplan!AA127)</f>
        <v/>
      </c>
      <c r="AB13" s="20">
        <f>IF(Dienstplan!AB127="","",Dienstplan!AB127)</f>
        <v/>
      </c>
      <c r="AC13" s="20">
        <f>IF(Dienstplan!AC127="","",Dienstplan!AC127)</f>
        <v/>
      </c>
      <c r="AD13" s="20">
        <f>IF(Dienstplan!AD127="","",Dienstplan!AD127)</f>
        <v/>
      </c>
      <c r="AE13" s="20">
        <f>IF(Dienstplan!AE127="","",Dienstplan!AE127)</f>
        <v/>
      </c>
      <c r="AF13" s="19">
        <f>IF(Dienstplan!AF127="","",Dienstplan!AF127)</f>
        <v/>
      </c>
    </row>
    <row r="14" ht="16" customHeight="1">
      <c r="A14" s="43" t="inlineStr">
        <is>
          <t>Putschler</t>
        </is>
      </c>
      <c r="B14" s="18">
        <f>IF(Dienstplan!B128="","",Dienstplan!B128)</f>
        <v/>
      </c>
      <c r="C14" s="18">
        <f>IF(Dienstplan!C128="","",Dienstplan!C128)</f>
        <v/>
      </c>
      <c r="D14" s="17">
        <f>IF(Dienstplan!D128="","",Dienstplan!D128)</f>
        <v/>
      </c>
      <c r="E14" s="17">
        <f>IF(Dienstplan!E128="","",Dienstplan!E128)</f>
        <v/>
      </c>
      <c r="F14" s="18">
        <f>IF(Dienstplan!F128="","",Dienstplan!F128)</f>
        <v/>
      </c>
      <c r="G14" s="18">
        <f>IF(Dienstplan!G128="","",Dienstplan!G128)</f>
        <v/>
      </c>
      <c r="H14" s="18">
        <f>IF(Dienstplan!H128="","",Dienstplan!H128)</f>
        <v/>
      </c>
      <c r="I14" s="18">
        <f>IF(Dienstplan!I128="","",Dienstplan!I128)</f>
        <v/>
      </c>
      <c r="J14" s="18">
        <f>IF(Dienstplan!J128="","",Dienstplan!J128)</f>
        <v/>
      </c>
      <c r="K14" s="17">
        <f>IF(Dienstplan!K128="","",Dienstplan!K128)</f>
        <v/>
      </c>
      <c r="L14" s="17">
        <f>IF(Dienstplan!L128="","",Dienstplan!L128)</f>
        <v/>
      </c>
      <c r="M14" s="18">
        <f>IF(Dienstplan!M128="","",Dienstplan!M128)</f>
        <v/>
      </c>
      <c r="N14" s="18">
        <f>IF(Dienstplan!N128="","",Dienstplan!N128)</f>
        <v/>
      </c>
      <c r="O14" s="18">
        <f>IF(Dienstplan!O128="","",Dienstplan!O128)</f>
        <v/>
      </c>
      <c r="P14" s="18">
        <f>IF(Dienstplan!P128="","",Dienstplan!P128)</f>
        <v/>
      </c>
      <c r="Q14" s="18">
        <f>IF(Dienstplan!Q128="","",Dienstplan!Q128)</f>
        <v/>
      </c>
      <c r="R14" s="17">
        <f>IF(Dienstplan!R128="","",Dienstplan!R128)</f>
        <v/>
      </c>
      <c r="S14" s="17">
        <f>IF(Dienstplan!S128="","",Dienstplan!S128)</f>
        <v/>
      </c>
      <c r="T14" s="18">
        <f>IF(Dienstplan!T128="","",Dienstplan!T128)</f>
        <v/>
      </c>
      <c r="U14" s="18">
        <f>IF(Dienstplan!U128="","",Dienstplan!U128)</f>
        <v/>
      </c>
      <c r="V14" s="18">
        <f>IF(Dienstplan!V128="","",Dienstplan!V128)</f>
        <v/>
      </c>
      <c r="W14" s="18">
        <f>IF(Dienstplan!W128="","",Dienstplan!W128)</f>
        <v/>
      </c>
      <c r="X14" s="18">
        <f>IF(Dienstplan!X128="","",Dienstplan!X128)</f>
        <v/>
      </c>
      <c r="Y14" s="17">
        <f>IF(Dienstplan!Y128="","",Dienstplan!Y128)</f>
        <v/>
      </c>
      <c r="Z14" s="17">
        <f>IF(Dienstplan!Z128="","",Dienstplan!Z128)</f>
        <v/>
      </c>
      <c r="AA14" s="18">
        <f>IF(Dienstplan!AA128="","",Dienstplan!AA128)</f>
        <v/>
      </c>
      <c r="AB14" s="18">
        <f>IF(Dienstplan!AB128="","",Dienstplan!AB128)</f>
        <v/>
      </c>
      <c r="AC14" s="18">
        <f>IF(Dienstplan!AC128="","",Dienstplan!AC128)</f>
        <v/>
      </c>
      <c r="AD14" s="18">
        <f>IF(Dienstplan!AD128="","",Dienstplan!AD128)</f>
        <v/>
      </c>
      <c r="AE14" s="18">
        <f>IF(Dienstplan!AE128="","",Dienstplan!AE128)</f>
        <v/>
      </c>
      <c r="AF14" s="19">
        <f>IF(Dienstplan!AF128="","",Dienstplan!AF128)</f>
        <v/>
      </c>
    </row>
    <row r="15" ht="16" customHeight="1">
      <c r="A15" s="43" t="inlineStr">
        <is>
          <t>Kunz</t>
        </is>
      </c>
      <c r="B15" s="20">
        <f>IF(Dienstplan!B129="","",Dienstplan!B129)</f>
        <v/>
      </c>
      <c r="C15" s="20">
        <f>IF(Dienstplan!C129="","",Dienstplan!C129)</f>
        <v/>
      </c>
      <c r="D15" s="17">
        <f>IF(Dienstplan!D129="","",Dienstplan!D129)</f>
        <v/>
      </c>
      <c r="E15" s="17">
        <f>IF(Dienstplan!E129="","",Dienstplan!E129)</f>
        <v/>
      </c>
      <c r="F15" s="20">
        <f>IF(Dienstplan!F129="","",Dienstplan!F129)</f>
        <v/>
      </c>
      <c r="G15" s="20">
        <f>IF(Dienstplan!G129="","",Dienstplan!G129)</f>
        <v/>
      </c>
      <c r="H15" s="20">
        <f>IF(Dienstplan!H129="","",Dienstplan!H129)</f>
        <v/>
      </c>
      <c r="I15" s="20">
        <f>IF(Dienstplan!I129="","",Dienstplan!I129)</f>
        <v/>
      </c>
      <c r="J15" s="20">
        <f>IF(Dienstplan!J129="","",Dienstplan!J129)</f>
        <v/>
      </c>
      <c r="K15" s="17">
        <f>IF(Dienstplan!K129="","",Dienstplan!K129)</f>
        <v/>
      </c>
      <c r="L15" s="17">
        <f>IF(Dienstplan!L129="","",Dienstplan!L129)</f>
        <v/>
      </c>
      <c r="M15" s="20">
        <f>IF(Dienstplan!M129="","",Dienstplan!M129)</f>
        <v/>
      </c>
      <c r="N15" s="20">
        <f>IF(Dienstplan!N129="","",Dienstplan!N129)</f>
        <v/>
      </c>
      <c r="O15" s="20">
        <f>IF(Dienstplan!O129="","",Dienstplan!O129)</f>
        <v/>
      </c>
      <c r="P15" s="20">
        <f>IF(Dienstplan!P129="","",Dienstplan!P129)</f>
        <v/>
      </c>
      <c r="Q15" s="20">
        <f>IF(Dienstplan!Q129="","",Dienstplan!Q129)</f>
        <v/>
      </c>
      <c r="R15" s="17">
        <f>IF(Dienstplan!R129="","",Dienstplan!R129)</f>
        <v/>
      </c>
      <c r="S15" s="17">
        <f>IF(Dienstplan!S129="","",Dienstplan!S129)</f>
        <v/>
      </c>
      <c r="T15" s="20">
        <f>IF(Dienstplan!T129="","",Dienstplan!T129)</f>
        <v/>
      </c>
      <c r="U15" s="20">
        <f>IF(Dienstplan!U129="","",Dienstplan!U129)</f>
        <v/>
      </c>
      <c r="V15" s="20">
        <f>IF(Dienstplan!V129="","",Dienstplan!V129)</f>
        <v/>
      </c>
      <c r="W15" s="20">
        <f>IF(Dienstplan!W129="","",Dienstplan!W129)</f>
        <v/>
      </c>
      <c r="X15" s="20">
        <f>IF(Dienstplan!X129="","",Dienstplan!X129)</f>
        <v/>
      </c>
      <c r="Y15" s="17">
        <f>IF(Dienstplan!Y129="","",Dienstplan!Y129)</f>
        <v/>
      </c>
      <c r="Z15" s="17">
        <f>IF(Dienstplan!Z129="","",Dienstplan!Z129)</f>
        <v/>
      </c>
      <c r="AA15" s="20">
        <f>IF(Dienstplan!AA129="","",Dienstplan!AA129)</f>
        <v/>
      </c>
      <c r="AB15" s="20">
        <f>IF(Dienstplan!AB129="","",Dienstplan!AB129)</f>
        <v/>
      </c>
      <c r="AC15" s="20">
        <f>IF(Dienstplan!AC129="","",Dienstplan!AC129)</f>
        <v/>
      </c>
      <c r="AD15" s="20">
        <f>IF(Dienstplan!AD129="","",Dienstplan!AD129)</f>
        <v/>
      </c>
      <c r="AE15" s="20">
        <f>IF(Dienstplan!AE129="","",Dienstplan!AE129)</f>
        <v/>
      </c>
      <c r="AF15" s="19">
        <f>IF(Dienstplan!AF129="","",Dienstplan!AF129)</f>
        <v/>
      </c>
    </row>
    <row r="16" hidden="1" ht="16" customHeight="1">
      <c r="A16" s="44" t="inlineStr">
        <is>
          <t>Schmidt</t>
        </is>
      </c>
      <c r="B16" s="18">
        <f>IF(Dienstplan!B130="","",Dienstplan!B130)</f>
        <v/>
      </c>
      <c r="C16" s="18">
        <f>IF(Dienstplan!C130="","",Dienstplan!C130)</f>
        <v/>
      </c>
      <c r="D16" s="17">
        <f>IF(Dienstplan!D130="","",Dienstplan!D130)</f>
        <v/>
      </c>
      <c r="E16" s="17">
        <f>IF(Dienstplan!E130="","",Dienstplan!E130)</f>
        <v/>
      </c>
      <c r="F16" s="18">
        <f>IF(Dienstplan!F130="","",Dienstplan!F130)</f>
        <v/>
      </c>
      <c r="G16" s="18">
        <f>IF(Dienstplan!G130="","",Dienstplan!G130)</f>
        <v/>
      </c>
      <c r="H16" s="18">
        <f>IF(Dienstplan!H130="","",Dienstplan!H130)</f>
        <v/>
      </c>
      <c r="I16" s="18">
        <f>IF(Dienstplan!I130="","",Dienstplan!I130)</f>
        <v/>
      </c>
      <c r="J16" s="18">
        <f>IF(Dienstplan!J130="","",Dienstplan!J130)</f>
        <v/>
      </c>
      <c r="K16" s="17">
        <f>IF(Dienstplan!K130="","",Dienstplan!K130)</f>
        <v/>
      </c>
      <c r="L16" s="17">
        <f>IF(Dienstplan!L130="","",Dienstplan!L130)</f>
        <v/>
      </c>
      <c r="M16" s="18">
        <f>IF(Dienstplan!M130="","",Dienstplan!M130)</f>
        <v/>
      </c>
      <c r="N16" s="18">
        <f>IF(Dienstplan!N130="","",Dienstplan!N130)</f>
        <v/>
      </c>
      <c r="O16" s="18">
        <f>IF(Dienstplan!O130="","",Dienstplan!O130)</f>
        <v/>
      </c>
      <c r="P16" s="18">
        <f>IF(Dienstplan!P130="","",Dienstplan!P130)</f>
        <v/>
      </c>
      <c r="Q16" s="18">
        <f>IF(Dienstplan!Q130="","",Dienstplan!Q130)</f>
        <v/>
      </c>
      <c r="R16" s="17">
        <f>IF(Dienstplan!R130="","",Dienstplan!R130)</f>
        <v/>
      </c>
      <c r="S16" s="17">
        <f>IF(Dienstplan!S130="","",Dienstplan!S130)</f>
        <v/>
      </c>
      <c r="T16" s="18">
        <f>IF(Dienstplan!T130="","",Dienstplan!T130)</f>
        <v/>
      </c>
      <c r="U16" s="18">
        <f>IF(Dienstplan!U130="","",Dienstplan!U130)</f>
        <v/>
      </c>
      <c r="V16" s="18">
        <f>IF(Dienstplan!V130="","",Dienstplan!V130)</f>
        <v/>
      </c>
      <c r="W16" s="18">
        <f>IF(Dienstplan!W130="","",Dienstplan!W130)</f>
        <v/>
      </c>
      <c r="X16" s="18">
        <f>IF(Dienstplan!X130="","",Dienstplan!X130)</f>
        <v/>
      </c>
      <c r="Y16" s="17">
        <f>IF(Dienstplan!Y130="","",Dienstplan!Y130)</f>
        <v/>
      </c>
      <c r="Z16" s="17">
        <f>IF(Dienstplan!Z130="","",Dienstplan!Z130)</f>
        <v/>
      </c>
      <c r="AA16" s="18">
        <f>IF(Dienstplan!AA130="","",Dienstplan!AA130)</f>
        <v/>
      </c>
      <c r="AB16" s="18">
        <f>IF(Dienstplan!AB130="","",Dienstplan!AB130)</f>
        <v/>
      </c>
      <c r="AC16" s="18">
        <f>IF(Dienstplan!AC130="","",Dienstplan!AC130)</f>
        <v/>
      </c>
      <c r="AD16" s="18">
        <f>IF(Dienstplan!AD130="","",Dienstplan!AD130)</f>
        <v/>
      </c>
      <c r="AE16" s="18">
        <f>IF(Dienstplan!AE130="","",Dienstplan!AE130)</f>
        <v/>
      </c>
      <c r="AF16" s="19">
        <f>IF(Dienstplan!AF130="","",Dienstplan!AF130)</f>
        <v/>
      </c>
    </row>
    <row r="17" hidden="1" ht="16" customHeight="1">
      <c r="A17" s="44" t="inlineStr">
        <is>
          <t>Radimersky</t>
        </is>
      </c>
      <c r="B17" s="20">
        <f>IF(Dienstplan!B131="","",Dienstplan!B131)</f>
        <v/>
      </c>
      <c r="C17" s="20">
        <f>IF(Dienstplan!C131="","",Dienstplan!C131)</f>
        <v/>
      </c>
      <c r="D17" s="17">
        <f>IF(Dienstplan!D131="","",Dienstplan!D131)</f>
        <v/>
      </c>
      <c r="E17" s="17">
        <f>IF(Dienstplan!E131="","",Dienstplan!E131)</f>
        <v/>
      </c>
      <c r="F17" s="20">
        <f>IF(Dienstplan!F131="","",Dienstplan!F131)</f>
        <v/>
      </c>
      <c r="G17" s="20">
        <f>IF(Dienstplan!G131="","",Dienstplan!G131)</f>
        <v/>
      </c>
      <c r="H17" s="20">
        <f>IF(Dienstplan!H131="","",Dienstplan!H131)</f>
        <v/>
      </c>
      <c r="I17" s="20">
        <f>IF(Dienstplan!I131="","",Dienstplan!I131)</f>
        <v/>
      </c>
      <c r="J17" s="20">
        <f>IF(Dienstplan!J131="","",Dienstplan!J131)</f>
        <v/>
      </c>
      <c r="K17" s="17">
        <f>IF(Dienstplan!K131="","",Dienstplan!K131)</f>
        <v/>
      </c>
      <c r="L17" s="17">
        <f>IF(Dienstplan!L131="","",Dienstplan!L131)</f>
        <v/>
      </c>
      <c r="M17" s="20">
        <f>IF(Dienstplan!M131="","",Dienstplan!M131)</f>
        <v/>
      </c>
      <c r="N17" s="20">
        <f>IF(Dienstplan!N131="","",Dienstplan!N131)</f>
        <v/>
      </c>
      <c r="O17" s="20">
        <f>IF(Dienstplan!O131="","",Dienstplan!O131)</f>
        <v/>
      </c>
      <c r="P17" s="20">
        <f>IF(Dienstplan!P131="","",Dienstplan!P131)</f>
        <v/>
      </c>
      <c r="Q17" s="20">
        <f>IF(Dienstplan!Q131="","",Dienstplan!Q131)</f>
        <v/>
      </c>
      <c r="R17" s="17">
        <f>IF(Dienstplan!R131="","",Dienstplan!R131)</f>
        <v/>
      </c>
      <c r="S17" s="17">
        <f>IF(Dienstplan!S131="","",Dienstplan!S131)</f>
        <v/>
      </c>
      <c r="T17" s="20">
        <f>IF(Dienstplan!T131="","",Dienstplan!T131)</f>
        <v/>
      </c>
      <c r="U17" s="20">
        <f>IF(Dienstplan!U131="","",Dienstplan!U131)</f>
        <v/>
      </c>
      <c r="V17" s="20">
        <f>IF(Dienstplan!V131="","",Dienstplan!V131)</f>
        <v/>
      </c>
      <c r="W17" s="20">
        <f>IF(Dienstplan!W131="","",Dienstplan!W131)</f>
        <v/>
      </c>
      <c r="X17" s="20">
        <f>IF(Dienstplan!X131="","",Dienstplan!X131)</f>
        <v/>
      </c>
      <c r="Y17" s="17">
        <f>IF(Dienstplan!Y131="","",Dienstplan!Y131)</f>
        <v/>
      </c>
      <c r="Z17" s="17">
        <f>IF(Dienstplan!Z131="","",Dienstplan!Z131)</f>
        <v/>
      </c>
      <c r="AA17" s="20">
        <f>IF(Dienstplan!AA131="","",Dienstplan!AA131)</f>
        <v/>
      </c>
      <c r="AB17" s="20">
        <f>IF(Dienstplan!AB131="","",Dienstplan!AB131)</f>
        <v/>
      </c>
      <c r="AC17" s="20">
        <f>IF(Dienstplan!AC131="","",Dienstplan!AC131)</f>
        <v/>
      </c>
      <c r="AD17" s="20">
        <f>IF(Dienstplan!AD131="","",Dienstplan!AD131)</f>
        <v/>
      </c>
      <c r="AE17" s="20">
        <f>IF(Dienstplan!AE131="","",Dienstplan!AE131)</f>
        <v/>
      </c>
      <c r="AF17" s="19">
        <f>IF(Dienstplan!AF131="","",Dienstplan!AF131)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IF(AND(COUNTIF(B6:B17,"FI")&gt;0,COUNTIF(B6:B17,"SI")&gt;0,COUNTIF(B6:B17,"NI")&gt;0),"","!")</f>
        <v/>
      </c>
      <c r="C18" s="23">
        <f>IF(AND(COUNTIF(C6:C17,"FI")&gt;0,COUNTIF(C6:C17,"SI")&gt;0),"","!")</f>
        <v/>
      </c>
      <c r="D18" s="22" t="n"/>
      <c r="E18" s="22" t="n"/>
      <c r="F18" s="23">
        <f>IF(AND(COUNTIF(F6:F17,"FI")&gt;0,COUNTIF(F6:F17,"SI")&gt;0,COUNTIF(F6:F17,"NI")&gt;0),"","!")</f>
        <v/>
      </c>
      <c r="G18" s="23">
        <f>IF(AND(COUNTIF(G6:G17,"FI")&gt;0,COUNTIF(G6:G17,"SI")&gt;0,COUNTIF(G6:G17,"NI")&gt;0),"","!")</f>
        <v/>
      </c>
      <c r="H18" s="23">
        <f>IF(AND(COUNTIF(H6:H17,"FI")&gt;0,COUNTIF(H6:H17,"SI")&gt;0,COUNTIF(H6:H17,"NI")&gt;0),"","!")</f>
        <v/>
      </c>
      <c r="I18" s="23">
        <f>IF(AND(COUNTIF(I6:I17,"FI")&gt;0,COUNTIF(I6:I17,"SI")&gt;0,COUNTIF(I6:I17,"NI")&gt;0),"","!")</f>
        <v/>
      </c>
      <c r="J18" s="23">
        <f>IF(AND(COUNTIF(J6:J17,"FI")&gt;0,COUNTIF(J6:J17,"SI")&gt;0),"","!")</f>
        <v/>
      </c>
      <c r="K18" s="22" t="n"/>
      <c r="L18" s="22" t="n"/>
      <c r="M18" s="23">
        <f>IF(AND(COUNTIF(M6:M17,"FI")&gt;0,COUNTIF(M6:M17,"SI")&gt;0,COUNTIF(M6:M17,"NI")&gt;0),"","!")</f>
        <v/>
      </c>
      <c r="N18" s="23">
        <f>IF(AND(COUNTIF(N6:N17,"FI")&gt;0,COUNTIF(N6:N17,"SI")&gt;0,COUNTIF(N6:N17,"NI")&gt;0),"","!")</f>
        <v/>
      </c>
      <c r="O18" s="23">
        <f>IF(AND(COUNTIF(O6:O17,"FI")&gt;0,COUNTIF(O6:O17,"SI")&gt;0,COUNTIF(O6:O17,"NI")&gt;0),"","!")</f>
        <v/>
      </c>
      <c r="P18" s="23">
        <f>IF(AND(COUNTIF(P6:P17,"FI")&gt;0,COUNTIF(P6:P17,"SI")&gt;0,COUNTIF(P6:P17,"NI")&gt;0),"","!")</f>
        <v/>
      </c>
      <c r="Q18" s="23">
        <f>IF(AND(COUNTIF(Q6:Q17,"FI")&gt;0,COUNTIF(Q6:Q17,"SI")&gt;0),"","!")</f>
        <v/>
      </c>
      <c r="R18" s="22" t="n"/>
      <c r="S18" s="22" t="n"/>
      <c r="T18" s="23">
        <f>IF(AND(COUNTIF(T6:T17,"FI")&gt;0,COUNTIF(T6:T17,"SI")&gt;0,COUNTIF(T6:T17,"NI")&gt;0),"","!")</f>
        <v/>
      </c>
      <c r="U18" s="23">
        <f>IF(AND(COUNTIF(U6:U17,"FI")&gt;0,COUNTIF(U6:U17,"SI")&gt;0,COUNTIF(U6:U17,"NI")&gt;0),"","!")</f>
        <v/>
      </c>
      <c r="V18" s="23">
        <f>IF(AND(COUNTIF(V6:V17,"FI")&gt;0,COUNTIF(V6:V17,"SI")&gt;0,COUNTIF(V6:V17,"NI")&gt;0),"","!")</f>
        <v/>
      </c>
      <c r="W18" s="23">
        <f>IF(AND(COUNTIF(W6:W17,"FI")&gt;0,COUNTIF(W6:W17,"SI")&gt;0,COUNTIF(W6:W17,"NI")&gt;0),"","!")</f>
        <v/>
      </c>
      <c r="X18" s="23">
        <f>IF(AND(COUNTIF(X6:X17,"FI")&gt;0,COUNTIF(X6:X17,"SI")&gt;0),"","!")</f>
        <v/>
      </c>
      <c r="Y18" s="22" t="n"/>
      <c r="Z18" s="22" t="n"/>
      <c r="AA18" s="23">
        <f>IF(AND(COUNTIF(AA6:AA17,"FI")&gt;0,COUNTIF(AA6:AA17,"SI")&gt;0,COUNTIF(AA6:AA17,"NI")&gt;0),"","!")</f>
        <v/>
      </c>
      <c r="AB18" s="23">
        <f>IF(AND(COUNTIF(AB6:AB17,"FI")&gt;0,COUNTIF(AB6:AB17,"SI")&gt;0,COUNTIF(AB6:AB17,"NI")&gt;0),"","!")</f>
        <v/>
      </c>
      <c r="AC18" s="23">
        <f>IF(AND(COUNTIF(AC6:AC17,"FI")&gt;0,COUNTIF(AC6:AC17,"SI")&gt;0,COUNTIF(AC6:AC17,"NI")&gt;0),"","!")</f>
        <v/>
      </c>
      <c r="AD18" s="23">
        <f>IF(AND(COUNTIF(AD6:AD17,"FI")&gt;0,COUNTIF(AD6:AD17,"SI")&gt;0,COUNTIF(AD6:AD17,"NI")&gt;0),"","!")</f>
        <v/>
      </c>
      <c r="AE18" s="23">
        <f>IF(AND(COUNTIF(AE6:AE17,"FI")&gt;0,COUNTIF(AE6:AE17,"SI")&gt;0),"","!")</f>
        <v/>
      </c>
      <c r="AF18" s="24" t="n"/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E2:AF2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F18">
    <cfRule type="cellIs" priority="1" operator="equal" dxfId="5" stopIfTrue="1">
      <formula>"!"</formula>
    </cfRule>
  </conditionalFormatting>
  <conditionalFormatting sqref="B6:AF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August 2027</t>
        </is>
      </c>
      <c r="AC1" s="33" t="inlineStr">
        <is>
          <t>AT: 22   Sa: 4</t>
        </is>
      </c>
    </row>
    <row r="2">
      <c r="B2" s="25" t="inlineStr">
        <is>
          <t>Sommerferien</t>
        </is>
      </c>
    </row>
    <row r="3" ht="18" customHeight="1">
      <c r="A3" s="34" t="inlineStr">
        <is>
          <t>Tag</t>
        </is>
      </c>
      <c r="B3" s="35" t="n">
        <v>1</v>
      </c>
      <c r="C3" s="36" t="n">
        <v>2</v>
      </c>
      <c r="D3" s="36" t="n">
        <v>3</v>
      </c>
      <c r="E3" s="36" t="n">
        <v>4</v>
      </c>
      <c r="F3" s="36" t="n">
        <v>5</v>
      </c>
      <c r="G3" s="36" t="n">
        <v>6</v>
      </c>
      <c r="H3" s="35" t="n">
        <v>7</v>
      </c>
      <c r="I3" s="35" t="n">
        <v>8</v>
      </c>
      <c r="J3" s="36" t="n">
        <v>9</v>
      </c>
      <c r="K3" s="36" t="n">
        <v>10</v>
      </c>
      <c r="L3" s="36" t="n">
        <v>11</v>
      </c>
      <c r="M3" s="36" t="n">
        <v>12</v>
      </c>
      <c r="N3" s="36" t="n">
        <v>13</v>
      </c>
      <c r="O3" s="35" t="n">
        <v>14</v>
      </c>
      <c r="P3" s="35" t="n">
        <v>15</v>
      </c>
      <c r="Q3" s="36" t="n">
        <v>16</v>
      </c>
      <c r="R3" s="36" t="n">
        <v>17</v>
      </c>
      <c r="S3" s="36" t="n">
        <v>18</v>
      </c>
      <c r="T3" s="36" t="n">
        <v>19</v>
      </c>
      <c r="U3" s="36" t="n">
        <v>20</v>
      </c>
      <c r="V3" s="35" t="n">
        <v>21</v>
      </c>
      <c r="W3" s="35" t="n">
        <v>22</v>
      </c>
      <c r="X3" s="36" t="n">
        <v>23</v>
      </c>
      <c r="Y3" s="36" t="n">
        <v>24</v>
      </c>
      <c r="Z3" s="36" t="n">
        <v>25</v>
      </c>
      <c r="AA3" s="36" t="n">
        <v>26</v>
      </c>
      <c r="AB3" s="36" t="n">
        <v>27</v>
      </c>
      <c r="AC3" s="35" t="n">
        <v>28</v>
      </c>
      <c r="AD3" s="35" t="n">
        <v>29</v>
      </c>
      <c r="AE3" s="36" t="n">
        <v>30</v>
      </c>
      <c r="AF3" s="65" t="n">
        <v>31</v>
      </c>
    </row>
    <row r="4" ht="18" customHeight="1">
      <c r="A4" s="9" t="inlineStr">
        <is>
          <t>WT</t>
        </is>
      </c>
      <c r="B4" s="13" t="inlineStr">
        <is>
          <t>So</t>
        </is>
      </c>
      <c r="C4" s="14" t="inlineStr">
        <is>
          <t>Mo</t>
        </is>
      </c>
      <c r="D4" s="14" t="inlineStr">
        <is>
          <t>Di</t>
        </is>
      </c>
      <c r="E4" s="14" t="inlineStr">
        <is>
          <t>Mi</t>
        </is>
      </c>
      <c r="F4" s="14" t="inlineStr">
        <is>
          <t>Do</t>
        </is>
      </c>
      <c r="G4" s="14" t="inlineStr">
        <is>
          <t>Fr</t>
        </is>
      </c>
      <c r="H4" s="13" t="inlineStr">
        <is>
          <t>Sa</t>
        </is>
      </c>
      <c r="I4" s="13" t="inlineStr">
        <is>
          <t>So</t>
        </is>
      </c>
      <c r="J4" s="14" t="inlineStr">
        <is>
          <t>Mo</t>
        </is>
      </c>
      <c r="K4" s="14" t="inlineStr">
        <is>
          <t>Di</t>
        </is>
      </c>
      <c r="L4" s="14" t="inlineStr">
        <is>
          <t>Mi</t>
        </is>
      </c>
      <c r="M4" s="14" t="inlineStr">
        <is>
          <t>Do</t>
        </is>
      </c>
      <c r="N4" s="14" t="inlineStr">
        <is>
          <t>Fr</t>
        </is>
      </c>
      <c r="O4" s="13" t="inlineStr">
        <is>
          <t>Sa</t>
        </is>
      </c>
      <c r="P4" s="13" t="inlineStr">
        <is>
          <t>So</t>
        </is>
      </c>
      <c r="Q4" s="14" t="inlineStr">
        <is>
          <t>Mo</t>
        </is>
      </c>
      <c r="R4" s="14" t="inlineStr">
        <is>
          <t>Di</t>
        </is>
      </c>
      <c r="S4" s="14" t="inlineStr">
        <is>
          <t>Mi</t>
        </is>
      </c>
      <c r="T4" s="14" t="inlineStr">
        <is>
          <t>Do</t>
        </is>
      </c>
      <c r="U4" s="14" t="inlineStr">
        <is>
          <t>Fr</t>
        </is>
      </c>
      <c r="V4" s="13" t="inlineStr">
        <is>
          <t>Sa</t>
        </is>
      </c>
      <c r="W4" s="13" t="inlineStr">
        <is>
          <t>So</t>
        </is>
      </c>
      <c r="X4" s="14" t="inlineStr">
        <is>
          <t>Mo</t>
        </is>
      </c>
      <c r="Y4" s="14" t="inlineStr">
        <is>
          <t>Di</t>
        </is>
      </c>
      <c r="Z4" s="14" t="inlineStr">
        <is>
          <t>Mi</t>
        </is>
      </c>
      <c r="AA4" s="14" t="inlineStr">
        <is>
          <t>Do</t>
        </is>
      </c>
      <c r="AB4" s="14" t="inlineStr">
        <is>
          <t>Fr</t>
        </is>
      </c>
      <c r="AC4" s="13" t="inlineStr">
        <is>
          <t>Sa</t>
        </is>
      </c>
      <c r="AD4" s="13" t="inlineStr">
        <is>
          <t>So</t>
        </is>
      </c>
      <c r="AE4" s="14" t="inlineStr">
        <is>
          <t>Mo</t>
        </is>
      </c>
      <c r="AF4" s="28" t="inlineStr">
        <is>
          <t>Di</t>
        </is>
      </c>
    </row>
    <row r="5" ht="15" customHeight="1">
      <c r="A5" s="9" t="inlineStr">
        <is>
          <t>KW</t>
        </is>
      </c>
      <c r="B5" s="38" t="n">
        <v>30</v>
      </c>
      <c r="C5" s="40" t="n">
        <v>31</v>
      </c>
      <c r="D5" s="41" t="n"/>
      <c r="E5" s="41" t="n"/>
      <c r="F5" s="41" t="n"/>
      <c r="G5" s="41" t="n"/>
      <c r="H5" s="39" t="n"/>
      <c r="I5" s="39" t="n"/>
      <c r="J5" s="40" t="n">
        <v>32</v>
      </c>
      <c r="K5" s="41" t="n"/>
      <c r="L5" s="41" t="n"/>
      <c r="M5" s="41" t="n"/>
      <c r="N5" s="41" t="n"/>
      <c r="O5" s="39" t="n"/>
      <c r="P5" s="39" t="n"/>
      <c r="Q5" s="40" t="n">
        <v>33</v>
      </c>
      <c r="R5" s="41" t="n"/>
      <c r="S5" s="41" t="n"/>
      <c r="T5" s="41" t="n"/>
      <c r="U5" s="41" t="n"/>
      <c r="V5" s="39" t="n"/>
      <c r="W5" s="39" t="n"/>
      <c r="X5" s="40" t="n">
        <v>34</v>
      </c>
      <c r="Y5" s="41" t="n"/>
      <c r="Z5" s="41" t="n"/>
      <c r="AA5" s="41" t="n"/>
      <c r="AB5" s="41" t="n"/>
      <c r="AC5" s="39" t="n"/>
      <c r="AD5" s="39" t="n"/>
      <c r="AE5" s="40" t="n">
        <v>35</v>
      </c>
      <c r="AF5" s="66" t="n"/>
    </row>
    <row r="6" ht="16" customHeight="1">
      <c r="A6" s="43" t="inlineStr">
        <is>
          <t>Breig</t>
        </is>
      </c>
      <c r="B6" s="17">
        <f>IF(Dienstplan!B139="","",Dienstplan!B139)</f>
        <v/>
      </c>
      <c r="C6" s="18">
        <f>IF(Dienstplan!C139="","",Dienstplan!C139)</f>
        <v/>
      </c>
      <c r="D6" s="18">
        <f>IF(Dienstplan!D139="","",Dienstplan!D139)</f>
        <v/>
      </c>
      <c r="E6" s="18">
        <f>IF(Dienstplan!E139="","",Dienstplan!E139)</f>
        <v/>
      </c>
      <c r="F6" s="18">
        <f>IF(Dienstplan!F139="","",Dienstplan!F139)</f>
        <v/>
      </c>
      <c r="G6" s="18">
        <f>IF(Dienstplan!G139="","",Dienstplan!G139)</f>
        <v/>
      </c>
      <c r="H6" s="17">
        <f>IF(Dienstplan!H139="","",Dienstplan!H139)</f>
        <v/>
      </c>
      <c r="I6" s="17">
        <f>IF(Dienstplan!I139="","",Dienstplan!I139)</f>
        <v/>
      </c>
      <c r="J6" s="18">
        <f>IF(Dienstplan!J139="","",Dienstplan!J139)</f>
        <v/>
      </c>
      <c r="K6" s="18">
        <f>IF(Dienstplan!K139="","",Dienstplan!K139)</f>
        <v/>
      </c>
      <c r="L6" s="18">
        <f>IF(Dienstplan!L139="","",Dienstplan!L139)</f>
        <v/>
      </c>
      <c r="M6" s="18">
        <f>IF(Dienstplan!M139="","",Dienstplan!M139)</f>
        <v/>
      </c>
      <c r="N6" s="18">
        <f>IF(Dienstplan!N139="","",Dienstplan!N139)</f>
        <v/>
      </c>
      <c r="O6" s="17">
        <f>IF(Dienstplan!O139="","",Dienstplan!O139)</f>
        <v/>
      </c>
      <c r="P6" s="17">
        <f>IF(Dienstplan!P139="","",Dienstplan!P139)</f>
        <v/>
      </c>
      <c r="Q6" s="18">
        <f>IF(Dienstplan!Q139="","",Dienstplan!Q139)</f>
        <v/>
      </c>
      <c r="R6" s="18">
        <f>IF(Dienstplan!R139="","",Dienstplan!R139)</f>
        <v/>
      </c>
      <c r="S6" s="18">
        <f>IF(Dienstplan!S139="","",Dienstplan!S139)</f>
        <v/>
      </c>
      <c r="T6" s="18">
        <f>IF(Dienstplan!T139="","",Dienstplan!T139)</f>
        <v/>
      </c>
      <c r="U6" s="18">
        <f>IF(Dienstplan!U139="","",Dienstplan!U139)</f>
        <v/>
      </c>
      <c r="V6" s="17">
        <f>IF(Dienstplan!V139="","",Dienstplan!V139)</f>
        <v/>
      </c>
      <c r="W6" s="17">
        <f>IF(Dienstplan!W139="","",Dienstplan!W139)</f>
        <v/>
      </c>
      <c r="X6" s="18">
        <f>IF(Dienstplan!X139="","",Dienstplan!X139)</f>
        <v/>
      </c>
      <c r="Y6" s="18">
        <f>IF(Dienstplan!Y139="","",Dienstplan!Y139)</f>
        <v/>
      </c>
      <c r="Z6" s="18">
        <f>IF(Dienstplan!Z139="","",Dienstplan!Z139)</f>
        <v/>
      </c>
      <c r="AA6" s="18">
        <f>IF(Dienstplan!AA139="","",Dienstplan!AA139)</f>
        <v/>
      </c>
      <c r="AB6" s="18">
        <f>IF(Dienstplan!AB139="","",Dienstplan!AB139)</f>
        <v/>
      </c>
      <c r="AC6" s="17">
        <f>IF(Dienstplan!AC139="","",Dienstplan!AC139)</f>
        <v/>
      </c>
      <c r="AD6" s="17">
        <f>IF(Dienstplan!AD139="","",Dienstplan!AD139)</f>
        <v/>
      </c>
      <c r="AE6" s="18">
        <f>IF(Dienstplan!AE139="","",Dienstplan!AE139)</f>
        <v/>
      </c>
      <c r="AF6" s="29">
        <f>IF(Dienstplan!AF139="","",Dienstplan!AF139)</f>
        <v/>
      </c>
    </row>
    <row r="7" ht="16" customHeight="1">
      <c r="A7" s="43" t="inlineStr">
        <is>
          <t>Siebert</t>
        </is>
      </c>
      <c r="B7" s="17">
        <f>IF(Dienstplan!B140="","",Dienstplan!B140)</f>
        <v/>
      </c>
      <c r="C7" s="20">
        <f>IF(Dienstplan!C140="","",Dienstplan!C140)</f>
        <v/>
      </c>
      <c r="D7" s="20">
        <f>IF(Dienstplan!D140="","",Dienstplan!D140)</f>
        <v/>
      </c>
      <c r="E7" s="20">
        <f>IF(Dienstplan!E140="","",Dienstplan!E140)</f>
        <v/>
      </c>
      <c r="F7" s="20">
        <f>IF(Dienstplan!F140="","",Dienstplan!F140)</f>
        <v/>
      </c>
      <c r="G7" s="20">
        <f>IF(Dienstplan!G140="","",Dienstplan!G140)</f>
        <v/>
      </c>
      <c r="H7" s="17">
        <f>IF(Dienstplan!H140="","",Dienstplan!H140)</f>
        <v/>
      </c>
      <c r="I7" s="17">
        <f>IF(Dienstplan!I140="","",Dienstplan!I140)</f>
        <v/>
      </c>
      <c r="J7" s="20">
        <f>IF(Dienstplan!J140="","",Dienstplan!J140)</f>
        <v/>
      </c>
      <c r="K7" s="20">
        <f>IF(Dienstplan!K140="","",Dienstplan!K140)</f>
        <v/>
      </c>
      <c r="L7" s="20">
        <f>IF(Dienstplan!L140="","",Dienstplan!L140)</f>
        <v/>
      </c>
      <c r="M7" s="20">
        <f>IF(Dienstplan!M140="","",Dienstplan!M140)</f>
        <v/>
      </c>
      <c r="N7" s="20">
        <f>IF(Dienstplan!N140="","",Dienstplan!N140)</f>
        <v/>
      </c>
      <c r="O7" s="17">
        <f>IF(Dienstplan!O140="","",Dienstplan!O140)</f>
        <v/>
      </c>
      <c r="P7" s="17">
        <f>IF(Dienstplan!P140="","",Dienstplan!P140)</f>
        <v/>
      </c>
      <c r="Q7" s="20">
        <f>IF(Dienstplan!Q140="","",Dienstplan!Q140)</f>
        <v/>
      </c>
      <c r="R7" s="20">
        <f>IF(Dienstplan!R140="","",Dienstplan!R140)</f>
        <v/>
      </c>
      <c r="S7" s="20">
        <f>IF(Dienstplan!S140="","",Dienstplan!S140)</f>
        <v/>
      </c>
      <c r="T7" s="20">
        <f>IF(Dienstplan!T140="","",Dienstplan!T140)</f>
        <v/>
      </c>
      <c r="U7" s="20">
        <f>IF(Dienstplan!U140="","",Dienstplan!U140)</f>
        <v/>
      </c>
      <c r="V7" s="17">
        <f>IF(Dienstplan!V140="","",Dienstplan!V140)</f>
        <v/>
      </c>
      <c r="W7" s="17">
        <f>IF(Dienstplan!W140="","",Dienstplan!W140)</f>
        <v/>
      </c>
      <c r="X7" s="20">
        <f>IF(Dienstplan!X140="","",Dienstplan!X140)</f>
        <v/>
      </c>
      <c r="Y7" s="20">
        <f>IF(Dienstplan!Y140="","",Dienstplan!Y140)</f>
        <v/>
      </c>
      <c r="Z7" s="20">
        <f>IF(Dienstplan!Z140="","",Dienstplan!Z140)</f>
        <v/>
      </c>
      <c r="AA7" s="20">
        <f>IF(Dienstplan!AA140="","",Dienstplan!AA140)</f>
        <v/>
      </c>
      <c r="AB7" s="20">
        <f>IF(Dienstplan!AB140="","",Dienstplan!AB140)</f>
        <v/>
      </c>
      <c r="AC7" s="17">
        <f>IF(Dienstplan!AC140="","",Dienstplan!AC140)</f>
        <v/>
      </c>
      <c r="AD7" s="17">
        <f>IF(Dienstplan!AD140="","",Dienstplan!AD140)</f>
        <v/>
      </c>
      <c r="AE7" s="20">
        <f>IF(Dienstplan!AE140="","",Dienstplan!AE140)</f>
        <v/>
      </c>
      <c r="AF7" s="30">
        <f>IF(Dienstplan!AF140="","",Dienstplan!AF140)</f>
        <v/>
      </c>
    </row>
    <row r="8" ht="16" customHeight="1">
      <c r="A8" s="43" t="inlineStr">
        <is>
          <t>Jochim</t>
        </is>
      </c>
      <c r="B8" s="17">
        <f>IF(Dienstplan!B141="","",Dienstplan!B141)</f>
        <v/>
      </c>
      <c r="C8" s="18">
        <f>IF(Dienstplan!C141="","",Dienstplan!C141)</f>
        <v/>
      </c>
      <c r="D8" s="18">
        <f>IF(Dienstplan!D141="","",Dienstplan!D141)</f>
        <v/>
      </c>
      <c r="E8" s="18">
        <f>IF(Dienstplan!E141="","",Dienstplan!E141)</f>
        <v/>
      </c>
      <c r="F8" s="18">
        <f>IF(Dienstplan!F141="","",Dienstplan!F141)</f>
        <v/>
      </c>
      <c r="G8" s="18">
        <f>IF(Dienstplan!G141="","",Dienstplan!G141)</f>
        <v/>
      </c>
      <c r="H8" s="17">
        <f>IF(Dienstplan!H141="","",Dienstplan!H141)</f>
        <v/>
      </c>
      <c r="I8" s="17">
        <f>IF(Dienstplan!I141="","",Dienstplan!I141)</f>
        <v/>
      </c>
      <c r="J8" s="18">
        <f>IF(Dienstplan!J141="","",Dienstplan!J141)</f>
        <v/>
      </c>
      <c r="K8" s="18">
        <f>IF(Dienstplan!K141="","",Dienstplan!K141)</f>
        <v/>
      </c>
      <c r="L8" s="18">
        <f>IF(Dienstplan!L141="","",Dienstplan!L141)</f>
        <v/>
      </c>
      <c r="M8" s="18">
        <f>IF(Dienstplan!M141="","",Dienstplan!M141)</f>
        <v/>
      </c>
      <c r="N8" s="18">
        <f>IF(Dienstplan!N141="","",Dienstplan!N141)</f>
        <v/>
      </c>
      <c r="O8" s="17">
        <f>IF(Dienstplan!O141="","",Dienstplan!O141)</f>
        <v/>
      </c>
      <c r="P8" s="17">
        <f>IF(Dienstplan!P141="","",Dienstplan!P141)</f>
        <v/>
      </c>
      <c r="Q8" s="18">
        <f>IF(Dienstplan!Q141="","",Dienstplan!Q141)</f>
        <v/>
      </c>
      <c r="R8" s="18">
        <f>IF(Dienstplan!R141="","",Dienstplan!R141)</f>
        <v/>
      </c>
      <c r="S8" s="18">
        <f>IF(Dienstplan!S141="","",Dienstplan!S141)</f>
        <v/>
      </c>
      <c r="T8" s="18">
        <f>IF(Dienstplan!T141="","",Dienstplan!T141)</f>
        <v/>
      </c>
      <c r="U8" s="18">
        <f>IF(Dienstplan!U141="","",Dienstplan!U141)</f>
        <v/>
      </c>
      <c r="V8" s="17">
        <f>IF(Dienstplan!V141="","",Dienstplan!V141)</f>
        <v/>
      </c>
      <c r="W8" s="17">
        <f>IF(Dienstplan!W141="","",Dienstplan!W141)</f>
        <v/>
      </c>
      <c r="X8" s="18">
        <f>IF(Dienstplan!X141="","",Dienstplan!X141)</f>
        <v/>
      </c>
      <c r="Y8" s="18">
        <f>IF(Dienstplan!Y141="","",Dienstplan!Y141)</f>
        <v/>
      </c>
      <c r="Z8" s="18">
        <f>IF(Dienstplan!Z141="","",Dienstplan!Z141)</f>
        <v/>
      </c>
      <c r="AA8" s="18">
        <f>IF(Dienstplan!AA141="","",Dienstplan!AA141)</f>
        <v/>
      </c>
      <c r="AB8" s="18">
        <f>IF(Dienstplan!AB141="","",Dienstplan!AB141)</f>
        <v/>
      </c>
      <c r="AC8" s="17">
        <f>IF(Dienstplan!AC141="","",Dienstplan!AC141)</f>
        <v/>
      </c>
      <c r="AD8" s="17">
        <f>IF(Dienstplan!AD141="","",Dienstplan!AD141)</f>
        <v/>
      </c>
      <c r="AE8" s="18">
        <f>IF(Dienstplan!AE141="","",Dienstplan!AE141)</f>
        <v/>
      </c>
      <c r="AF8" s="29">
        <f>IF(Dienstplan!AF141="","",Dienstplan!AF141)</f>
        <v/>
      </c>
    </row>
    <row r="9" ht="16" customHeight="1">
      <c r="A9" s="43" t="inlineStr">
        <is>
          <t>Wunsch</t>
        </is>
      </c>
      <c r="B9" s="17">
        <f>IF(Dienstplan!B142="","",Dienstplan!B142)</f>
        <v/>
      </c>
      <c r="C9" s="20">
        <f>IF(Dienstplan!C142="","",Dienstplan!C142)</f>
        <v/>
      </c>
      <c r="D9" s="20">
        <f>IF(Dienstplan!D142="","",Dienstplan!D142)</f>
        <v/>
      </c>
      <c r="E9" s="20">
        <f>IF(Dienstplan!E142="","",Dienstplan!E142)</f>
        <v/>
      </c>
      <c r="F9" s="20">
        <f>IF(Dienstplan!F142="","",Dienstplan!F142)</f>
        <v/>
      </c>
      <c r="G9" s="20">
        <f>IF(Dienstplan!G142="","",Dienstplan!G142)</f>
        <v/>
      </c>
      <c r="H9" s="17">
        <f>IF(Dienstplan!H142="","",Dienstplan!H142)</f>
        <v/>
      </c>
      <c r="I9" s="17">
        <f>IF(Dienstplan!I142="","",Dienstplan!I142)</f>
        <v/>
      </c>
      <c r="J9" s="20">
        <f>IF(Dienstplan!J142="","",Dienstplan!J142)</f>
        <v/>
      </c>
      <c r="K9" s="20">
        <f>IF(Dienstplan!K142="","",Dienstplan!K142)</f>
        <v/>
      </c>
      <c r="L9" s="20">
        <f>IF(Dienstplan!L142="","",Dienstplan!L142)</f>
        <v/>
      </c>
      <c r="M9" s="20">
        <f>IF(Dienstplan!M142="","",Dienstplan!M142)</f>
        <v/>
      </c>
      <c r="N9" s="20">
        <f>IF(Dienstplan!N142="","",Dienstplan!N142)</f>
        <v/>
      </c>
      <c r="O9" s="17">
        <f>IF(Dienstplan!O142="","",Dienstplan!O142)</f>
        <v/>
      </c>
      <c r="P9" s="17">
        <f>IF(Dienstplan!P142="","",Dienstplan!P142)</f>
        <v/>
      </c>
      <c r="Q9" s="20">
        <f>IF(Dienstplan!Q142="","",Dienstplan!Q142)</f>
        <v/>
      </c>
      <c r="R9" s="20">
        <f>IF(Dienstplan!R142="","",Dienstplan!R142)</f>
        <v/>
      </c>
      <c r="S9" s="20">
        <f>IF(Dienstplan!S142="","",Dienstplan!S142)</f>
        <v/>
      </c>
      <c r="T9" s="20">
        <f>IF(Dienstplan!T142="","",Dienstplan!T142)</f>
        <v/>
      </c>
      <c r="U9" s="20">
        <f>IF(Dienstplan!U142="","",Dienstplan!U142)</f>
        <v/>
      </c>
      <c r="V9" s="17">
        <f>IF(Dienstplan!V142="","",Dienstplan!V142)</f>
        <v/>
      </c>
      <c r="W9" s="17">
        <f>IF(Dienstplan!W142="","",Dienstplan!W142)</f>
        <v/>
      </c>
      <c r="X9" s="20">
        <f>IF(Dienstplan!X142="","",Dienstplan!X142)</f>
        <v/>
      </c>
      <c r="Y9" s="20">
        <f>IF(Dienstplan!Y142="","",Dienstplan!Y142)</f>
        <v/>
      </c>
      <c r="Z9" s="20">
        <f>IF(Dienstplan!Z142="","",Dienstplan!Z142)</f>
        <v/>
      </c>
      <c r="AA9" s="20">
        <f>IF(Dienstplan!AA142="","",Dienstplan!AA142)</f>
        <v/>
      </c>
      <c r="AB9" s="20">
        <f>IF(Dienstplan!AB142="","",Dienstplan!AB142)</f>
        <v/>
      </c>
      <c r="AC9" s="17">
        <f>IF(Dienstplan!AC142="","",Dienstplan!AC142)</f>
        <v/>
      </c>
      <c r="AD9" s="17">
        <f>IF(Dienstplan!AD142="","",Dienstplan!AD142)</f>
        <v/>
      </c>
      <c r="AE9" s="20">
        <f>IF(Dienstplan!AE142="","",Dienstplan!AE142)</f>
        <v/>
      </c>
      <c r="AF9" s="30">
        <f>IF(Dienstplan!AF142="","",Dienstplan!AF142)</f>
        <v/>
      </c>
    </row>
    <row r="10" ht="16" customHeight="1">
      <c r="A10" s="43" t="inlineStr">
        <is>
          <t>Göpfrich</t>
        </is>
      </c>
      <c r="B10" s="17">
        <f>IF(Dienstplan!B143="","",Dienstplan!B143)</f>
        <v/>
      </c>
      <c r="C10" s="18">
        <f>IF(Dienstplan!C143="","",Dienstplan!C143)</f>
        <v/>
      </c>
      <c r="D10" s="18">
        <f>IF(Dienstplan!D143="","",Dienstplan!D143)</f>
        <v/>
      </c>
      <c r="E10" s="18">
        <f>IF(Dienstplan!E143="","",Dienstplan!E143)</f>
        <v/>
      </c>
      <c r="F10" s="18">
        <f>IF(Dienstplan!F143="","",Dienstplan!F143)</f>
        <v/>
      </c>
      <c r="G10" s="18">
        <f>IF(Dienstplan!G143="","",Dienstplan!G143)</f>
        <v/>
      </c>
      <c r="H10" s="17">
        <f>IF(Dienstplan!H143="","",Dienstplan!H143)</f>
        <v/>
      </c>
      <c r="I10" s="17">
        <f>IF(Dienstplan!I143="","",Dienstplan!I143)</f>
        <v/>
      </c>
      <c r="J10" s="18">
        <f>IF(Dienstplan!J143="","",Dienstplan!J143)</f>
        <v/>
      </c>
      <c r="K10" s="18">
        <f>IF(Dienstplan!K143="","",Dienstplan!K143)</f>
        <v/>
      </c>
      <c r="L10" s="18">
        <f>IF(Dienstplan!L143="","",Dienstplan!L143)</f>
        <v/>
      </c>
      <c r="M10" s="18">
        <f>IF(Dienstplan!M143="","",Dienstplan!M143)</f>
        <v/>
      </c>
      <c r="N10" s="18">
        <f>IF(Dienstplan!N143="","",Dienstplan!N143)</f>
        <v/>
      </c>
      <c r="O10" s="17">
        <f>IF(Dienstplan!O143="","",Dienstplan!O143)</f>
        <v/>
      </c>
      <c r="P10" s="17">
        <f>IF(Dienstplan!P143="","",Dienstplan!P143)</f>
        <v/>
      </c>
      <c r="Q10" s="18">
        <f>IF(Dienstplan!Q143="","",Dienstplan!Q143)</f>
        <v/>
      </c>
      <c r="R10" s="18">
        <f>IF(Dienstplan!R143="","",Dienstplan!R143)</f>
        <v/>
      </c>
      <c r="S10" s="18">
        <f>IF(Dienstplan!S143="","",Dienstplan!S143)</f>
        <v/>
      </c>
      <c r="T10" s="18">
        <f>IF(Dienstplan!T143="","",Dienstplan!T143)</f>
        <v/>
      </c>
      <c r="U10" s="18">
        <f>IF(Dienstplan!U143="","",Dienstplan!U143)</f>
        <v/>
      </c>
      <c r="V10" s="17">
        <f>IF(Dienstplan!V143="","",Dienstplan!V143)</f>
        <v/>
      </c>
      <c r="W10" s="17">
        <f>IF(Dienstplan!W143="","",Dienstplan!W143)</f>
        <v/>
      </c>
      <c r="X10" s="18">
        <f>IF(Dienstplan!X143="","",Dienstplan!X143)</f>
        <v/>
      </c>
      <c r="Y10" s="18">
        <f>IF(Dienstplan!Y143="","",Dienstplan!Y143)</f>
        <v/>
      </c>
      <c r="Z10" s="18">
        <f>IF(Dienstplan!Z143="","",Dienstplan!Z143)</f>
        <v/>
      </c>
      <c r="AA10" s="18">
        <f>IF(Dienstplan!AA143="","",Dienstplan!AA143)</f>
        <v/>
      </c>
      <c r="AB10" s="18">
        <f>IF(Dienstplan!AB143="","",Dienstplan!AB143)</f>
        <v/>
      </c>
      <c r="AC10" s="17">
        <f>IF(Dienstplan!AC143="","",Dienstplan!AC143)</f>
        <v/>
      </c>
      <c r="AD10" s="17">
        <f>IF(Dienstplan!AD143="","",Dienstplan!AD143)</f>
        <v/>
      </c>
      <c r="AE10" s="18">
        <f>IF(Dienstplan!AE143="","",Dienstplan!AE143)</f>
        <v/>
      </c>
      <c r="AF10" s="29">
        <f>IF(Dienstplan!AF143="","",Dienstplan!AF143)</f>
        <v/>
      </c>
    </row>
    <row r="11" ht="16" customHeight="1">
      <c r="A11" s="43" t="inlineStr">
        <is>
          <t>Zeller</t>
        </is>
      </c>
      <c r="B11" s="17">
        <f>IF(Dienstplan!B144="","",Dienstplan!B144)</f>
        <v/>
      </c>
      <c r="C11" s="20">
        <f>IF(Dienstplan!C144="","",Dienstplan!C144)</f>
        <v/>
      </c>
      <c r="D11" s="20">
        <f>IF(Dienstplan!D144="","",Dienstplan!D144)</f>
        <v/>
      </c>
      <c r="E11" s="20">
        <f>IF(Dienstplan!E144="","",Dienstplan!E144)</f>
        <v/>
      </c>
      <c r="F11" s="20">
        <f>IF(Dienstplan!F144="","",Dienstplan!F144)</f>
        <v/>
      </c>
      <c r="G11" s="20">
        <f>IF(Dienstplan!G144="","",Dienstplan!G144)</f>
        <v/>
      </c>
      <c r="H11" s="17">
        <f>IF(Dienstplan!H144="","",Dienstplan!H144)</f>
        <v/>
      </c>
      <c r="I11" s="17">
        <f>IF(Dienstplan!I144="","",Dienstplan!I144)</f>
        <v/>
      </c>
      <c r="J11" s="20">
        <f>IF(Dienstplan!J144="","",Dienstplan!J144)</f>
        <v/>
      </c>
      <c r="K11" s="20">
        <f>IF(Dienstplan!K144="","",Dienstplan!K144)</f>
        <v/>
      </c>
      <c r="L11" s="20">
        <f>IF(Dienstplan!L144="","",Dienstplan!L144)</f>
        <v/>
      </c>
      <c r="M11" s="20">
        <f>IF(Dienstplan!M144="","",Dienstplan!M144)</f>
        <v/>
      </c>
      <c r="N11" s="20">
        <f>IF(Dienstplan!N144="","",Dienstplan!N144)</f>
        <v/>
      </c>
      <c r="O11" s="17">
        <f>IF(Dienstplan!O144="","",Dienstplan!O144)</f>
        <v/>
      </c>
      <c r="P11" s="17">
        <f>IF(Dienstplan!P144="","",Dienstplan!P144)</f>
        <v/>
      </c>
      <c r="Q11" s="20">
        <f>IF(Dienstplan!Q144="","",Dienstplan!Q144)</f>
        <v/>
      </c>
      <c r="R11" s="20">
        <f>IF(Dienstplan!R144="","",Dienstplan!R144)</f>
        <v/>
      </c>
      <c r="S11" s="20">
        <f>IF(Dienstplan!S144="","",Dienstplan!S144)</f>
        <v/>
      </c>
      <c r="T11" s="20">
        <f>IF(Dienstplan!T144="","",Dienstplan!T144)</f>
        <v/>
      </c>
      <c r="U11" s="20">
        <f>IF(Dienstplan!U144="","",Dienstplan!U144)</f>
        <v/>
      </c>
      <c r="V11" s="17">
        <f>IF(Dienstplan!V144="","",Dienstplan!V144)</f>
        <v/>
      </c>
      <c r="W11" s="17">
        <f>IF(Dienstplan!W144="","",Dienstplan!W144)</f>
        <v/>
      </c>
      <c r="X11" s="20">
        <f>IF(Dienstplan!X144="","",Dienstplan!X144)</f>
        <v/>
      </c>
      <c r="Y11" s="20">
        <f>IF(Dienstplan!Y144="","",Dienstplan!Y144)</f>
        <v/>
      </c>
      <c r="Z11" s="20">
        <f>IF(Dienstplan!Z144="","",Dienstplan!Z144)</f>
        <v/>
      </c>
      <c r="AA11" s="20">
        <f>IF(Dienstplan!AA144="","",Dienstplan!AA144)</f>
        <v/>
      </c>
      <c r="AB11" s="20">
        <f>IF(Dienstplan!AB144="","",Dienstplan!AB144)</f>
        <v/>
      </c>
      <c r="AC11" s="17">
        <f>IF(Dienstplan!AC144="","",Dienstplan!AC144)</f>
        <v/>
      </c>
      <c r="AD11" s="17">
        <f>IF(Dienstplan!AD144="","",Dienstplan!AD144)</f>
        <v/>
      </c>
      <c r="AE11" s="20">
        <f>IF(Dienstplan!AE144="","",Dienstplan!AE144)</f>
        <v/>
      </c>
      <c r="AF11" s="30">
        <f>IF(Dienstplan!AF144="","",Dienstplan!AF144)</f>
        <v/>
      </c>
    </row>
    <row r="12" ht="16" customHeight="1">
      <c r="A12" s="43" t="inlineStr">
        <is>
          <t>Behrendt</t>
        </is>
      </c>
      <c r="B12" s="17">
        <f>IF(Dienstplan!B145="","",Dienstplan!B145)</f>
        <v/>
      </c>
      <c r="C12" s="18">
        <f>IF(Dienstplan!C145="","",Dienstplan!C145)</f>
        <v/>
      </c>
      <c r="D12" s="18">
        <f>IF(Dienstplan!D145="","",Dienstplan!D145)</f>
        <v/>
      </c>
      <c r="E12" s="18">
        <f>IF(Dienstplan!E145="","",Dienstplan!E145)</f>
        <v/>
      </c>
      <c r="F12" s="18">
        <f>IF(Dienstplan!F145="","",Dienstplan!F145)</f>
        <v/>
      </c>
      <c r="G12" s="18">
        <f>IF(Dienstplan!G145="","",Dienstplan!G145)</f>
        <v/>
      </c>
      <c r="H12" s="17">
        <f>IF(Dienstplan!H145="","",Dienstplan!H145)</f>
        <v/>
      </c>
      <c r="I12" s="17">
        <f>IF(Dienstplan!I145="","",Dienstplan!I145)</f>
        <v/>
      </c>
      <c r="J12" s="18">
        <f>IF(Dienstplan!J145="","",Dienstplan!J145)</f>
        <v/>
      </c>
      <c r="K12" s="18">
        <f>IF(Dienstplan!K145="","",Dienstplan!K145)</f>
        <v/>
      </c>
      <c r="L12" s="18">
        <f>IF(Dienstplan!L145="","",Dienstplan!L145)</f>
        <v/>
      </c>
      <c r="M12" s="18">
        <f>IF(Dienstplan!M145="","",Dienstplan!M145)</f>
        <v/>
      </c>
      <c r="N12" s="18">
        <f>IF(Dienstplan!N145="","",Dienstplan!N145)</f>
        <v/>
      </c>
      <c r="O12" s="17">
        <f>IF(Dienstplan!O145="","",Dienstplan!O145)</f>
        <v/>
      </c>
      <c r="P12" s="17">
        <f>IF(Dienstplan!P145="","",Dienstplan!P145)</f>
        <v/>
      </c>
      <c r="Q12" s="18">
        <f>IF(Dienstplan!Q145="","",Dienstplan!Q145)</f>
        <v/>
      </c>
      <c r="R12" s="18">
        <f>IF(Dienstplan!R145="","",Dienstplan!R145)</f>
        <v/>
      </c>
      <c r="S12" s="18">
        <f>IF(Dienstplan!S145="","",Dienstplan!S145)</f>
        <v/>
      </c>
      <c r="T12" s="18">
        <f>IF(Dienstplan!T145="","",Dienstplan!T145)</f>
        <v/>
      </c>
      <c r="U12" s="18">
        <f>IF(Dienstplan!U145="","",Dienstplan!U145)</f>
        <v/>
      </c>
      <c r="V12" s="17">
        <f>IF(Dienstplan!V145="","",Dienstplan!V145)</f>
        <v/>
      </c>
      <c r="W12" s="17">
        <f>IF(Dienstplan!W145="","",Dienstplan!W145)</f>
        <v/>
      </c>
      <c r="X12" s="18">
        <f>IF(Dienstplan!X145="","",Dienstplan!X145)</f>
        <v/>
      </c>
      <c r="Y12" s="18">
        <f>IF(Dienstplan!Y145="","",Dienstplan!Y145)</f>
        <v/>
      </c>
      <c r="Z12" s="18">
        <f>IF(Dienstplan!Z145="","",Dienstplan!Z145)</f>
        <v/>
      </c>
      <c r="AA12" s="18">
        <f>IF(Dienstplan!AA145="","",Dienstplan!AA145)</f>
        <v/>
      </c>
      <c r="AB12" s="18">
        <f>IF(Dienstplan!AB145="","",Dienstplan!AB145)</f>
        <v/>
      </c>
      <c r="AC12" s="17">
        <f>IF(Dienstplan!AC145="","",Dienstplan!AC145)</f>
        <v/>
      </c>
      <c r="AD12" s="17">
        <f>IF(Dienstplan!AD145="","",Dienstplan!AD145)</f>
        <v/>
      </c>
      <c r="AE12" s="18">
        <f>IF(Dienstplan!AE145="","",Dienstplan!AE145)</f>
        <v/>
      </c>
      <c r="AF12" s="29">
        <f>IF(Dienstplan!AF145="","",Dienstplan!AF145)</f>
        <v/>
      </c>
    </row>
    <row r="13" ht="16" customHeight="1">
      <c r="A13" s="43" t="inlineStr">
        <is>
          <t>Krempl</t>
        </is>
      </c>
      <c r="B13" s="17">
        <f>IF(Dienstplan!B146="","",Dienstplan!B146)</f>
        <v/>
      </c>
      <c r="C13" s="20">
        <f>IF(Dienstplan!C146="","",Dienstplan!C146)</f>
        <v/>
      </c>
      <c r="D13" s="20">
        <f>IF(Dienstplan!D146="","",Dienstplan!D146)</f>
        <v/>
      </c>
      <c r="E13" s="20">
        <f>IF(Dienstplan!E146="","",Dienstplan!E146)</f>
        <v/>
      </c>
      <c r="F13" s="20">
        <f>IF(Dienstplan!F146="","",Dienstplan!F146)</f>
        <v/>
      </c>
      <c r="G13" s="20">
        <f>IF(Dienstplan!G146="","",Dienstplan!G146)</f>
        <v/>
      </c>
      <c r="H13" s="17">
        <f>IF(Dienstplan!H146="","",Dienstplan!H146)</f>
        <v/>
      </c>
      <c r="I13" s="17">
        <f>IF(Dienstplan!I146="","",Dienstplan!I146)</f>
        <v/>
      </c>
      <c r="J13" s="20">
        <f>IF(Dienstplan!J146="","",Dienstplan!J146)</f>
        <v/>
      </c>
      <c r="K13" s="20">
        <f>IF(Dienstplan!K146="","",Dienstplan!K146)</f>
        <v/>
      </c>
      <c r="L13" s="20">
        <f>IF(Dienstplan!L146="","",Dienstplan!L146)</f>
        <v/>
      </c>
      <c r="M13" s="20">
        <f>IF(Dienstplan!M146="","",Dienstplan!M146)</f>
        <v/>
      </c>
      <c r="N13" s="20">
        <f>IF(Dienstplan!N146="","",Dienstplan!N146)</f>
        <v/>
      </c>
      <c r="O13" s="17">
        <f>IF(Dienstplan!O146="","",Dienstplan!O146)</f>
        <v/>
      </c>
      <c r="P13" s="17">
        <f>IF(Dienstplan!P146="","",Dienstplan!P146)</f>
        <v/>
      </c>
      <c r="Q13" s="20">
        <f>IF(Dienstplan!Q146="","",Dienstplan!Q146)</f>
        <v/>
      </c>
      <c r="R13" s="20">
        <f>IF(Dienstplan!R146="","",Dienstplan!R146)</f>
        <v/>
      </c>
      <c r="S13" s="20">
        <f>IF(Dienstplan!S146="","",Dienstplan!S146)</f>
        <v/>
      </c>
      <c r="T13" s="20">
        <f>IF(Dienstplan!T146="","",Dienstplan!T146)</f>
        <v/>
      </c>
      <c r="U13" s="20">
        <f>IF(Dienstplan!U146="","",Dienstplan!U146)</f>
        <v/>
      </c>
      <c r="V13" s="17">
        <f>IF(Dienstplan!V146="","",Dienstplan!V146)</f>
        <v/>
      </c>
      <c r="W13" s="17">
        <f>IF(Dienstplan!W146="","",Dienstplan!W146)</f>
        <v/>
      </c>
      <c r="X13" s="20">
        <f>IF(Dienstplan!X146="","",Dienstplan!X146)</f>
        <v/>
      </c>
      <c r="Y13" s="20">
        <f>IF(Dienstplan!Y146="","",Dienstplan!Y146)</f>
        <v/>
      </c>
      <c r="Z13" s="20">
        <f>IF(Dienstplan!Z146="","",Dienstplan!Z146)</f>
        <v/>
      </c>
      <c r="AA13" s="20">
        <f>IF(Dienstplan!AA146="","",Dienstplan!AA146)</f>
        <v/>
      </c>
      <c r="AB13" s="20">
        <f>IF(Dienstplan!AB146="","",Dienstplan!AB146)</f>
        <v/>
      </c>
      <c r="AC13" s="17">
        <f>IF(Dienstplan!AC146="","",Dienstplan!AC146)</f>
        <v/>
      </c>
      <c r="AD13" s="17">
        <f>IF(Dienstplan!AD146="","",Dienstplan!AD146)</f>
        <v/>
      </c>
      <c r="AE13" s="20">
        <f>IF(Dienstplan!AE146="","",Dienstplan!AE146)</f>
        <v/>
      </c>
      <c r="AF13" s="30">
        <f>IF(Dienstplan!AF146="","",Dienstplan!AF146)</f>
        <v/>
      </c>
    </row>
    <row r="14" ht="16" customHeight="1">
      <c r="A14" s="43" t="inlineStr">
        <is>
          <t>Putschler</t>
        </is>
      </c>
      <c r="B14" s="17">
        <f>IF(Dienstplan!B147="","",Dienstplan!B147)</f>
        <v/>
      </c>
      <c r="C14" s="18">
        <f>IF(Dienstplan!C147="","",Dienstplan!C147)</f>
        <v/>
      </c>
      <c r="D14" s="18">
        <f>IF(Dienstplan!D147="","",Dienstplan!D147)</f>
        <v/>
      </c>
      <c r="E14" s="18">
        <f>IF(Dienstplan!E147="","",Dienstplan!E147)</f>
        <v/>
      </c>
      <c r="F14" s="18">
        <f>IF(Dienstplan!F147="","",Dienstplan!F147)</f>
        <v/>
      </c>
      <c r="G14" s="18">
        <f>IF(Dienstplan!G147="","",Dienstplan!G147)</f>
        <v/>
      </c>
      <c r="H14" s="17">
        <f>IF(Dienstplan!H147="","",Dienstplan!H147)</f>
        <v/>
      </c>
      <c r="I14" s="17">
        <f>IF(Dienstplan!I147="","",Dienstplan!I147)</f>
        <v/>
      </c>
      <c r="J14" s="18">
        <f>IF(Dienstplan!J147="","",Dienstplan!J147)</f>
        <v/>
      </c>
      <c r="K14" s="18">
        <f>IF(Dienstplan!K147="","",Dienstplan!K147)</f>
        <v/>
      </c>
      <c r="L14" s="18">
        <f>IF(Dienstplan!L147="","",Dienstplan!L147)</f>
        <v/>
      </c>
      <c r="M14" s="18">
        <f>IF(Dienstplan!M147="","",Dienstplan!M147)</f>
        <v/>
      </c>
      <c r="N14" s="18">
        <f>IF(Dienstplan!N147="","",Dienstplan!N147)</f>
        <v/>
      </c>
      <c r="O14" s="17">
        <f>IF(Dienstplan!O147="","",Dienstplan!O147)</f>
        <v/>
      </c>
      <c r="P14" s="17">
        <f>IF(Dienstplan!P147="","",Dienstplan!P147)</f>
        <v/>
      </c>
      <c r="Q14" s="18">
        <f>IF(Dienstplan!Q147="","",Dienstplan!Q147)</f>
        <v/>
      </c>
      <c r="R14" s="18">
        <f>IF(Dienstplan!R147="","",Dienstplan!R147)</f>
        <v/>
      </c>
      <c r="S14" s="18">
        <f>IF(Dienstplan!S147="","",Dienstplan!S147)</f>
        <v/>
      </c>
      <c r="T14" s="18">
        <f>IF(Dienstplan!T147="","",Dienstplan!T147)</f>
        <v/>
      </c>
      <c r="U14" s="18">
        <f>IF(Dienstplan!U147="","",Dienstplan!U147)</f>
        <v/>
      </c>
      <c r="V14" s="17">
        <f>IF(Dienstplan!V147="","",Dienstplan!V147)</f>
        <v/>
      </c>
      <c r="W14" s="17">
        <f>IF(Dienstplan!W147="","",Dienstplan!W147)</f>
        <v/>
      </c>
      <c r="X14" s="18">
        <f>IF(Dienstplan!X147="","",Dienstplan!X147)</f>
        <v/>
      </c>
      <c r="Y14" s="18">
        <f>IF(Dienstplan!Y147="","",Dienstplan!Y147)</f>
        <v/>
      </c>
      <c r="Z14" s="18">
        <f>IF(Dienstplan!Z147="","",Dienstplan!Z147)</f>
        <v/>
      </c>
      <c r="AA14" s="18">
        <f>IF(Dienstplan!AA147="","",Dienstplan!AA147)</f>
        <v/>
      </c>
      <c r="AB14" s="18">
        <f>IF(Dienstplan!AB147="","",Dienstplan!AB147)</f>
        <v/>
      </c>
      <c r="AC14" s="17">
        <f>IF(Dienstplan!AC147="","",Dienstplan!AC147)</f>
        <v/>
      </c>
      <c r="AD14" s="17">
        <f>IF(Dienstplan!AD147="","",Dienstplan!AD147)</f>
        <v/>
      </c>
      <c r="AE14" s="18">
        <f>IF(Dienstplan!AE147="","",Dienstplan!AE147)</f>
        <v/>
      </c>
      <c r="AF14" s="29">
        <f>IF(Dienstplan!AF147="","",Dienstplan!AF147)</f>
        <v/>
      </c>
    </row>
    <row r="15" ht="16" customHeight="1">
      <c r="A15" s="43" t="inlineStr">
        <is>
          <t>Kunz</t>
        </is>
      </c>
      <c r="B15" s="17">
        <f>IF(Dienstplan!B148="","",Dienstplan!B148)</f>
        <v/>
      </c>
      <c r="C15" s="20">
        <f>IF(Dienstplan!C148="","",Dienstplan!C148)</f>
        <v/>
      </c>
      <c r="D15" s="20">
        <f>IF(Dienstplan!D148="","",Dienstplan!D148)</f>
        <v/>
      </c>
      <c r="E15" s="20">
        <f>IF(Dienstplan!E148="","",Dienstplan!E148)</f>
        <v/>
      </c>
      <c r="F15" s="20">
        <f>IF(Dienstplan!F148="","",Dienstplan!F148)</f>
        <v/>
      </c>
      <c r="G15" s="20">
        <f>IF(Dienstplan!G148="","",Dienstplan!G148)</f>
        <v/>
      </c>
      <c r="H15" s="17">
        <f>IF(Dienstplan!H148="","",Dienstplan!H148)</f>
        <v/>
      </c>
      <c r="I15" s="17">
        <f>IF(Dienstplan!I148="","",Dienstplan!I148)</f>
        <v/>
      </c>
      <c r="J15" s="20">
        <f>IF(Dienstplan!J148="","",Dienstplan!J148)</f>
        <v/>
      </c>
      <c r="K15" s="20">
        <f>IF(Dienstplan!K148="","",Dienstplan!K148)</f>
        <v/>
      </c>
      <c r="L15" s="20">
        <f>IF(Dienstplan!L148="","",Dienstplan!L148)</f>
        <v/>
      </c>
      <c r="M15" s="20">
        <f>IF(Dienstplan!M148="","",Dienstplan!M148)</f>
        <v/>
      </c>
      <c r="N15" s="20">
        <f>IF(Dienstplan!N148="","",Dienstplan!N148)</f>
        <v/>
      </c>
      <c r="O15" s="17">
        <f>IF(Dienstplan!O148="","",Dienstplan!O148)</f>
        <v/>
      </c>
      <c r="P15" s="17">
        <f>IF(Dienstplan!P148="","",Dienstplan!P148)</f>
        <v/>
      </c>
      <c r="Q15" s="20">
        <f>IF(Dienstplan!Q148="","",Dienstplan!Q148)</f>
        <v/>
      </c>
      <c r="R15" s="20">
        <f>IF(Dienstplan!R148="","",Dienstplan!R148)</f>
        <v/>
      </c>
      <c r="S15" s="20">
        <f>IF(Dienstplan!S148="","",Dienstplan!S148)</f>
        <v/>
      </c>
      <c r="T15" s="20">
        <f>IF(Dienstplan!T148="","",Dienstplan!T148)</f>
        <v/>
      </c>
      <c r="U15" s="20">
        <f>IF(Dienstplan!U148="","",Dienstplan!U148)</f>
        <v/>
      </c>
      <c r="V15" s="17">
        <f>IF(Dienstplan!V148="","",Dienstplan!V148)</f>
        <v/>
      </c>
      <c r="W15" s="17">
        <f>IF(Dienstplan!W148="","",Dienstplan!W148)</f>
        <v/>
      </c>
      <c r="X15" s="20">
        <f>IF(Dienstplan!X148="","",Dienstplan!X148)</f>
        <v/>
      </c>
      <c r="Y15" s="20">
        <f>IF(Dienstplan!Y148="","",Dienstplan!Y148)</f>
        <v/>
      </c>
      <c r="Z15" s="20">
        <f>IF(Dienstplan!Z148="","",Dienstplan!Z148)</f>
        <v/>
      </c>
      <c r="AA15" s="20">
        <f>IF(Dienstplan!AA148="","",Dienstplan!AA148)</f>
        <v/>
      </c>
      <c r="AB15" s="20">
        <f>IF(Dienstplan!AB148="","",Dienstplan!AB148)</f>
        <v/>
      </c>
      <c r="AC15" s="17">
        <f>IF(Dienstplan!AC148="","",Dienstplan!AC148)</f>
        <v/>
      </c>
      <c r="AD15" s="17">
        <f>IF(Dienstplan!AD148="","",Dienstplan!AD148)</f>
        <v/>
      </c>
      <c r="AE15" s="20">
        <f>IF(Dienstplan!AE148="","",Dienstplan!AE148)</f>
        <v/>
      </c>
      <c r="AF15" s="30">
        <f>IF(Dienstplan!AF148="","",Dienstplan!AF148)</f>
        <v/>
      </c>
    </row>
    <row r="16" hidden="1" ht="16" customHeight="1">
      <c r="A16" s="44" t="inlineStr">
        <is>
          <t>Schmidt</t>
        </is>
      </c>
      <c r="B16" s="17">
        <f>IF(Dienstplan!B149="","",Dienstplan!B149)</f>
        <v/>
      </c>
      <c r="C16" s="18">
        <f>IF(Dienstplan!C149="","",Dienstplan!C149)</f>
        <v/>
      </c>
      <c r="D16" s="18">
        <f>IF(Dienstplan!D149="","",Dienstplan!D149)</f>
        <v/>
      </c>
      <c r="E16" s="18">
        <f>IF(Dienstplan!E149="","",Dienstplan!E149)</f>
        <v/>
      </c>
      <c r="F16" s="18">
        <f>IF(Dienstplan!F149="","",Dienstplan!F149)</f>
        <v/>
      </c>
      <c r="G16" s="18">
        <f>IF(Dienstplan!G149="","",Dienstplan!G149)</f>
        <v/>
      </c>
      <c r="H16" s="17">
        <f>IF(Dienstplan!H149="","",Dienstplan!H149)</f>
        <v/>
      </c>
      <c r="I16" s="17">
        <f>IF(Dienstplan!I149="","",Dienstplan!I149)</f>
        <v/>
      </c>
      <c r="J16" s="18">
        <f>IF(Dienstplan!J149="","",Dienstplan!J149)</f>
        <v/>
      </c>
      <c r="K16" s="18">
        <f>IF(Dienstplan!K149="","",Dienstplan!K149)</f>
        <v/>
      </c>
      <c r="L16" s="18">
        <f>IF(Dienstplan!L149="","",Dienstplan!L149)</f>
        <v/>
      </c>
      <c r="M16" s="18">
        <f>IF(Dienstplan!M149="","",Dienstplan!M149)</f>
        <v/>
      </c>
      <c r="N16" s="18">
        <f>IF(Dienstplan!N149="","",Dienstplan!N149)</f>
        <v/>
      </c>
      <c r="O16" s="17">
        <f>IF(Dienstplan!O149="","",Dienstplan!O149)</f>
        <v/>
      </c>
      <c r="P16" s="17">
        <f>IF(Dienstplan!P149="","",Dienstplan!P149)</f>
        <v/>
      </c>
      <c r="Q16" s="18">
        <f>IF(Dienstplan!Q149="","",Dienstplan!Q149)</f>
        <v/>
      </c>
      <c r="R16" s="18">
        <f>IF(Dienstplan!R149="","",Dienstplan!R149)</f>
        <v/>
      </c>
      <c r="S16" s="18">
        <f>IF(Dienstplan!S149="","",Dienstplan!S149)</f>
        <v/>
      </c>
      <c r="T16" s="18">
        <f>IF(Dienstplan!T149="","",Dienstplan!T149)</f>
        <v/>
      </c>
      <c r="U16" s="18">
        <f>IF(Dienstplan!U149="","",Dienstplan!U149)</f>
        <v/>
      </c>
      <c r="V16" s="17">
        <f>IF(Dienstplan!V149="","",Dienstplan!V149)</f>
        <v/>
      </c>
      <c r="W16" s="17">
        <f>IF(Dienstplan!W149="","",Dienstplan!W149)</f>
        <v/>
      </c>
      <c r="X16" s="18">
        <f>IF(Dienstplan!X149="","",Dienstplan!X149)</f>
        <v/>
      </c>
      <c r="Y16" s="18">
        <f>IF(Dienstplan!Y149="","",Dienstplan!Y149)</f>
        <v/>
      </c>
      <c r="Z16" s="18">
        <f>IF(Dienstplan!Z149="","",Dienstplan!Z149)</f>
        <v/>
      </c>
      <c r="AA16" s="18">
        <f>IF(Dienstplan!AA149="","",Dienstplan!AA149)</f>
        <v/>
      </c>
      <c r="AB16" s="18">
        <f>IF(Dienstplan!AB149="","",Dienstplan!AB149)</f>
        <v/>
      </c>
      <c r="AC16" s="17">
        <f>IF(Dienstplan!AC149="","",Dienstplan!AC149)</f>
        <v/>
      </c>
      <c r="AD16" s="17">
        <f>IF(Dienstplan!AD149="","",Dienstplan!AD149)</f>
        <v/>
      </c>
      <c r="AE16" s="18">
        <f>IF(Dienstplan!AE149="","",Dienstplan!AE149)</f>
        <v/>
      </c>
      <c r="AF16" s="29">
        <f>IF(Dienstplan!AF149="","",Dienstplan!AF149)</f>
        <v/>
      </c>
    </row>
    <row r="17" hidden="1" ht="16" customHeight="1">
      <c r="A17" s="44" t="inlineStr">
        <is>
          <t>Radimersky</t>
        </is>
      </c>
      <c r="B17" s="17">
        <f>IF(Dienstplan!B150="","",Dienstplan!B150)</f>
        <v/>
      </c>
      <c r="C17" s="20">
        <f>IF(Dienstplan!C150="","",Dienstplan!C150)</f>
        <v/>
      </c>
      <c r="D17" s="20">
        <f>IF(Dienstplan!D150="","",Dienstplan!D150)</f>
        <v/>
      </c>
      <c r="E17" s="20">
        <f>IF(Dienstplan!E150="","",Dienstplan!E150)</f>
        <v/>
      </c>
      <c r="F17" s="20">
        <f>IF(Dienstplan!F150="","",Dienstplan!F150)</f>
        <v/>
      </c>
      <c r="G17" s="20">
        <f>IF(Dienstplan!G150="","",Dienstplan!G150)</f>
        <v/>
      </c>
      <c r="H17" s="17">
        <f>IF(Dienstplan!H150="","",Dienstplan!H150)</f>
        <v/>
      </c>
      <c r="I17" s="17">
        <f>IF(Dienstplan!I150="","",Dienstplan!I150)</f>
        <v/>
      </c>
      <c r="J17" s="20">
        <f>IF(Dienstplan!J150="","",Dienstplan!J150)</f>
        <v/>
      </c>
      <c r="K17" s="20">
        <f>IF(Dienstplan!K150="","",Dienstplan!K150)</f>
        <v/>
      </c>
      <c r="L17" s="20">
        <f>IF(Dienstplan!L150="","",Dienstplan!L150)</f>
        <v/>
      </c>
      <c r="M17" s="20">
        <f>IF(Dienstplan!M150="","",Dienstplan!M150)</f>
        <v/>
      </c>
      <c r="N17" s="20">
        <f>IF(Dienstplan!N150="","",Dienstplan!N150)</f>
        <v/>
      </c>
      <c r="O17" s="17">
        <f>IF(Dienstplan!O150="","",Dienstplan!O150)</f>
        <v/>
      </c>
      <c r="P17" s="17">
        <f>IF(Dienstplan!P150="","",Dienstplan!P150)</f>
        <v/>
      </c>
      <c r="Q17" s="20">
        <f>IF(Dienstplan!Q150="","",Dienstplan!Q150)</f>
        <v/>
      </c>
      <c r="R17" s="20">
        <f>IF(Dienstplan!R150="","",Dienstplan!R150)</f>
        <v/>
      </c>
      <c r="S17" s="20">
        <f>IF(Dienstplan!S150="","",Dienstplan!S150)</f>
        <v/>
      </c>
      <c r="T17" s="20">
        <f>IF(Dienstplan!T150="","",Dienstplan!T150)</f>
        <v/>
      </c>
      <c r="U17" s="20">
        <f>IF(Dienstplan!U150="","",Dienstplan!U150)</f>
        <v/>
      </c>
      <c r="V17" s="17">
        <f>IF(Dienstplan!V150="","",Dienstplan!V150)</f>
        <v/>
      </c>
      <c r="W17" s="17">
        <f>IF(Dienstplan!W150="","",Dienstplan!W150)</f>
        <v/>
      </c>
      <c r="X17" s="20">
        <f>IF(Dienstplan!X150="","",Dienstplan!X150)</f>
        <v/>
      </c>
      <c r="Y17" s="20">
        <f>IF(Dienstplan!Y150="","",Dienstplan!Y150)</f>
        <v/>
      </c>
      <c r="Z17" s="20">
        <f>IF(Dienstplan!Z150="","",Dienstplan!Z150)</f>
        <v/>
      </c>
      <c r="AA17" s="20">
        <f>IF(Dienstplan!AA150="","",Dienstplan!AA150)</f>
        <v/>
      </c>
      <c r="AB17" s="20">
        <f>IF(Dienstplan!AB150="","",Dienstplan!AB150)</f>
        <v/>
      </c>
      <c r="AC17" s="17">
        <f>IF(Dienstplan!AC150="","",Dienstplan!AC150)</f>
        <v/>
      </c>
      <c r="AD17" s="17">
        <f>IF(Dienstplan!AD150="","",Dienstplan!AD150)</f>
        <v/>
      </c>
      <c r="AE17" s="20">
        <f>IF(Dienstplan!AE150="","",Dienstplan!AE150)</f>
        <v/>
      </c>
      <c r="AF17" s="30">
        <f>IF(Dienstplan!AF150="","",Dienstplan!AF150)</f>
        <v/>
      </c>
    </row>
    <row r="18" ht="15" customHeight="1">
      <c r="A18" s="21" t="inlineStr">
        <is>
          <t>Besetzung</t>
        </is>
      </c>
      <c r="B18" s="22" t="n"/>
      <c r="C18" s="23">
        <f>IF(AND(COUNTIF(C6:C17,"FI")&gt;0,COUNTIF(C6:C17,"SI")&gt;0,COUNTIF(C6:C17,"NI")&gt;0),"","!")</f>
        <v/>
      </c>
      <c r="D18" s="23">
        <f>IF(AND(COUNTIF(D6:D17,"FI")&gt;0,COUNTIF(D6:D17,"SI")&gt;0,COUNTIF(D6:D17,"NI")&gt;0),"","!")</f>
        <v/>
      </c>
      <c r="E18" s="23">
        <f>IF(AND(COUNTIF(E6:E17,"FI")&gt;0,COUNTIF(E6:E17,"SI")&gt;0,COUNTIF(E6:E17,"NI")&gt;0),"","!")</f>
        <v/>
      </c>
      <c r="F18" s="23">
        <f>IF(AND(COUNTIF(F6:F17,"FI")&gt;0,COUNTIF(F6:F17,"SI")&gt;0,COUNTIF(F6:F17,"NI")&gt;0),"","!")</f>
        <v/>
      </c>
      <c r="G18" s="23">
        <f>IF(AND(COUNTIF(G6:G17,"FI")&gt;0,COUNTIF(G6:G17,"SI")&gt;0),"","!")</f>
        <v/>
      </c>
      <c r="H18" s="22" t="n"/>
      <c r="I18" s="22" t="n"/>
      <c r="J18" s="23">
        <f>IF(AND(COUNTIF(J6:J17,"FI")&gt;0,COUNTIF(J6:J17,"SI")&gt;0,COUNTIF(J6:J17,"NI")&gt;0),"","!")</f>
        <v/>
      </c>
      <c r="K18" s="23">
        <f>IF(AND(COUNTIF(K6:K17,"FI")&gt;0,COUNTIF(K6:K17,"SI")&gt;0,COUNTIF(K6:K17,"NI")&gt;0),"","!")</f>
        <v/>
      </c>
      <c r="L18" s="23">
        <f>IF(AND(COUNTIF(L6:L17,"FI")&gt;0,COUNTIF(L6:L17,"SI")&gt;0,COUNTIF(L6:L17,"NI")&gt;0),"","!")</f>
        <v/>
      </c>
      <c r="M18" s="23">
        <f>IF(AND(COUNTIF(M6:M17,"FI")&gt;0,COUNTIF(M6:M17,"SI")&gt;0,COUNTIF(M6:M17,"NI")&gt;0),"","!")</f>
        <v/>
      </c>
      <c r="N18" s="23">
        <f>IF(AND(COUNTIF(N6:N17,"FI")&gt;0,COUNTIF(N6:N17,"SI")&gt;0),"","!")</f>
        <v/>
      </c>
      <c r="O18" s="22" t="n"/>
      <c r="P18" s="22" t="n"/>
      <c r="Q18" s="23">
        <f>IF(AND(COUNTIF(Q6:Q17,"FI")&gt;0,COUNTIF(Q6:Q17,"SI")&gt;0,COUNTIF(Q6:Q17,"NI")&gt;0),"","!")</f>
        <v/>
      </c>
      <c r="R18" s="23">
        <f>IF(AND(COUNTIF(R6:R17,"FI")&gt;0,COUNTIF(R6:R17,"SI")&gt;0,COUNTIF(R6:R17,"NI")&gt;0),"","!")</f>
        <v/>
      </c>
      <c r="S18" s="23">
        <f>IF(AND(COUNTIF(S6:S17,"FI")&gt;0,COUNTIF(S6:S17,"SI")&gt;0,COUNTIF(S6:S17,"NI")&gt;0),"","!")</f>
        <v/>
      </c>
      <c r="T18" s="23">
        <f>IF(AND(COUNTIF(T6:T17,"FI")&gt;0,COUNTIF(T6:T17,"SI")&gt;0,COUNTIF(T6:T17,"NI")&gt;0),"","!")</f>
        <v/>
      </c>
      <c r="U18" s="23">
        <f>IF(AND(COUNTIF(U6:U17,"FI")&gt;0,COUNTIF(U6:U17,"SI")&gt;0),"","!")</f>
        <v/>
      </c>
      <c r="V18" s="22" t="n"/>
      <c r="W18" s="22" t="n"/>
      <c r="X18" s="23">
        <f>IF(AND(COUNTIF(X6:X17,"FI")&gt;0,COUNTIF(X6:X17,"SI")&gt;0,COUNTIF(X6:X17,"NI")&gt;0),"","!")</f>
        <v/>
      </c>
      <c r="Y18" s="23">
        <f>IF(AND(COUNTIF(Y6:Y17,"FI")&gt;0,COUNTIF(Y6:Y17,"SI")&gt;0,COUNTIF(Y6:Y17,"NI")&gt;0),"","!")</f>
        <v/>
      </c>
      <c r="Z18" s="23">
        <f>IF(AND(COUNTIF(Z6:Z17,"FI")&gt;0,COUNTIF(Z6:Z17,"SI")&gt;0,COUNTIF(Z6:Z17,"NI")&gt;0),"","!")</f>
        <v/>
      </c>
      <c r="AA18" s="23">
        <f>IF(AND(COUNTIF(AA6:AA17,"FI")&gt;0,COUNTIF(AA6:AA17,"SI")&gt;0,COUNTIF(AA6:AA17,"NI")&gt;0),"","!")</f>
        <v/>
      </c>
      <c r="AB18" s="23">
        <f>IF(AND(COUNTIF(AB6:AB17,"FI")&gt;0,COUNTIF(AB6:AB17,"SI")&gt;0),"","!")</f>
        <v/>
      </c>
      <c r="AC18" s="22" t="n"/>
      <c r="AD18" s="22" t="n"/>
      <c r="AE18" s="23">
        <f>IF(AND(COUNTIF(AE6:AE17,"FI")&gt;0,COUNTIF(AE6:AE17,"SI")&gt;0,COUNTIF(AE6:AE17,"NI")&gt;0),"","!")</f>
        <v/>
      </c>
      <c r="AF18" s="31">
        <f>IF(AND(COUNTIF(AF6:AF17,"FI")&gt;0,COUNTIF(AF6:AF17,"SI")&gt;0,COUNTIF(AF6:AF17,"NI")&gt;0),"","!")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B2:AF2"/>
    <mergeCell ref="K22:N22"/>
    <mergeCell ref="A20:N20"/>
    <mergeCell ref="P25:X25"/>
    <mergeCell ref="D29:N29"/>
    <mergeCell ref="H25:J25"/>
    <mergeCell ref="K27:N27"/>
    <mergeCell ref="H21:J21"/>
  </mergeCells>
  <conditionalFormatting sqref="B18:AF18">
    <cfRule type="cellIs" priority="1" operator="equal" dxfId="5" stopIfTrue="1">
      <formula>"!"</formula>
    </cfRule>
  </conditionalFormatting>
  <conditionalFormatting sqref="B6:AF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September 2027</t>
        </is>
      </c>
      <c r="AB1" s="33" t="inlineStr">
        <is>
          <t>AT: 22   Sa: 4</t>
        </is>
      </c>
    </row>
    <row r="2">
      <c r="B2" s="25" t="inlineStr">
        <is>
          <t>Sommerferien</t>
        </is>
      </c>
    </row>
    <row r="3" ht="18" customHeight="1">
      <c r="A3" s="34" t="inlineStr">
        <is>
          <t>Tag</t>
        </is>
      </c>
      <c r="B3" s="36" t="n">
        <v>1</v>
      </c>
      <c r="C3" s="36" t="n">
        <v>2</v>
      </c>
      <c r="D3" s="36" t="n">
        <v>3</v>
      </c>
      <c r="E3" s="35" t="n">
        <v>4</v>
      </c>
      <c r="F3" s="35" t="n">
        <v>5</v>
      </c>
      <c r="G3" s="36" t="n">
        <v>6</v>
      </c>
      <c r="H3" s="36" t="n">
        <v>7</v>
      </c>
      <c r="I3" s="36" t="n">
        <v>8</v>
      </c>
      <c r="J3" s="36" t="n">
        <v>9</v>
      </c>
      <c r="K3" s="36" t="n">
        <v>10</v>
      </c>
      <c r="L3" s="35" t="n">
        <v>11</v>
      </c>
      <c r="M3" s="35" t="n">
        <v>12</v>
      </c>
      <c r="N3" s="36" t="n">
        <v>13</v>
      </c>
      <c r="O3" s="36" t="n">
        <v>14</v>
      </c>
      <c r="P3" s="36" t="n">
        <v>15</v>
      </c>
      <c r="Q3" s="36" t="n">
        <v>16</v>
      </c>
      <c r="R3" s="36" t="n">
        <v>17</v>
      </c>
      <c r="S3" s="35" t="n">
        <v>18</v>
      </c>
      <c r="T3" s="35" t="n">
        <v>19</v>
      </c>
      <c r="U3" s="36" t="n">
        <v>20</v>
      </c>
      <c r="V3" s="36" t="n">
        <v>21</v>
      </c>
      <c r="W3" s="36" t="n">
        <v>22</v>
      </c>
      <c r="X3" s="36" t="n">
        <v>23</v>
      </c>
      <c r="Y3" s="36" t="n">
        <v>24</v>
      </c>
      <c r="Z3" s="35" t="n">
        <v>25</v>
      </c>
      <c r="AA3" s="35" t="n">
        <v>26</v>
      </c>
      <c r="AB3" s="36" t="n">
        <v>27</v>
      </c>
      <c r="AC3" s="36" t="n">
        <v>28</v>
      </c>
      <c r="AD3" s="36" t="n">
        <v>29</v>
      </c>
      <c r="AE3" s="65" t="n">
        <v>30</v>
      </c>
    </row>
    <row r="4" ht="18" customHeight="1">
      <c r="A4" s="9" t="inlineStr">
        <is>
          <t>WT</t>
        </is>
      </c>
      <c r="B4" s="14" t="inlineStr">
        <is>
          <t>Mi</t>
        </is>
      </c>
      <c r="C4" s="14" t="inlineStr">
        <is>
          <t>Do</t>
        </is>
      </c>
      <c r="D4" s="14" t="inlineStr">
        <is>
          <t>Fr</t>
        </is>
      </c>
      <c r="E4" s="13" t="inlineStr">
        <is>
          <t>Sa</t>
        </is>
      </c>
      <c r="F4" s="13" t="inlineStr">
        <is>
          <t>So</t>
        </is>
      </c>
      <c r="G4" s="14" t="inlineStr">
        <is>
          <t>Mo</t>
        </is>
      </c>
      <c r="H4" s="14" t="inlineStr">
        <is>
          <t>Di</t>
        </is>
      </c>
      <c r="I4" s="14" t="inlineStr">
        <is>
          <t>Mi</t>
        </is>
      </c>
      <c r="J4" s="14" t="inlineStr">
        <is>
          <t>Do</t>
        </is>
      </c>
      <c r="K4" s="14" t="inlineStr">
        <is>
          <t>Fr</t>
        </is>
      </c>
      <c r="L4" s="13" t="inlineStr">
        <is>
          <t>Sa</t>
        </is>
      </c>
      <c r="M4" s="13" t="inlineStr">
        <is>
          <t>So</t>
        </is>
      </c>
      <c r="N4" s="14" t="inlineStr">
        <is>
          <t>Mo</t>
        </is>
      </c>
      <c r="O4" s="14" t="inlineStr">
        <is>
          <t>Di</t>
        </is>
      </c>
      <c r="P4" s="14" t="inlineStr">
        <is>
          <t>Mi</t>
        </is>
      </c>
      <c r="Q4" s="14" t="inlineStr">
        <is>
          <t>Do</t>
        </is>
      </c>
      <c r="R4" s="14" t="inlineStr">
        <is>
          <t>Fr</t>
        </is>
      </c>
      <c r="S4" s="13" t="inlineStr">
        <is>
          <t>Sa</t>
        </is>
      </c>
      <c r="T4" s="13" t="inlineStr">
        <is>
          <t>So</t>
        </is>
      </c>
      <c r="U4" s="14" t="inlineStr">
        <is>
          <t>Mo</t>
        </is>
      </c>
      <c r="V4" s="14" t="inlineStr">
        <is>
          <t>Di</t>
        </is>
      </c>
      <c r="W4" s="14" t="inlineStr">
        <is>
          <t>Mi</t>
        </is>
      </c>
      <c r="X4" s="14" t="inlineStr">
        <is>
          <t>Do</t>
        </is>
      </c>
      <c r="Y4" s="14" t="inlineStr">
        <is>
          <t>Fr</t>
        </is>
      </c>
      <c r="Z4" s="13" t="inlineStr">
        <is>
          <t>Sa</t>
        </is>
      </c>
      <c r="AA4" s="13" t="inlineStr">
        <is>
          <t>So</t>
        </is>
      </c>
      <c r="AB4" s="14" t="inlineStr">
        <is>
          <t>Mo</t>
        </is>
      </c>
      <c r="AC4" s="14" t="inlineStr">
        <is>
          <t>Di</t>
        </is>
      </c>
      <c r="AD4" s="14" t="inlineStr">
        <is>
          <t>Mi</t>
        </is>
      </c>
      <c r="AE4" s="28" t="inlineStr">
        <is>
          <t>Do</t>
        </is>
      </c>
    </row>
    <row r="5" ht="15" customHeight="1">
      <c r="A5" s="9" t="inlineStr">
        <is>
          <t>KW</t>
        </is>
      </c>
      <c r="B5" s="40" t="n">
        <v>35</v>
      </c>
      <c r="C5" s="41" t="n"/>
      <c r="D5" s="41" t="n"/>
      <c r="E5" s="39" t="n"/>
      <c r="F5" s="39" t="n"/>
      <c r="G5" s="40" t="n">
        <v>36</v>
      </c>
      <c r="H5" s="41" t="n"/>
      <c r="I5" s="41" t="n"/>
      <c r="J5" s="41" t="n"/>
      <c r="K5" s="41" t="n"/>
      <c r="L5" s="39" t="n"/>
      <c r="M5" s="39" t="n"/>
      <c r="N5" s="40" t="n">
        <v>37</v>
      </c>
      <c r="O5" s="41" t="n"/>
      <c r="P5" s="41" t="n"/>
      <c r="Q5" s="41" t="n"/>
      <c r="R5" s="41" t="n"/>
      <c r="S5" s="39" t="n"/>
      <c r="T5" s="39" t="n"/>
      <c r="U5" s="40" t="n">
        <v>38</v>
      </c>
      <c r="V5" s="41" t="n"/>
      <c r="W5" s="41" t="n"/>
      <c r="X5" s="41" t="n"/>
      <c r="Y5" s="41" t="n"/>
      <c r="Z5" s="39" t="n"/>
      <c r="AA5" s="39" t="n"/>
      <c r="AB5" s="40" t="n">
        <v>39</v>
      </c>
      <c r="AC5" s="41" t="n"/>
      <c r="AD5" s="41" t="n"/>
      <c r="AE5" s="66" t="n"/>
    </row>
    <row r="6" ht="16" customHeight="1">
      <c r="A6" s="43" t="inlineStr">
        <is>
          <t>Breig</t>
        </is>
      </c>
      <c r="B6" s="18">
        <f>IF(Dienstplan!B158="","",Dienstplan!B158)</f>
        <v/>
      </c>
      <c r="C6" s="18">
        <f>IF(Dienstplan!C158="","",Dienstplan!C158)</f>
        <v/>
      </c>
      <c r="D6" s="18">
        <f>IF(Dienstplan!D158="","",Dienstplan!D158)</f>
        <v/>
      </c>
      <c r="E6" s="17">
        <f>IF(Dienstplan!E158="","",Dienstplan!E158)</f>
        <v/>
      </c>
      <c r="F6" s="17">
        <f>IF(Dienstplan!F158="","",Dienstplan!F158)</f>
        <v/>
      </c>
      <c r="G6" s="18">
        <f>IF(Dienstplan!G158="","",Dienstplan!G158)</f>
        <v/>
      </c>
      <c r="H6" s="18">
        <f>IF(Dienstplan!H158="","",Dienstplan!H158)</f>
        <v/>
      </c>
      <c r="I6" s="18">
        <f>IF(Dienstplan!I158="","",Dienstplan!I158)</f>
        <v/>
      </c>
      <c r="J6" s="18">
        <f>IF(Dienstplan!J158="","",Dienstplan!J158)</f>
        <v/>
      </c>
      <c r="K6" s="18">
        <f>IF(Dienstplan!K158="","",Dienstplan!K158)</f>
        <v/>
      </c>
      <c r="L6" s="17">
        <f>IF(Dienstplan!L158="","",Dienstplan!L158)</f>
        <v/>
      </c>
      <c r="M6" s="17">
        <f>IF(Dienstplan!M158="","",Dienstplan!M158)</f>
        <v/>
      </c>
      <c r="N6" s="18">
        <f>IF(Dienstplan!N158="","",Dienstplan!N158)</f>
        <v/>
      </c>
      <c r="O6" s="18">
        <f>IF(Dienstplan!O158="","",Dienstplan!O158)</f>
        <v/>
      </c>
      <c r="P6" s="18">
        <f>IF(Dienstplan!P158="","",Dienstplan!P158)</f>
        <v/>
      </c>
      <c r="Q6" s="18">
        <f>IF(Dienstplan!Q158="","",Dienstplan!Q158)</f>
        <v/>
      </c>
      <c r="R6" s="18">
        <f>IF(Dienstplan!R158="","",Dienstplan!R158)</f>
        <v/>
      </c>
      <c r="S6" s="17">
        <f>IF(Dienstplan!S158="","",Dienstplan!S158)</f>
        <v/>
      </c>
      <c r="T6" s="17">
        <f>IF(Dienstplan!T158="","",Dienstplan!T158)</f>
        <v/>
      </c>
      <c r="U6" s="18">
        <f>IF(Dienstplan!U158="","",Dienstplan!U158)</f>
        <v/>
      </c>
      <c r="V6" s="18">
        <f>IF(Dienstplan!V158="","",Dienstplan!V158)</f>
        <v/>
      </c>
      <c r="W6" s="18">
        <f>IF(Dienstplan!W158="","",Dienstplan!W158)</f>
        <v/>
      </c>
      <c r="X6" s="18">
        <f>IF(Dienstplan!X158="","",Dienstplan!X158)</f>
        <v/>
      </c>
      <c r="Y6" s="18">
        <f>IF(Dienstplan!Y158="","",Dienstplan!Y158)</f>
        <v/>
      </c>
      <c r="Z6" s="17">
        <f>IF(Dienstplan!Z158="","",Dienstplan!Z158)</f>
        <v/>
      </c>
      <c r="AA6" s="17">
        <f>IF(Dienstplan!AA158="","",Dienstplan!AA158)</f>
        <v/>
      </c>
      <c r="AB6" s="18">
        <f>IF(Dienstplan!AB158="","",Dienstplan!AB158)</f>
        <v/>
      </c>
      <c r="AC6" s="18">
        <f>IF(Dienstplan!AC158="","",Dienstplan!AC158)</f>
        <v/>
      </c>
      <c r="AD6" s="18">
        <f>IF(Dienstplan!AD158="","",Dienstplan!AD158)</f>
        <v/>
      </c>
      <c r="AE6" s="29">
        <f>IF(Dienstplan!AE158="","",Dienstplan!AE158)</f>
        <v/>
      </c>
    </row>
    <row r="7" ht="16" customHeight="1">
      <c r="A7" s="43" t="inlineStr">
        <is>
          <t>Siebert</t>
        </is>
      </c>
      <c r="B7" s="20">
        <f>IF(Dienstplan!B159="","",Dienstplan!B159)</f>
        <v/>
      </c>
      <c r="C7" s="20">
        <f>IF(Dienstplan!C159="","",Dienstplan!C159)</f>
        <v/>
      </c>
      <c r="D7" s="20">
        <f>IF(Dienstplan!D159="","",Dienstplan!D159)</f>
        <v/>
      </c>
      <c r="E7" s="17">
        <f>IF(Dienstplan!E159="","",Dienstplan!E159)</f>
        <v/>
      </c>
      <c r="F7" s="17">
        <f>IF(Dienstplan!F159="","",Dienstplan!F159)</f>
        <v/>
      </c>
      <c r="G7" s="20">
        <f>IF(Dienstplan!G159="","",Dienstplan!G159)</f>
        <v/>
      </c>
      <c r="H7" s="20">
        <f>IF(Dienstplan!H159="","",Dienstplan!H159)</f>
        <v/>
      </c>
      <c r="I7" s="20">
        <f>IF(Dienstplan!I159="","",Dienstplan!I159)</f>
        <v/>
      </c>
      <c r="J7" s="20">
        <f>IF(Dienstplan!J159="","",Dienstplan!J159)</f>
        <v/>
      </c>
      <c r="K7" s="20">
        <f>IF(Dienstplan!K159="","",Dienstplan!K159)</f>
        <v/>
      </c>
      <c r="L7" s="17">
        <f>IF(Dienstplan!L159="","",Dienstplan!L159)</f>
        <v/>
      </c>
      <c r="M7" s="17">
        <f>IF(Dienstplan!M159="","",Dienstplan!M159)</f>
        <v/>
      </c>
      <c r="N7" s="20">
        <f>IF(Dienstplan!N159="","",Dienstplan!N159)</f>
        <v/>
      </c>
      <c r="O7" s="20">
        <f>IF(Dienstplan!O159="","",Dienstplan!O159)</f>
        <v/>
      </c>
      <c r="P7" s="20">
        <f>IF(Dienstplan!P159="","",Dienstplan!P159)</f>
        <v/>
      </c>
      <c r="Q7" s="20">
        <f>IF(Dienstplan!Q159="","",Dienstplan!Q159)</f>
        <v/>
      </c>
      <c r="R7" s="20">
        <f>IF(Dienstplan!R159="","",Dienstplan!R159)</f>
        <v/>
      </c>
      <c r="S7" s="17">
        <f>IF(Dienstplan!S159="","",Dienstplan!S159)</f>
        <v/>
      </c>
      <c r="T7" s="17">
        <f>IF(Dienstplan!T159="","",Dienstplan!T159)</f>
        <v/>
      </c>
      <c r="U7" s="20">
        <f>IF(Dienstplan!U159="","",Dienstplan!U159)</f>
        <v/>
      </c>
      <c r="V7" s="20">
        <f>IF(Dienstplan!V159="","",Dienstplan!V159)</f>
        <v/>
      </c>
      <c r="W7" s="20">
        <f>IF(Dienstplan!W159="","",Dienstplan!W159)</f>
        <v/>
      </c>
      <c r="X7" s="20">
        <f>IF(Dienstplan!X159="","",Dienstplan!X159)</f>
        <v/>
      </c>
      <c r="Y7" s="20">
        <f>IF(Dienstplan!Y159="","",Dienstplan!Y159)</f>
        <v/>
      </c>
      <c r="Z7" s="17">
        <f>IF(Dienstplan!Z159="","",Dienstplan!Z159)</f>
        <v/>
      </c>
      <c r="AA7" s="17">
        <f>IF(Dienstplan!AA159="","",Dienstplan!AA159)</f>
        <v/>
      </c>
      <c r="AB7" s="20">
        <f>IF(Dienstplan!AB159="","",Dienstplan!AB159)</f>
        <v/>
      </c>
      <c r="AC7" s="20">
        <f>IF(Dienstplan!AC159="","",Dienstplan!AC159)</f>
        <v/>
      </c>
      <c r="AD7" s="20">
        <f>IF(Dienstplan!AD159="","",Dienstplan!AD159)</f>
        <v/>
      </c>
      <c r="AE7" s="30">
        <f>IF(Dienstplan!AE159="","",Dienstplan!AE159)</f>
        <v/>
      </c>
    </row>
    <row r="8" ht="16" customHeight="1">
      <c r="A8" s="43" t="inlineStr">
        <is>
          <t>Jochim</t>
        </is>
      </c>
      <c r="B8" s="18">
        <f>IF(Dienstplan!B160="","",Dienstplan!B160)</f>
        <v/>
      </c>
      <c r="C8" s="18">
        <f>IF(Dienstplan!C160="","",Dienstplan!C160)</f>
        <v/>
      </c>
      <c r="D8" s="18">
        <f>IF(Dienstplan!D160="","",Dienstplan!D160)</f>
        <v/>
      </c>
      <c r="E8" s="17">
        <f>IF(Dienstplan!E160="","",Dienstplan!E160)</f>
        <v/>
      </c>
      <c r="F8" s="17">
        <f>IF(Dienstplan!F160="","",Dienstplan!F160)</f>
        <v/>
      </c>
      <c r="G8" s="18">
        <f>IF(Dienstplan!G160="","",Dienstplan!G160)</f>
        <v/>
      </c>
      <c r="H8" s="18">
        <f>IF(Dienstplan!H160="","",Dienstplan!H160)</f>
        <v/>
      </c>
      <c r="I8" s="18">
        <f>IF(Dienstplan!I160="","",Dienstplan!I160)</f>
        <v/>
      </c>
      <c r="J8" s="18">
        <f>IF(Dienstplan!J160="","",Dienstplan!J160)</f>
        <v/>
      </c>
      <c r="K8" s="18">
        <f>IF(Dienstplan!K160="","",Dienstplan!K160)</f>
        <v/>
      </c>
      <c r="L8" s="17">
        <f>IF(Dienstplan!L160="","",Dienstplan!L160)</f>
        <v/>
      </c>
      <c r="M8" s="17">
        <f>IF(Dienstplan!M160="","",Dienstplan!M160)</f>
        <v/>
      </c>
      <c r="N8" s="18">
        <f>IF(Dienstplan!N160="","",Dienstplan!N160)</f>
        <v/>
      </c>
      <c r="O8" s="18">
        <f>IF(Dienstplan!O160="","",Dienstplan!O160)</f>
        <v/>
      </c>
      <c r="P8" s="18">
        <f>IF(Dienstplan!P160="","",Dienstplan!P160)</f>
        <v/>
      </c>
      <c r="Q8" s="18">
        <f>IF(Dienstplan!Q160="","",Dienstplan!Q160)</f>
        <v/>
      </c>
      <c r="R8" s="18">
        <f>IF(Dienstplan!R160="","",Dienstplan!R160)</f>
        <v/>
      </c>
      <c r="S8" s="17">
        <f>IF(Dienstplan!S160="","",Dienstplan!S160)</f>
        <v/>
      </c>
      <c r="T8" s="17">
        <f>IF(Dienstplan!T160="","",Dienstplan!T160)</f>
        <v/>
      </c>
      <c r="U8" s="18">
        <f>IF(Dienstplan!U160="","",Dienstplan!U160)</f>
        <v/>
      </c>
      <c r="V8" s="18">
        <f>IF(Dienstplan!V160="","",Dienstplan!V160)</f>
        <v/>
      </c>
      <c r="W8" s="18">
        <f>IF(Dienstplan!W160="","",Dienstplan!W160)</f>
        <v/>
      </c>
      <c r="X8" s="18">
        <f>IF(Dienstplan!X160="","",Dienstplan!X160)</f>
        <v/>
      </c>
      <c r="Y8" s="18">
        <f>IF(Dienstplan!Y160="","",Dienstplan!Y160)</f>
        <v/>
      </c>
      <c r="Z8" s="17">
        <f>IF(Dienstplan!Z160="","",Dienstplan!Z160)</f>
        <v/>
      </c>
      <c r="AA8" s="17">
        <f>IF(Dienstplan!AA160="","",Dienstplan!AA160)</f>
        <v/>
      </c>
      <c r="AB8" s="18">
        <f>IF(Dienstplan!AB160="","",Dienstplan!AB160)</f>
        <v/>
      </c>
      <c r="AC8" s="18">
        <f>IF(Dienstplan!AC160="","",Dienstplan!AC160)</f>
        <v/>
      </c>
      <c r="AD8" s="18">
        <f>IF(Dienstplan!AD160="","",Dienstplan!AD160)</f>
        <v/>
      </c>
      <c r="AE8" s="29">
        <f>IF(Dienstplan!AE160="","",Dienstplan!AE160)</f>
        <v/>
      </c>
    </row>
    <row r="9" ht="16" customHeight="1">
      <c r="A9" s="43" t="inlineStr">
        <is>
          <t>Wunsch</t>
        </is>
      </c>
      <c r="B9" s="20">
        <f>IF(Dienstplan!B161="","",Dienstplan!B161)</f>
        <v/>
      </c>
      <c r="C9" s="20">
        <f>IF(Dienstplan!C161="","",Dienstplan!C161)</f>
        <v/>
      </c>
      <c r="D9" s="20">
        <f>IF(Dienstplan!D161="","",Dienstplan!D161)</f>
        <v/>
      </c>
      <c r="E9" s="17">
        <f>IF(Dienstplan!E161="","",Dienstplan!E161)</f>
        <v/>
      </c>
      <c r="F9" s="17">
        <f>IF(Dienstplan!F161="","",Dienstplan!F161)</f>
        <v/>
      </c>
      <c r="G9" s="20">
        <f>IF(Dienstplan!G161="","",Dienstplan!G161)</f>
        <v/>
      </c>
      <c r="H9" s="20">
        <f>IF(Dienstplan!H161="","",Dienstplan!H161)</f>
        <v/>
      </c>
      <c r="I9" s="20">
        <f>IF(Dienstplan!I161="","",Dienstplan!I161)</f>
        <v/>
      </c>
      <c r="J9" s="20">
        <f>IF(Dienstplan!J161="","",Dienstplan!J161)</f>
        <v/>
      </c>
      <c r="K9" s="20">
        <f>IF(Dienstplan!K161="","",Dienstplan!K161)</f>
        <v/>
      </c>
      <c r="L9" s="17">
        <f>IF(Dienstplan!L161="","",Dienstplan!L161)</f>
        <v/>
      </c>
      <c r="M9" s="17">
        <f>IF(Dienstplan!M161="","",Dienstplan!M161)</f>
        <v/>
      </c>
      <c r="N9" s="20">
        <f>IF(Dienstplan!N161="","",Dienstplan!N161)</f>
        <v/>
      </c>
      <c r="O9" s="20">
        <f>IF(Dienstplan!O161="","",Dienstplan!O161)</f>
        <v/>
      </c>
      <c r="P9" s="20">
        <f>IF(Dienstplan!P161="","",Dienstplan!P161)</f>
        <v/>
      </c>
      <c r="Q9" s="20">
        <f>IF(Dienstplan!Q161="","",Dienstplan!Q161)</f>
        <v/>
      </c>
      <c r="R9" s="20">
        <f>IF(Dienstplan!R161="","",Dienstplan!R161)</f>
        <v/>
      </c>
      <c r="S9" s="17">
        <f>IF(Dienstplan!S161="","",Dienstplan!S161)</f>
        <v/>
      </c>
      <c r="T9" s="17">
        <f>IF(Dienstplan!T161="","",Dienstplan!T161)</f>
        <v/>
      </c>
      <c r="U9" s="20">
        <f>IF(Dienstplan!U161="","",Dienstplan!U161)</f>
        <v/>
      </c>
      <c r="V9" s="20">
        <f>IF(Dienstplan!V161="","",Dienstplan!V161)</f>
        <v/>
      </c>
      <c r="W9" s="20">
        <f>IF(Dienstplan!W161="","",Dienstplan!W161)</f>
        <v/>
      </c>
      <c r="X9" s="20">
        <f>IF(Dienstplan!X161="","",Dienstplan!X161)</f>
        <v/>
      </c>
      <c r="Y9" s="20">
        <f>IF(Dienstplan!Y161="","",Dienstplan!Y161)</f>
        <v/>
      </c>
      <c r="Z9" s="17">
        <f>IF(Dienstplan!Z161="","",Dienstplan!Z161)</f>
        <v/>
      </c>
      <c r="AA9" s="17">
        <f>IF(Dienstplan!AA161="","",Dienstplan!AA161)</f>
        <v/>
      </c>
      <c r="AB9" s="20">
        <f>IF(Dienstplan!AB161="","",Dienstplan!AB161)</f>
        <v/>
      </c>
      <c r="AC9" s="20">
        <f>IF(Dienstplan!AC161="","",Dienstplan!AC161)</f>
        <v/>
      </c>
      <c r="AD9" s="20">
        <f>IF(Dienstplan!AD161="","",Dienstplan!AD161)</f>
        <v/>
      </c>
      <c r="AE9" s="30">
        <f>IF(Dienstplan!AE161="","",Dienstplan!AE161)</f>
        <v/>
      </c>
    </row>
    <row r="10" ht="16" customHeight="1">
      <c r="A10" s="43" t="inlineStr">
        <is>
          <t>Göpfrich</t>
        </is>
      </c>
      <c r="B10" s="18">
        <f>IF(Dienstplan!B162="","",Dienstplan!B162)</f>
        <v/>
      </c>
      <c r="C10" s="18">
        <f>IF(Dienstplan!C162="","",Dienstplan!C162)</f>
        <v/>
      </c>
      <c r="D10" s="18">
        <f>IF(Dienstplan!D162="","",Dienstplan!D162)</f>
        <v/>
      </c>
      <c r="E10" s="17">
        <f>IF(Dienstplan!E162="","",Dienstplan!E162)</f>
        <v/>
      </c>
      <c r="F10" s="17">
        <f>IF(Dienstplan!F162="","",Dienstplan!F162)</f>
        <v/>
      </c>
      <c r="G10" s="18">
        <f>IF(Dienstplan!G162="","",Dienstplan!G162)</f>
        <v/>
      </c>
      <c r="H10" s="18">
        <f>IF(Dienstplan!H162="","",Dienstplan!H162)</f>
        <v/>
      </c>
      <c r="I10" s="18">
        <f>IF(Dienstplan!I162="","",Dienstplan!I162)</f>
        <v/>
      </c>
      <c r="J10" s="18">
        <f>IF(Dienstplan!J162="","",Dienstplan!J162)</f>
        <v/>
      </c>
      <c r="K10" s="18">
        <f>IF(Dienstplan!K162="","",Dienstplan!K162)</f>
        <v/>
      </c>
      <c r="L10" s="17">
        <f>IF(Dienstplan!L162="","",Dienstplan!L162)</f>
        <v/>
      </c>
      <c r="M10" s="17">
        <f>IF(Dienstplan!M162="","",Dienstplan!M162)</f>
        <v/>
      </c>
      <c r="N10" s="18">
        <f>IF(Dienstplan!N162="","",Dienstplan!N162)</f>
        <v/>
      </c>
      <c r="O10" s="18">
        <f>IF(Dienstplan!O162="","",Dienstplan!O162)</f>
        <v/>
      </c>
      <c r="P10" s="18">
        <f>IF(Dienstplan!P162="","",Dienstplan!P162)</f>
        <v/>
      </c>
      <c r="Q10" s="18">
        <f>IF(Dienstplan!Q162="","",Dienstplan!Q162)</f>
        <v/>
      </c>
      <c r="R10" s="18">
        <f>IF(Dienstplan!R162="","",Dienstplan!R162)</f>
        <v/>
      </c>
      <c r="S10" s="17">
        <f>IF(Dienstplan!S162="","",Dienstplan!S162)</f>
        <v/>
      </c>
      <c r="T10" s="17">
        <f>IF(Dienstplan!T162="","",Dienstplan!T162)</f>
        <v/>
      </c>
      <c r="U10" s="18">
        <f>IF(Dienstplan!U162="","",Dienstplan!U162)</f>
        <v/>
      </c>
      <c r="V10" s="18">
        <f>IF(Dienstplan!V162="","",Dienstplan!V162)</f>
        <v/>
      </c>
      <c r="W10" s="18">
        <f>IF(Dienstplan!W162="","",Dienstplan!W162)</f>
        <v/>
      </c>
      <c r="X10" s="18">
        <f>IF(Dienstplan!X162="","",Dienstplan!X162)</f>
        <v/>
      </c>
      <c r="Y10" s="18">
        <f>IF(Dienstplan!Y162="","",Dienstplan!Y162)</f>
        <v/>
      </c>
      <c r="Z10" s="17">
        <f>IF(Dienstplan!Z162="","",Dienstplan!Z162)</f>
        <v/>
      </c>
      <c r="AA10" s="17">
        <f>IF(Dienstplan!AA162="","",Dienstplan!AA162)</f>
        <v/>
      </c>
      <c r="AB10" s="18">
        <f>IF(Dienstplan!AB162="","",Dienstplan!AB162)</f>
        <v/>
      </c>
      <c r="AC10" s="18">
        <f>IF(Dienstplan!AC162="","",Dienstplan!AC162)</f>
        <v/>
      </c>
      <c r="AD10" s="18">
        <f>IF(Dienstplan!AD162="","",Dienstplan!AD162)</f>
        <v/>
      </c>
      <c r="AE10" s="29">
        <f>IF(Dienstplan!AE162="","",Dienstplan!AE162)</f>
        <v/>
      </c>
    </row>
    <row r="11" ht="16" customHeight="1">
      <c r="A11" s="43" t="inlineStr">
        <is>
          <t>Zeller</t>
        </is>
      </c>
      <c r="B11" s="20">
        <f>IF(Dienstplan!B163="","",Dienstplan!B163)</f>
        <v/>
      </c>
      <c r="C11" s="20">
        <f>IF(Dienstplan!C163="","",Dienstplan!C163)</f>
        <v/>
      </c>
      <c r="D11" s="20">
        <f>IF(Dienstplan!D163="","",Dienstplan!D163)</f>
        <v/>
      </c>
      <c r="E11" s="17">
        <f>IF(Dienstplan!E163="","",Dienstplan!E163)</f>
        <v/>
      </c>
      <c r="F11" s="17">
        <f>IF(Dienstplan!F163="","",Dienstplan!F163)</f>
        <v/>
      </c>
      <c r="G11" s="20">
        <f>IF(Dienstplan!G163="","",Dienstplan!G163)</f>
        <v/>
      </c>
      <c r="H11" s="20">
        <f>IF(Dienstplan!H163="","",Dienstplan!H163)</f>
        <v/>
      </c>
      <c r="I11" s="20">
        <f>IF(Dienstplan!I163="","",Dienstplan!I163)</f>
        <v/>
      </c>
      <c r="J11" s="20">
        <f>IF(Dienstplan!J163="","",Dienstplan!J163)</f>
        <v/>
      </c>
      <c r="K11" s="20">
        <f>IF(Dienstplan!K163="","",Dienstplan!K163)</f>
        <v/>
      </c>
      <c r="L11" s="17">
        <f>IF(Dienstplan!L163="","",Dienstplan!L163)</f>
        <v/>
      </c>
      <c r="M11" s="17">
        <f>IF(Dienstplan!M163="","",Dienstplan!M163)</f>
        <v/>
      </c>
      <c r="N11" s="20">
        <f>IF(Dienstplan!N163="","",Dienstplan!N163)</f>
        <v/>
      </c>
      <c r="O11" s="20">
        <f>IF(Dienstplan!O163="","",Dienstplan!O163)</f>
        <v/>
      </c>
      <c r="P11" s="20">
        <f>IF(Dienstplan!P163="","",Dienstplan!P163)</f>
        <v/>
      </c>
      <c r="Q11" s="20">
        <f>IF(Dienstplan!Q163="","",Dienstplan!Q163)</f>
        <v/>
      </c>
      <c r="R11" s="20">
        <f>IF(Dienstplan!R163="","",Dienstplan!R163)</f>
        <v/>
      </c>
      <c r="S11" s="17">
        <f>IF(Dienstplan!S163="","",Dienstplan!S163)</f>
        <v/>
      </c>
      <c r="T11" s="17">
        <f>IF(Dienstplan!T163="","",Dienstplan!T163)</f>
        <v/>
      </c>
      <c r="U11" s="20">
        <f>IF(Dienstplan!U163="","",Dienstplan!U163)</f>
        <v/>
      </c>
      <c r="V11" s="20">
        <f>IF(Dienstplan!V163="","",Dienstplan!V163)</f>
        <v/>
      </c>
      <c r="W11" s="20">
        <f>IF(Dienstplan!W163="","",Dienstplan!W163)</f>
        <v/>
      </c>
      <c r="X11" s="20">
        <f>IF(Dienstplan!X163="","",Dienstplan!X163)</f>
        <v/>
      </c>
      <c r="Y11" s="20">
        <f>IF(Dienstplan!Y163="","",Dienstplan!Y163)</f>
        <v/>
      </c>
      <c r="Z11" s="17">
        <f>IF(Dienstplan!Z163="","",Dienstplan!Z163)</f>
        <v/>
      </c>
      <c r="AA11" s="17">
        <f>IF(Dienstplan!AA163="","",Dienstplan!AA163)</f>
        <v/>
      </c>
      <c r="AB11" s="20">
        <f>IF(Dienstplan!AB163="","",Dienstplan!AB163)</f>
        <v/>
      </c>
      <c r="AC11" s="20">
        <f>IF(Dienstplan!AC163="","",Dienstplan!AC163)</f>
        <v/>
      </c>
      <c r="AD11" s="20">
        <f>IF(Dienstplan!AD163="","",Dienstplan!AD163)</f>
        <v/>
      </c>
      <c r="AE11" s="30">
        <f>IF(Dienstplan!AE163="","",Dienstplan!AE163)</f>
        <v/>
      </c>
    </row>
    <row r="12" ht="16" customHeight="1">
      <c r="A12" s="43" t="inlineStr">
        <is>
          <t>Behrendt</t>
        </is>
      </c>
      <c r="B12" s="18">
        <f>IF(Dienstplan!B164="","",Dienstplan!B164)</f>
        <v/>
      </c>
      <c r="C12" s="18">
        <f>IF(Dienstplan!C164="","",Dienstplan!C164)</f>
        <v/>
      </c>
      <c r="D12" s="18">
        <f>IF(Dienstplan!D164="","",Dienstplan!D164)</f>
        <v/>
      </c>
      <c r="E12" s="17">
        <f>IF(Dienstplan!E164="","",Dienstplan!E164)</f>
        <v/>
      </c>
      <c r="F12" s="17">
        <f>IF(Dienstplan!F164="","",Dienstplan!F164)</f>
        <v/>
      </c>
      <c r="G12" s="18">
        <f>IF(Dienstplan!G164="","",Dienstplan!G164)</f>
        <v/>
      </c>
      <c r="H12" s="18">
        <f>IF(Dienstplan!H164="","",Dienstplan!H164)</f>
        <v/>
      </c>
      <c r="I12" s="18">
        <f>IF(Dienstplan!I164="","",Dienstplan!I164)</f>
        <v/>
      </c>
      <c r="J12" s="18">
        <f>IF(Dienstplan!J164="","",Dienstplan!J164)</f>
        <v/>
      </c>
      <c r="K12" s="18">
        <f>IF(Dienstplan!K164="","",Dienstplan!K164)</f>
        <v/>
      </c>
      <c r="L12" s="17">
        <f>IF(Dienstplan!L164="","",Dienstplan!L164)</f>
        <v/>
      </c>
      <c r="M12" s="17">
        <f>IF(Dienstplan!M164="","",Dienstplan!M164)</f>
        <v/>
      </c>
      <c r="N12" s="18">
        <f>IF(Dienstplan!N164="","",Dienstplan!N164)</f>
        <v/>
      </c>
      <c r="O12" s="18">
        <f>IF(Dienstplan!O164="","",Dienstplan!O164)</f>
        <v/>
      </c>
      <c r="P12" s="18">
        <f>IF(Dienstplan!P164="","",Dienstplan!P164)</f>
        <v/>
      </c>
      <c r="Q12" s="18">
        <f>IF(Dienstplan!Q164="","",Dienstplan!Q164)</f>
        <v/>
      </c>
      <c r="R12" s="18">
        <f>IF(Dienstplan!R164="","",Dienstplan!R164)</f>
        <v/>
      </c>
      <c r="S12" s="17">
        <f>IF(Dienstplan!S164="","",Dienstplan!S164)</f>
        <v/>
      </c>
      <c r="T12" s="17">
        <f>IF(Dienstplan!T164="","",Dienstplan!T164)</f>
        <v/>
      </c>
      <c r="U12" s="18">
        <f>IF(Dienstplan!U164="","",Dienstplan!U164)</f>
        <v/>
      </c>
      <c r="V12" s="18">
        <f>IF(Dienstplan!V164="","",Dienstplan!V164)</f>
        <v/>
      </c>
      <c r="W12" s="18">
        <f>IF(Dienstplan!W164="","",Dienstplan!W164)</f>
        <v/>
      </c>
      <c r="X12" s="18">
        <f>IF(Dienstplan!X164="","",Dienstplan!X164)</f>
        <v/>
      </c>
      <c r="Y12" s="18">
        <f>IF(Dienstplan!Y164="","",Dienstplan!Y164)</f>
        <v/>
      </c>
      <c r="Z12" s="17">
        <f>IF(Dienstplan!Z164="","",Dienstplan!Z164)</f>
        <v/>
      </c>
      <c r="AA12" s="17">
        <f>IF(Dienstplan!AA164="","",Dienstplan!AA164)</f>
        <v/>
      </c>
      <c r="AB12" s="18">
        <f>IF(Dienstplan!AB164="","",Dienstplan!AB164)</f>
        <v/>
      </c>
      <c r="AC12" s="18">
        <f>IF(Dienstplan!AC164="","",Dienstplan!AC164)</f>
        <v/>
      </c>
      <c r="AD12" s="18">
        <f>IF(Dienstplan!AD164="","",Dienstplan!AD164)</f>
        <v/>
      </c>
      <c r="AE12" s="29">
        <f>IF(Dienstplan!AE164="","",Dienstplan!AE164)</f>
        <v/>
      </c>
    </row>
    <row r="13" ht="16" customHeight="1">
      <c r="A13" s="43" t="inlineStr">
        <is>
          <t>Krempl</t>
        </is>
      </c>
      <c r="B13" s="20">
        <f>IF(Dienstplan!B165="","",Dienstplan!B165)</f>
        <v/>
      </c>
      <c r="C13" s="20">
        <f>IF(Dienstplan!C165="","",Dienstplan!C165)</f>
        <v/>
      </c>
      <c r="D13" s="20">
        <f>IF(Dienstplan!D165="","",Dienstplan!D165)</f>
        <v/>
      </c>
      <c r="E13" s="17">
        <f>IF(Dienstplan!E165="","",Dienstplan!E165)</f>
        <v/>
      </c>
      <c r="F13" s="17">
        <f>IF(Dienstplan!F165="","",Dienstplan!F165)</f>
        <v/>
      </c>
      <c r="G13" s="20">
        <f>IF(Dienstplan!G165="","",Dienstplan!G165)</f>
        <v/>
      </c>
      <c r="H13" s="20">
        <f>IF(Dienstplan!H165="","",Dienstplan!H165)</f>
        <v/>
      </c>
      <c r="I13" s="20">
        <f>IF(Dienstplan!I165="","",Dienstplan!I165)</f>
        <v/>
      </c>
      <c r="J13" s="20">
        <f>IF(Dienstplan!J165="","",Dienstplan!J165)</f>
        <v/>
      </c>
      <c r="K13" s="20">
        <f>IF(Dienstplan!K165="","",Dienstplan!K165)</f>
        <v/>
      </c>
      <c r="L13" s="17">
        <f>IF(Dienstplan!L165="","",Dienstplan!L165)</f>
        <v/>
      </c>
      <c r="M13" s="17">
        <f>IF(Dienstplan!M165="","",Dienstplan!M165)</f>
        <v/>
      </c>
      <c r="N13" s="20">
        <f>IF(Dienstplan!N165="","",Dienstplan!N165)</f>
        <v/>
      </c>
      <c r="O13" s="20">
        <f>IF(Dienstplan!O165="","",Dienstplan!O165)</f>
        <v/>
      </c>
      <c r="P13" s="20">
        <f>IF(Dienstplan!P165="","",Dienstplan!P165)</f>
        <v/>
      </c>
      <c r="Q13" s="20">
        <f>IF(Dienstplan!Q165="","",Dienstplan!Q165)</f>
        <v/>
      </c>
      <c r="R13" s="20">
        <f>IF(Dienstplan!R165="","",Dienstplan!R165)</f>
        <v/>
      </c>
      <c r="S13" s="17">
        <f>IF(Dienstplan!S165="","",Dienstplan!S165)</f>
        <v/>
      </c>
      <c r="T13" s="17">
        <f>IF(Dienstplan!T165="","",Dienstplan!T165)</f>
        <v/>
      </c>
      <c r="U13" s="20">
        <f>IF(Dienstplan!U165="","",Dienstplan!U165)</f>
        <v/>
      </c>
      <c r="V13" s="20">
        <f>IF(Dienstplan!V165="","",Dienstplan!V165)</f>
        <v/>
      </c>
      <c r="W13" s="20">
        <f>IF(Dienstplan!W165="","",Dienstplan!W165)</f>
        <v/>
      </c>
      <c r="X13" s="20">
        <f>IF(Dienstplan!X165="","",Dienstplan!X165)</f>
        <v/>
      </c>
      <c r="Y13" s="20">
        <f>IF(Dienstplan!Y165="","",Dienstplan!Y165)</f>
        <v/>
      </c>
      <c r="Z13" s="17">
        <f>IF(Dienstplan!Z165="","",Dienstplan!Z165)</f>
        <v/>
      </c>
      <c r="AA13" s="17">
        <f>IF(Dienstplan!AA165="","",Dienstplan!AA165)</f>
        <v/>
      </c>
      <c r="AB13" s="20">
        <f>IF(Dienstplan!AB165="","",Dienstplan!AB165)</f>
        <v/>
      </c>
      <c r="AC13" s="20">
        <f>IF(Dienstplan!AC165="","",Dienstplan!AC165)</f>
        <v/>
      </c>
      <c r="AD13" s="20">
        <f>IF(Dienstplan!AD165="","",Dienstplan!AD165)</f>
        <v/>
      </c>
      <c r="AE13" s="30">
        <f>IF(Dienstplan!AE165="","",Dienstplan!AE165)</f>
        <v/>
      </c>
    </row>
    <row r="14" ht="16" customHeight="1">
      <c r="A14" s="43" t="inlineStr">
        <is>
          <t>Putschler</t>
        </is>
      </c>
      <c r="B14" s="18">
        <f>IF(Dienstplan!B166="","",Dienstplan!B166)</f>
        <v/>
      </c>
      <c r="C14" s="18">
        <f>IF(Dienstplan!C166="","",Dienstplan!C166)</f>
        <v/>
      </c>
      <c r="D14" s="18">
        <f>IF(Dienstplan!D166="","",Dienstplan!D166)</f>
        <v/>
      </c>
      <c r="E14" s="17">
        <f>IF(Dienstplan!E166="","",Dienstplan!E166)</f>
        <v/>
      </c>
      <c r="F14" s="17">
        <f>IF(Dienstplan!F166="","",Dienstplan!F166)</f>
        <v/>
      </c>
      <c r="G14" s="18">
        <f>IF(Dienstplan!G166="","",Dienstplan!G166)</f>
        <v/>
      </c>
      <c r="H14" s="18">
        <f>IF(Dienstplan!H166="","",Dienstplan!H166)</f>
        <v/>
      </c>
      <c r="I14" s="18">
        <f>IF(Dienstplan!I166="","",Dienstplan!I166)</f>
        <v/>
      </c>
      <c r="J14" s="18">
        <f>IF(Dienstplan!J166="","",Dienstplan!J166)</f>
        <v/>
      </c>
      <c r="K14" s="18">
        <f>IF(Dienstplan!K166="","",Dienstplan!K166)</f>
        <v/>
      </c>
      <c r="L14" s="17">
        <f>IF(Dienstplan!L166="","",Dienstplan!L166)</f>
        <v/>
      </c>
      <c r="M14" s="17">
        <f>IF(Dienstplan!M166="","",Dienstplan!M166)</f>
        <v/>
      </c>
      <c r="N14" s="18">
        <f>IF(Dienstplan!N166="","",Dienstplan!N166)</f>
        <v/>
      </c>
      <c r="O14" s="18">
        <f>IF(Dienstplan!O166="","",Dienstplan!O166)</f>
        <v/>
      </c>
      <c r="P14" s="18">
        <f>IF(Dienstplan!P166="","",Dienstplan!P166)</f>
        <v/>
      </c>
      <c r="Q14" s="18">
        <f>IF(Dienstplan!Q166="","",Dienstplan!Q166)</f>
        <v/>
      </c>
      <c r="R14" s="18">
        <f>IF(Dienstplan!R166="","",Dienstplan!R166)</f>
        <v/>
      </c>
      <c r="S14" s="17">
        <f>IF(Dienstplan!S166="","",Dienstplan!S166)</f>
        <v/>
      </c>
      <c r="T14" s="17">
        <f>IF(Dienstplan!T166="","",Dienstplan!T166)</f>
        <v/>
      </c>
      <c r="U14" s="18">
        <f>IF(Dienstplan!U166="","",Dienstplan!U166)</f>
        <v/>
      </c>
      <c r="V14" s="18">
        <f>IF(Dienstplan!V166="","",Dienstplan!V166)</f>
        <v/>
      </c>
      <c r="W14" s="18">
        <f>IF(Dienstplan!W166="","",Dienstplan!W166)</f>
        <v/>
      </c>
      <c r="X14" s="18">
        <f>IF(Dienstplan!X166="","",Dienstplan!X166)</f>
        <v/>
      </c>
      <c r="Y14" s="18">
        <f>IF(Dienstplan!Y166="","",Dienstplan!Y166)</f>
        <v/>
      </c>
      <c r="Z14" s="17">
        <f>IF(Dienstplan!Z166="","",Dienstplan!Z166)</f>
        <v/>
      </c>
      <c r="AA14" s="17">
        <f>IF(Dienstplan!AA166="","",Dienstplan!AA166)</f>
        <v/>
      </c>
      <c r="AB14" s="18">
        <f>IF(Dienstplan!AB166="","",Dienstplan!AB166)</f>
        <v/>
      </c>
      <c r="AC14" s="18">
        <f>IF(Dienstplan!AC166="","",Dienstplan!AC166)</f>
        <v/>
      </c>
      <c r="AD14" s="18">
        <f>IF(Dienstplan!AD166="","",Dienstplan!AD166)</f>
        <v/>
      </c>
      <c r="AE14" s="29">
        <f>IF(Dienstplan!AE166="","",Dienstplan!AE166)</f>
        <v/>
      </c>
    </row>
    <row r="15" ht="16" customHeight="1">
      <c r="A15" s="43" t="inlineStr">
        <is>
          <t>Kunz</t>
        </is>
      </c>
      <c r="B15" s="20">
        <f>IF(Dienstplan!B167="","",Dienstplan!B167)</f>
        <v/>
      </c>
      <c r="C15" s="20">
        <f>IF(Dienstplan!C167="","",Dienstplan!C167)</f>
        <v/>
      </c>
      <c r="D15" s="20">
        <f>IF(Dienstplan!D167="","",Dienstplan!D167)</f>
        <v/>
      </c>
      <c r="E15" s="17">
        <f>IF(Dienstplan!E167="","",Dienstplan!E167)</f>
        <v/>
      </c>
      <c r="F15" s="17">
        <f>IF(Dienstplan!F167="","",Dienstplan!F167)</f>
        <v/>
      </c>
      <c r="G15" s="20">
        <f>IF(Dienstplan!G167="","",Dienstplan!G167)</f>
        <v/>
      </c>
      <c r="H15" s="20">
        <f>IF(Dienstplan!H167="","",Dienstplan!H167)</f>
        <v/>
      </c>
      <c r="I15" s="20">
        <f>IF(Dienstplan!I167="","",Dienstplan!I167)</f>
        <v/>
      </c>
      <c r="J15" s="20">
        <f>IF(Dienstplan!J167="","",Dienstplan!J167)</f>
        <v/>
      </c>
      <c r="K15" s="20">
        <f>IF(Dienstplan!K167="","",Dienstplan!K167)</f>
        <v/>
      </c>
      <c r="L15" s="17">
        <f>IF(Dienstplan!L167="","",Dienstplan!L167)</f>
        <v/>
      </c>
      <c r="M15" s="17">
        <f>IF(Dienstplan!M167="","",Dienstplan!M167)</f>
        <v/>
      </c>
      <c r="N15" s="20">
        <f>IF(Dienstplan!N167="","",Dienstplan!N167)</f>
        <v/>
      </c>
      <c r="O15" s="20">
        <f>IF(Dienstplan!O167="","",Dienstplan!O167)</f>
        <v/>
      </c>
      <c r="P15" s="20">
        <f>IF(Dienstplan!P167="","",Dienstplan!P167)</f>
        <v/>
      </c>
      <c r="Q15" s="20">
        <f>IF(Dienstplan!Q167="","",Dienstplan!Q167)</f>
        <v/>
      </c>
      <c r="R15" s="20">
        <f>IF(Dienstplan!R167="","",Dienstplan!R167)</f>
        <v/>
      </c>
      <c r="S15" s="17">
        <f>IF(Dienstplan!S167="","",Dienstplan!S167)</f>
        <v/>
      </c>
      <c r="T15" s="17">
        <f>IF(Dienstplan!T167="","",Dienstplan!T167)</f>
        <v/>
      </c>
      <c r="U15" s="20">
        <f>IF(Dienstplan!U167="","",Dienstplan!U167)</f>
        <v/>
      </c>
      <c r="V15" s="20">
        <f>IF(Dienstplan!V167="","",Dienstplan!V167)</f>
        <v/>
      </c>
      <c r="W15" s="20">
        <f>IF(Dienstplan!W167="","",Dienstplan!W167)</f>
        <v/>
      </c>
      <c r="X15" s="20">
        <f>IF(Dienstplan!X167="","",Dienstplan!X167)</f>
        <v/>
      </c>
      <c r="Y15" s="20">
        <f>IF(Dienstplan!Y167="","",Dienstplan!Y167)</f>
        <v/>
      </c>
      <c r="Z15" s="17">
        <f>IF(Dienstplan!Z167="","",Dienstplan!Z167)</f>
        <v/>
      </c>
      <c r="AA15" s="17">
        <f>IF(Dienstplan!AA167="","",Dienstplan!AA167)</f>
        <v/>
      </c>
      <c r="AB15" s="20">
        <f>IF(Dienstplan!AB167="","",Dienstplan!AB167)</f>
        <v/>
      </c>
      <c r="AC15" s="20">
        <f>IF(Dienstplan!AC167="","",Dienstplan!AC167)</f>
        <v/>
      </c>
      <c r="AD15" s="20">
        <f>IF(Dienstplan!AD167="","",Dienstplan!AD167)</f>
        <v/>
      </c>
      <c r="AE15" s="30">
        <f>IF(Dienstplan!AE167="","",Dienstplan!AE167)</f>
        <v/>
      </c>
    </row>
    <row r="16" hidden="1" ht="16" customHeight="1">
      <c r="A16" s="44" t="inlineStr">
        <is>
          <t>Schmidt</t>
        </is>
      </c>
      <c r="B16" s="18">
        <f>IF(Dienstplan!B168="","",Dienstplan!B168)</f>
        <v/>
      </c>
      <c r="C16" s="18">
        <f>IF(Dienstplan!C168="","",Dienstplan!C168)</f>
        <v/>
      </c>
      <c r="D16" s="18">
        <f>IF(Dienstplan!D168="","",Dienstplan!D168)</f>
        <v/>
      </c>
      <c r="E16" s="17">
        <f>IF(Dienstplan!E168="","",Dienstplan!E168)</f>
        <v/>
      </c>
      <c r="F16" s="17">
        <f>IF(Dienstplan!F168="","",Dienstplan!F168)</f>
        <v/>
      </c>
      <c r="G16" s="18">
        <f>IF(Dienstplan!G168="","",Dienstplan!G168)</f>
        <v/>
      </c>
      <c r="H16" s="18">
        <f>IF(Dienstplan!H168="","",Dienstplan!H168)</f>
        <v/>
      </c>
      <c r="I16" s="18">
        <f>IF(Dienstplan!I168="","",Dienstplan!I168)</f>
        <v/>
      </c>
      <c r="J16" s="18">
        <f>IF(Dienstplan!J168="","",Dienstplan!J168)</f>
        <v/>
      </c>
      <c r="K16" s="18">
        <f>IF(Dienstplan!K168="","",Dienstplan!K168)</f>
        <v/>
      </c>
      <c r="L16" s="17">
        <f>IF(Dienstplan!L168="","",Dienstplan!L168)</f>
        <v/>
      </c>
      <c r="M16" s="17">
        <f>IF(Dienstplan!M168="","",Dienstplan!M168)</f>
        <v/>
      </c>
      <c r="N16" s="18">
        <f>IF(Dienstplan!N168="","",Dienstplan!N168)</f>
        <v/>
      </c>
      <c r="O16" s="18">
        <f>IF(Dienstplan!O168="","",Dienstplan!O168)</f>
        <v/>
      </c>
      <c r="P16" s="18">
        <f>IF(Dienstplan!P168="","",Dienstplan!P168)</f>
        <v/>
      </c>
      <c r="Q16" s="18">
        <f>IF(Dienstplan!Q168="","",Dienstplan!Q168)</f>
        <v/>
      </c>
      <c r="R16" s="18">
        <f>IF(Dienstplan!R168="","",Dienstplan!R168)</f>
        <v/>
      </c>
      <c r="S16" s="17">
        <f>IF(Dienstplan!S168="","",Dienstplan!S168)</f>
        <v/>
      </c>
      <c r="T16" s="17">
        <f>IF(Dienstplan!T168="","",Dienstplan!T168)</f>
        <v/>
      </c>
      <c r="U16" s="18">
        <f>IF(Dienstplan!U168="","",Dienstplan!U168)</f>
        <v/>
      </c>
      <c r="V16" s="18">
        <f>IF(Dienstplan!V168="","",Dienstplan!V168)</f>
        <v/>
      </c>
      <c r="W16" s="18">
        <f>IF(Dienstplan!W168="","",Dienstplan!W168)</f>
        <v/>
      </c>
      <c r="X16" s="18">
        <f>IF(Dienstplan!X168="","",Dienstplan!X168)</f>
        <v/>
      </c>
      <c r="Y16" s="18">
        <f>IF(Dienstplan!Y168="","",Dienstplan!Y168)</f>
        <v/>
      </c>
      <c r="Z16" s="17">
        <f>IF(Dienstplan!Z168="","",Dienstplan!Z168)</f>
        <v/>
      </c>
      <c r="AA16" s="17">
        <f>IF(Dienstplan!AA168="","",Dienstplan!AA168)</f>
        <v/>
      </c>
      <c r="AB16" s="18">
        <f>IF(Dienstplan!AB168="","",Dienstplan!AB168)</f>
        <v/>
      </c>
      <c r="AC16" s="18">
        <f>IF(Dienstplan!AC168="","",Dienstplan!AC168)</f>
        <v/>
      </c>
      <c r="AD16" s="18">
        <f>IF(Dienstplan!AD168="","",Dienstplan!AD168)</f>
        <v/>
      </c>
      <c r="AE16" s="29">
        <f>IF(Dienstplan!AE168="","",Dienstplan!AE168)</f>
        <v/>
      </c>
    </row>
    <row r="17" hidden="1" ht="16" customHeight="1">
      <c r="A17" s="44" t="inlineStr">
        <is>
          <t>Radimersky</t>
        </is>
      </c>
      <c r="B17" s="20">
        <f>IF(Dienstplan!B169="","",Dienstplan!B169)</f>
        <v/>
      </c>
      <c r="C17" s="20">
        <f>IF(Dienstplan!C169="","",Dienstplan!C169)</f>
        <v/>
      </c>
      <c r="D17" s="20">
        <f>IF(Dienstplan!D169="","",Dienstplan!D169)</f>
        <v/>
      </c>
      <c r="E17" s="17">
        <f>IF(Dienstplan!E169="","",Dienstplan!E169)</f>
        <v/>
      </c>
      <c r="F17" s="17">
        <f>IF(Dienstplan!F169="","",Dienstplan!F169)</f>
        <v/>
      </c>
      <c r="G17" s="20">
        <f>IF(Dienstplan!G169="","",Dienstplan!G169)</f>
        <v/>
      </c>
      <c r="H17" s="20">
        <f>IF(Dienstplan!H169="","",Dienstplan!H169)</f>
        <v/>
      </c>
      <c r="I17" s="20">
        <f>IF(Dienstplan!I169="","",Dienstplan!I169)</f>
        <v/>
      </c>
      <c r="J17" s="20">
        <f>IF(Dienstplan!J169="","",Dienstplan!J169)</f>
        <v/>
      </c>
      <c r="K17" s="20">
        <f>IF(Dienstplan!K169="","",Dienstplan!K169)</f>
        <v/>
      </c>
      <c r="L17" s="17">
        <f>IF(Dienstplan!L169="","",Dienstplan!L169)</f>
        <v/>
      </c>
      <c r="M17" s="17">
        <f>IF(Dienstplan!M169="","",Dienstplan!M169)</f>
        <v/>
      </c>
      <c r="N17" s="20">
        <f>IF(Dienstplan!N169="","",Dienstplan!N169)</f>
        <v/>
      </c>
      <c r="O17" s="20">
        <f>IF(Dienstplan!O169="","",Dienstplan!O169)</f>
        <v/>
      </c>
      <c r="P17" s="20">
        <f>IF(Dienstplan!P169="","",Dienstplan!P169)</f>
        <v/>
      </c>
      <c r="Q17" s="20">
        <f>IF(Dienstplan!Q169="","",Dienstplan!Q169)</f>
        <v/>
      </c>
      <c r="R17" s="20">
        <f>IF(Dienstplan!R169="","",Dienstplan!R169)</f>
        <v/>
      </c>
      <c r="S17" s="17">
        <f>IF(Dienstplan!S169="","",Dienstplan!S169)</f>
        <v/>
      </c>
      <c r="T17" s="17">
        <f>IF(Dienstplan!T169="","",Dienstplan!T169)</f>
        <v/>
      </c>
      <c r="U17" s="20">
        <f>IF(Dienstplan!U169="","",Dienstplan!U169)</f>
        <v/>
      </c>
      <c r="V17" s="20">
        <f>IF(Dienstplan!V169="","",Dienstplan!V169)</f>
        <v/>
      </c>
      <c r="W17" s="20">
        <f>IF(Dienstplan!W169="","",Dienstplan!W169)</f>
        <v/>
      </c>
      <c r="X17" s="20">
        <f>IF(Dienstplan!X169="","",Dienstplan!X169)</f>
        <v/>
      </c>
      <c r="Y17" s="20">
        <f>IF(Dienstplan!Y169="","",Dienstplan!Y169)</f>
        <v/>
      </c>
      <c r="Z17" s="17">
        <f>IF(Dienstplan!Z169="","",Dienstplan!Z169)</f>
        <v/>
      </c>
      <c r="AA17" s="17">
        <f>IF(Dienstplan!AA169="","",Dienstplan!AA169)</f>
        <v/>
      </c>
      <c r="AB17" s="20">
        <f>IF(Dienstplan!AB169="","",Dienstplan!AB169)</f>
        <v/>
      </c>
      <c r="AC17" s="20">
        <f>IF(Dienstplan!AC169="","",Dienstplan!AC169)</f>
        <v/>
      </c>
      <c r="AD17" s="20">
        <f>IF(Dienstplan!AD169="","",Dienstplan!AD169)</f>
        <v/>
      </c>
      <c r="AE17" s="30">
        <f>IF(Dienstplan!AE169="","",Dienstplan!AE169)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IF(AND(COUNTIF(B6:B17,"FI")&gt;0,COUNTIF(B6:B17,"SI")&gt;0,COUNTIF(B6:B17,"NI")&gt;0),"","!")</f>
        <v/>
      </c>
      <c r="C18" s="23">
        <f>IF(AND(COUNTIF(C6:C17,"FI")&gt;0,COUNTIF(C6:C17,"SI")&gt;0,COUNTIF(C6:C17,"NI")&gt;0),"","!")</f>
        <v/>
      </c>
      <c r="D18" s="23">
        <f>IF(AND(COUNTIF(D6:D17,"FI")&gt;0,COUNTIF(D6:D17,"SI")&gt;0),"","!")</f>
        <v/>
      </c>
      <c r="E18" s="22" t="n"/>
      <c r="F18" s="22" t="n"/>
      <c r="G18" s="23">
        <f>IF(AND(COUNTIF(G6:G17,"FI")&gt;0,COUNTIF(G6:G17,"SI")&gt;0,COUNTIF(G6:G17,"NI")&gt;0),"","!")</f>
        <v/>
      </c>
      <c r="H18" s="23">
        <f>IF(AND(COUNTIF(H6:H17,"FI")&gt;0,COUNTIF(H6:H17,"SI")&gt;0,COUNTIF(H6:H17,"NI")&gt;0),"","!")</f>
        <v/>
      </c>
      <c r="I18" s="23">
        <f>IF(AND(COUNTIF(I6:I17,"FI")&gt;0,COUNTIF(I6:I17,"SI")&gt;0,COUNTIF(I6:I17,"NI")&gt;0),"","!")</f>
        <v/>
      </c>
      <c r="J18" s="23">
        <f>IF(AND(COUNTIF(J6:J17,"FI")&gt;0,COUNTIF(J6:J17,"SI")&gt;0,COUNTIF(J6:J17,"NI")&gt;0),"","!")</f>
        <v/>
      </c>
      <c r="K18" s="23">
        <f>IF(AND(COUNTIF(K6:K17,"FI")&gt;0,COUNTIF(K6:K17,"SI")&gt;0),"","!")</f>
        <v/>
      </c>
      <c r="L18" s="22" t="n"/>
      <c r="M18" s="22" t="n"/>
      <c r="N18" s="23">
        <f>IF(AND(COUNTIF(N6:N17,"FI")&gt;0,COUNTIF(N6:N17,"SI")&gt;0,COUNTIF(N6:N17,"NI")&gt;0),"","!")</f>
        <v/>
      </c>
      <c r="O18" s="23">
        <f>IF(AND(COUNTIF(O6:O17,"FI")&gt;0,COUNTIF(O6:O17,"SI")&gt;0,COUNTIF(O6:O17,"NI")&gt;0),"","!")</f>
        <v/>
      </c>
      <c r="P18" s="23">
        <f>IF(AND(COUNTIF(P6:P17,"FI")&gt;0,COUNTIF(P6:P17,"SI")&gt;0,COUNTIF(P6:P17,"NI")&gt;0),"","!")</f>
        <v/>
      </c>
      <c r="Q18" s="23">
        <f>IF(AND(COUNTIF(Q6:Q17,"FI")&gt;0,COUNTIF(Q6:Q17,"SI")&gt;0,COUNTIF(Q6:Q17,"NI")&gt;0),"","!")</f>
        <v/>
      </c>
      <c r="R18" s="23">
        <f>IF(AND(COUNTIF(R6:R17,"FI")&gt;0,COUNTIF(R6:R17,"SI")&gt;0),"","!")</f>
        <v/>
      </c>
      <c r="S18" s="22" t="n"/>
      <c r="T18" s="22" t="n"/>
      <c r="U18" s="23">
        <f>IF(AND(COUNTIF(U6:U17,"FI")&gt;0,COUNTIF(U6:U17,"SI")&gt;0,COUNTIF(U6:U17,"NI")&gt;0),"","!")</f>
        <v/>
      </c>
      <c r="V18" s="23">
        <f>IF(AND(COUNTIF(V6:V17,"FI")&gt;0,COUNTIF(V6:V17,"SI")&gt;0,COUNTIF(V6:V17,"NI")&gt;0),"","!")</f>
        <v/>
      </c>
      <c r="W18" s="23">
        <f>IF(AND(COUNTIF(W6:W17,"FI")&gt;0,COUNTIF(W6:W17,"SI")&gt;0,COUNTIF(W6:W17,"NI")&gt;0),"","!")</f>
        <v/>
      </c>
      <c r="X18" s="23">
        <f>IF(AND(COUNTIF(X6:X17,"FI")&gt;0,COUNTIF(X6:X17,"SI")&gt;0,COUNTIF(X6:X17,"NI")&gt;0),"","!")</f>
        <v/>
      </c>
      <c r="Y18" s="23">
        <f>IF(AND(COUNTIF(Y6:Y17,"FI")&gt;0,COUNTIF(Y6:Y17,"SI")&gt;0),"","!")</f>
        <v/>
      </c>
      <c r="Z18" s="22" t="n"/>
      <c r="AA18" s="22" t="n"/>
      <c r="AB18" s="23">
        <f>IF(AND(COUNTIF(AB6:AB17,"FI")&gt;0,COUNTIF(AB6:AB17,"SI")&gt;0,COUNTIF(AB6:AB17,"NI")&gt;0),"","!")</f>
        <v/>
      </c>
      <c r="AC18" s="23">
        <f>IF(AND(COUNTIF(AC6:AC17,"FI")&gt;0,COUNTIF(AC6:AC17,"SI")&gt;0,COUNTIF(AC6:AC17,"NI")&gt;0),"","!")</f>
        <v/>
      </c>
      <c r="AD18" s="23">
        <f>IF(AND(COUNTIF(AD6:AD17,"FI")&gt;0,COUNTIF(AD6:AD17,"SI")&gt;0,COUNTIF(AD6:AD17,"NI")&gt;0),"","!")</f>
        <v/>
      </c>
      <c r="AE18" s="31">
        <f>IF(AND(COUNTIF(AE6:AE17,"FI")&gt;0,COUNTIF(AE6:AE17,"SI")&gt;0,COUNTIF(AE6:AE17,"NI")&gt;0),"","!")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B2:M2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E18">
    <cfRule type="cellIs" priority="1" operator="equal" dxfId="5" stopIfTrue="1">
      <formula>"!"</formula>
    </cfRule>
  </conditionalFormatting>
  <conditionalFormatting sqref="B6:AE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Oktober 2027</t>
        </is>
      </c>
      <c r="AC1" s="33" t="inlineStr">
        <is>
          <t>AT: 21   Sa: 5</t>
        </is>
      </c>
    </row>
    <row r="2">
      <c r="Z2" s="25" t="inlineStr">
        <is>
          <t>Herbstferien</t>
        </is>
      </c>
    </row>
    <row r="3" ht="18" customHeight="1">
      <c r="A3" s="34" t="inlineStr">
        <is>
          <t>Tag</t>
        </is>
      </c>
      <c r="B3" s="36" t="n">
        <v>1</v>
      </c>
      <c r="C3" s="35" t="n">
        <v>2</v>
      </c>
      <c r="D3" s="35" t="n">
        <v>3</v>
      </c>
      <c r="E3" s="36" t="n">
        <v>4</v>
      </c>
      <c r="F3" s="36" t="n">
        <v>5</v>
      </c>
      <c r="G3" s="36" t="n">
        <v>6</v>
      </c>
      <c r="H3" s="36" t="n">
        <v>7</v>
      </c>
      <c r="I3" s="36" t="n">
        <v>8</v>
      </c>
      <c r="J3" s="35" t="n">
        <v>9</v>
      </c>
      <c r="K3" s="35" t="n">
        <v>10</v>
      </c>
      <c r="L3" s="36" t="n">
        <v>11</v>
      </c>
      <c r="M3" s="36" t="n">
        <v>12</v>
      </c>
      <c r="N3" s="36" t="n">
        <v>13</v>
      </c>
      <c r="O3" s="36" t="n">
        <v>14</v>
      </c>
      <c r="P3" s="36" t="n">
        <v>15</v>
      </c>
      <c r="Q3" s="35" t="n">
        <v>16</v>
      </c>
      <c r="R3" s="35" t="n">
        <v>17</v>
      </c>
      <c r="S3" s="36" t="n">
        <v>18</v>
      </c>
      <c r="T3" s="36" t="n">
        <v>19</v>
      </c>
      <c r="U3" s="36" t="n">
        <v>20</v>
      </c>
      <c r="V3" s="36" t="n">
        <v>21</v>
      </c>
      <c r="W3" s="36" t="n">
        <v>22</v>
      </c>
      <c r="X3" s="35" t="n">
        <v>23</v>
      </c>
      <c r="Y3" s="35" t="n">
        <v>24</v>
      </c>
      <c r="Z3" s="36" t="n">
        <v>25</v>
      </c>
      <c r="AA3" s="36" t="n">
        <v>26</v>
      </c>
      <c r="AB3" s="36" t="n">
        <v>27</v>
      </c>
      <c r="AC3" s="36" t="n">
        <v>28</v>
      </c>
      <c r="AD3" s="36" t="n">
        <v>29</v>
      </c>
      <c r="AE3" s="35" t="n">
        <v>30</v>
      </c>
      <c r="AF3" s="37" t="n">
        <v>31</v>
      </c>
    </row>
    <row r="4" ht="18" customHeight="1">
      <c r="A4" s="9" t="inlineStr">
        <is>
          <t>WT</t>
        </is>
      </c>
      <c r="B4" s="14" t="inlineStr">
        <is>
          <t>Fr</t>
        </is>
      </c>
      <c r="C4" s="13" t="inlineStr">
        <is>
          <t>Sa</t>
        </is>
      </c>
      <c r="D4" s="13" t="inlineStr">
        <is>
          <t>So</t>
        </is>
      </c>
      <c r="E4" s="14" t="inlineStr">
        <is>
          <t>Mo</t>
        </is>
      </c>
      <c r="F4" s="14" t="inlineStr">
        <is>
          <t>Di</t>
        </is>
      </c>
      <c r="G4" s="14" t="inlineStr">
        <is>
          <t>Mi</t>
        </is>
      </c>
      <c r="H4" s="14" t="inlineStr">
        <is>
          <t>Do</t>
        </is>
      </c>
      <c r="I4" s="14" t="inlineStr">
        <is>
          <t>Fr</t>
        </is>
      </c>
      <c r="J4" s="13" t="inlineStr">
        <is>
          <t>Sa</t>
        </is>
      </c>
      <c r="K4" s="13" t="inlineStr">
        <is>
          <t>So</t>
        </is>
      </c>
      <c r="L4" s="14" t="inlineStr">
        <is>
          <t>Mo</t>
        </is>
      </c>
      <c r="M4" s="14" t="inlineStr">
        <is>
          <t>Di</t>
        </is>
      </c>
      <c r="N4" s="14" t="inlineStr">
        <is>
          <t>Mi</t>
        </is>
      </c>
      <c r="O4" s="14" t="inlineStr">
        <is>
          <t>Do</t>
        </is>
      </c>
      <c r="P4" s="14" t="inlineStr">
        <is>
          <t>Fr</t>
        </is>
      </c>
      <c r="Q4" s="13" t="inlineStr">
        <is>
          <t>Sa</t>
        </is>
      </c>
      <c r="R4" s="13" t="inlineStr">
        <is>
          <t>So</t>
        </is>
      </c>
      <c r="S4" s="14" t="inlineStr">
        <is>
          <t>Mo</t>
        </is>
      </c>
      <c r="T4" s="14" t="inlineStr">
        <is>
          <t>Di</t>
        </is>
      </c>
      <c r="U4" s="14" t="inlineStr">
        <is>
          <t>Mi</t>
        </is>
      </c>
      <c r="V4" s="14" t="inlineStr">
        <is>
          <t>Do</t>
        </is>
      </c>
      <c r="W4" s="14" t="inlineStr">
        <is>
          <t>Fr</t>
        </is>
      </c>
      <c r="X4" s="13" t="inlineStr">
        <is>
          <t>Sa</t>
        </is>
      </c>
      <c r="Y4" s="13" t="inlineStr">
        <is>
          <t>So</t>
        </is>
      </c>
      <c r="Z4" s="14" t="inlineStr">
        <is>
          <t>Mo</t>
        </is>
      </c>
      <c r="AA4" s="14" t="inlineStr">
        <is>
          <t>Di</t>
        </is>
      </c>
      <c r="AB4" s="14" t="inlineStr">
        <is>
          <t>Mi</t>
        </is>
      </c>
      <c r="AC4" s="14" t="inlineStr">
        <is>
          <t>Do</t>
        </is>
      </c>
      <c r="AD4" s="14" t="inlineStr">
        <is>
          <t>Fr</t>
        </is>
      </c>
      <c r="AE4" s="13" t="inlineStr">
        <is>
          <t>Sa</t>
        </is>
      </c>
      <c r="AF4" s="15" t="inlineStr">
        <is>
          <t>So</t>
        </is>
      </c>
    </row>
    <row r="5" ht="15" customHeight="1">
      <c r="A5" s="9" t="inlineStr">
        <is>
          <t>KW</t>
        </is>
      </c>
      <c r="B5" s="40" t="n">
        <v>39</v>
      </c>
      <c r="C5" s="39" t="n"/>
      <c r="D5" s="39" t="n"/>
      <c r="E5" s="40" t="n">
        <v>40</v>
      </c>
      <c r="F5" s="41" t="n"/>
      <c r="G5" s="41" t="n"/>
      <c r="H5" s="41" t="n"/>
      <c r="I5" s="41" t="n"/>
      <c r="J5" s="39" t="n"/>
      <c r="K5" s="39" t="n"/>
      <c r="L5" s="40" t="n">
        <v>41</v>
      </c>
      <c r="M5" s="41" t="n"/>
      <c r="N5" s="41" t="n"/>
      <c r="O5" s="41" t="n"/>
      <c r="P5" s="41" t="n"/>
      <c r="Q5" s="39" t="n"/>
      <c r="R5" s="39" t="n"/>
      <c r="S5" s="40" t="n">
        <v>42</v>
      </c>
      <c r="T5" s="41" t="n"/>
      <c r="U5" s="41" t="n"/>
      <c r="V5" s="41" t="n"/>
      <c r="W5" s="41" t="n"/>
      <c r="X5" s="39" t="n"/>
      <c r="Y5" s="39" t="n"/>
      <c r="Z5" s="40" t="n">
        <v>43</v>
      </c>
      <c r="AA5" s="41" t="n"/>
      <c r="AB5" s="41" t="n"/>
      <c r="AC5" s="41" t="n"/>
      <c r="AD5" s="41" t="n"/>
      <c r="AE5" s="39" t="n"/>
      <c r="AF5" s="42" t="n"/>
    </row>
    <row r="6" ht="16" customHeight="1">
      <c r="A6" s="43" t="inlineStr">
        <is>
          <t>Breig</t>
        </is>
      </c>
      <c r="B6" s="18">
        <f>IF(Dienstplan!B177="","",Dienstplan!B177)</f>
        <v/>
      </c>
      <c r="C6" s="17">
        <f>IF(Dienstplan!C177="","",Dienstplan!C177)</f>
        <v/>
      </c>
      <c r="D6" s="17">
        <f>IF(Dienstplan!D177="","",Dienstplan!D177)</f>
        <v/>
      </c>
      <c r="E6" s="18">
        <f>IF(Dienstplan!E177="","",Dienstplan!E177)</f>
        <v/>
      </c>
      <c r="F6" s="18">
        <f>IF(Dienstplan!F177="","",Dienstplan!F177)</f>
        <v/>
      </c>
      <c r="G6" s="18">
        <f>IF(Dienstplan!G177="","",Dienstplan!G177)</f>
        <v/>
      </c>
      <c r="H6" s="18">
        <f>IF(Dienstplan!H177="","",Dienstplan!H177)</f>
        <v/>
      </c>
      <c r="I6" s="18">
        <f>IF(Dienstplan!I177="","",Dienstplan!I177)</f>
        <v/>
      </c>
      <c r="J6" s="17">
        <f>IF(Dienstplan!J177="","",Dienstplan!J177)</f>
        <v/>
      </c>
      <c r="K6" s="17">
        <f>IF(Dienstplan!K177="","",Dienstplan!K177)</f>
        <v/>
      </c>
      <c r="L6" s="18">
        <f>IF(Dienstplan!L177="","",Dienstplan!L177)</f>
        <v/>
      </c>
      <c r="M6" s="18">
        <f>IF(Dienstplan!M177="","",Dienstplan!M177)</f>
        <v/>
      </c>
      <c r="N6" s="18">
        <f>IF(Dienstplan!N177="","",Dienstplan!N177)</f>
        <v/>
      </c>
      <c r="O6" s="18">
        <f>IF(Dienstplan!O177="","",Dienstplan!O177)</f>
        <v/>
      </c>
      <c r="P6" s="18">
        <f>IF(Dienstplan!P177="","",Dienstplan!P177)</f>
        <v/>
      </c>
      <c r="Q6" s="17">
        <f>IF(Dienstplan!Q177="","",Dienstplan!Q177)</f>
        <v/>
      </c>
      <c r="R6" s="17">
        <f>IF(Dienstplan!R177="","",Dienstplan!R177)</f>
        <v/>
      </c>
      <c r="S6" s="18">
        <f>IF(Dienstplan!S177="","",Dienstplan!S177)</f>
        <v/>
      </c>
      <c r="T6" s="18">
        <f>IF(Dienstplan!T177="","",Dienstplan!T177)</f>
        <v/>
      </c>
      <c r="U6" s="18">
        <f>IF(Dienstplan!U177="","",Dienstplan!U177)</f>
        <v/>
      </c>
      <c r="V6" s="18">
        <f>IF(Dienstplan!V177="","",Dienstplan!V177)</f>
        <v/>
      </c>
      <c r="W6" s="18">
        <f>IF(Dienstplan!W177="","",Dienstplan!W177)</f>
        <v/>
      </c>
      <c r="X6" s="17">
        <f>IF(Dienstplan!X177="","",Dienstplan!X177)</f>
        <v/>
      </c>
      <c r="Y6" s="17">
        <f>IF(Dienstplan!Y177="","",Dienstplan!Y177)</f>
        <v/>
      </c>
      <c r="Z6" s="18">
        <f>IF(Dienstplan!Z177="","",Dienstplan!Z177)</f>
        <v/>
      </c>
      <c r="AA6" s="18">
        <f>IF(Dienstplan!AA177="","",Dienstplan!AA177)</f>
        <v/>
      </c>
      <c r="AB6" s="18">
        <f>IF(Dienstplan!AB177="","",Dienstplan!AB177)</f>
        <v/>
      </c>
      <c r="AC6" s="18">
        <f>IF(Dienstplan!AC177="","",Dienstplan!AC177)</f>
        <v/>
      </c>
      <c r="AD6" s="18">
        <f>IF(Dienstplan!AD177="","",Dienstplan!AD177)</f>
        <v/>
      </c>
      <c r="AE6" s="17">
        <f>IF(Dienstplan!AE177="","",Dienstplan!AE177)</f>
        <v/>
      </c>
      <c r="AF6" s="19">
        <f>IF(Dienstplan!AF177="","",Dienstplan!AF177)</f>
        <v/>
      </c>
    </row>
    <row r="7" ht="16" customHeight="1">
      <c r="A7" s="43" t="inlineStr">
        <is>
          <t>Siebert</t>
        </is>
      </c>
      <c r="B7" s="20">
        <f>IF(Dienstplan!B178="","",Dienstplan!B178)</f>
        <v/>
      </c>
      <c r="C7" s="17">
        <f>IF(Dienstplan!C178="","",Dienstplan!C178)</f>
        <v/>
      </c>
      <c r="D7" s="17">
        <f>IF(Dienstplan!D178="","",Dienstplan!D178)</f>
        <v/>
      </c>
      <c r="E7" s="20">
        <f>IF(Dienstplan!E178="","",Dienstplan!E178)</f>
        <v/>
      </c>
      <c r="F7" s="20">
        <f>IF(Dienstplan!F178="","",Dienstplan!F178)</f>
        <v/>
      </c>
      <c r="G7" s="20">
        <f>IF(Dienstplan!G178="","",Dienstplan!G178)</f>
        <v/>
      </c>
      <c r="H7" s="20">
        <f>IF(Dienstplan!H178="","",Dienstplan!H178)</f>
        <v/>
      </c>
      <c r="I7" s="20">
        <f>IF(Dienstplan!I178="","",Dienstplan!I178)</f>
        <v/>
      </c>
      <c r="J7" s="17">
        <f>IF(Dienstplan!J178="","",Dienstplan!J178)</f>
        <v/>
      </c>
      <c r="K7" s="17">
        <f>IF(Dienstplan!K178="","",Dienstplan!K178)</f>
        <v/>
      </c>
      <c r="L7" s="20">
        <f>IF(Dienstplan!L178="","",Dienstplan!L178)</f>
        <v/>
      </c>
      <c r="M7" s="20">
        <f>IF(Dienstplan!M178="","",Dienstplan!M178)</f>
        <v/>
      </c>
      <c r="N7" s="20">
        <f>IF(Dienstplan!N178="","",Dienstplan!N178)</f>
        <v/>
      </c>
      <c r="O7" s="20">
        <f>IF(Dienstplan!O178="","",Dienstplan!O178)</f>
        <v/>
      </c>
      <c r="P7" s="20">
        <f>IF(Dienstplan!P178="","",Dienstplan!P178)</f>
        <v/>
      </c>
      <c r="Q7" s="17">
        <f>IF(Dienstplan!Q178="","",Dienstplan!Q178)</f>
        <v/>
      </c>
      <c r="R7" s="17">
        <f>IF(Dienstplan!R178="","",Dienstplan!R178)</f>
        <v/>
      </c>
      <c r="S7" s="20">
        <f>IF(Dienstplan!S178="","",Dienstplan!S178)</f>
        <v/>
      </c>
      <c r="T7" s="20">
        <f>IF(Dienstplan!T178="","",Dienstplan!T178)</f>
        <v/>
      </c>
      <c r="U7" s="20">
        <f>IF(Dienstplan!U178="","",Dienstplan!U178)</f>
        <v/>
      </c>
      <c r="V7" s="20">
        <f>IF(Dienstplan!V178="","",Dienstplan!V178)</f>
        <v/>
      </c>
      <c r="W7" s="20">
        <f>IF(Dienstplan!W178="","",Dienstplan!W178)</f>
        <v/>
      </c>
      <c r="X7" s="17">
        <f>IF(Dienstplan!X178="","",Dienstplan!X178)</f>
        <v/>
      </c>
      <c r="Y7" s="17">
        <f>IF(Dienstplan!Y178="","",Dienstplan!Y178)</f>
        <v/>
      </c>
      <c r="Z7" s="20">
        <f>IF(Dienstplan!Z178="","",Dienstplan!Z178)</f>
        <v/>
      </c>
      <c r="AA7" s="20">
        <f>IF(Dienstplan!AA178="","",Dienstplan!AA178)</f>
        <v/>
      </c>
      <c r="AB7" s="20">
        <f>IF(Dienstplan!AB178="","",Dienstplan!AB178)</f>
        <v/>
      </c>
      <c r="AC7" s="20">
        <f>IF(Dienstplan!AC178="","",Dienstplan!AC178)</f>
        <v/>
      </c>
      <c r="AD7" s="20">
        <f>IF(Dienstplan!AD178="","",Dienstplan!AD178)</f>
        <v/>
      </c>
      <c r="AE7" s="17">
        <f>IF(Dienstplan!AE178="","",Dienstplan!AE178)</f>
        <v/>
      </c>
      <c r="AF7" s="19">
        <f>IF(Dienstplan!AF178="","",Dienstplan!AF178)</f>
        <v/>
      </c>
    </row>
    <row r="8" ht="16" customHeight="1">
      <c r="A8" s="43" t="inlineStr">
        <is>
          <t>Jochim</t>
        </is>
      </c>
      <c r="B8" s="18">
        <f>IF(Dienstplan!B179="","",Dienstplan!B179)</f>
        <v/>
      </c>
      <c r="C8" s="17">
        <f>IF(Dienstplan!C179="","",Dienstplan!C179)</f>
        <v/>
      </c>
      <c r="D8" s="17">
        <f>IF(Dienstplan!D179="","",Dienstplan!D179)</f>
        <v/>
      </c>
      <c r="E8" s="18">
        <f>IF(Dienstplan!E179="","",Dienstplan!E179)</f>
        <v/>
      </c>
      <c r="F8" s="18">
        <f>IF(Dienstplan!F179="","",Dienstplan!F179)</f>
        <v/>
      </c>
      <c r="G8" s="18">
        <f>IF(Dienstplan!G179="","",Dienstplan!G179)</f>
        <v/>
      </c>
      <c r="H8" s="18">
        <f>IF(Dienstplan!H179="","",Dienstplan!H179)</f>
        <v/>
      </c>
      <c r="I8" s="18">
        <f>IF(Dienstplan!I179="","",Dienstplan!I179)</f>
        <v/>
      </c>
      <c r="J8" s="17">
        <f>IF(Dienstplan!J179="","",Dienstplan!J179)</f>
        <v/>
      </c>
      <c r="K8" s="17">
        <f>IF(Dienstplan!K179="","",Dienstplan!K179)</f>
        <v/>
      </c>
      <c r="L8" s="18">
        <f>IF(Dienstplan!L179="","",Dienstplan!L179)</f>
        <v/>
      </c>
      <c r="M8" s="18">
        <f>IF(Dienstplan!M179="","",Dienstplan!M179)</f>
        <v/>
      </c>
      <c r="N8" s="18">
        <f>IF(Dienstplan!N179="","",Dienstplan!N179)</f>
        <v/>
      </c>
      <c r="O8" s="18">
        <f>IF(Dienstplan!O179="","",Dienstplan!O179)</f>
        <v/>
      </c>
      <c r="P8" s="18">
        <f>IF(Dienstplan!P179="","",Dienstplan!P179)</f>
        <v/>
      </c>
      <c r="Q8" s="17">
        <f>IF(Dienstplan!Q179="","",Dienstplan!Q179)</f>
        <v/>
      </c>
      <c r="R8" s="17">
        <f>IF(Dienstplan!R179="","",Dienstplan!R179)</f>
        <v/>
      </c>
      <c r="S8" s="18">
        <f>IF(Dienstplan!S179="","",Dienstplan!S179)</f>
        <v/>
      </c>
      <c r="T8" s="18">
        <f>IF(Dienstplan!T179="","",Dienstplan!T179)</f>
        <v/>
      </c>
      <c r="U8" s="18">
        <f>IF(Dienstplan!U179="","",Dienstplan!U179)</f>
        <v/>
      </c>
      <c r="V8" s="18">
        <f>IF(Dienstplan!V179="","",Dienstplan!V179)</f>
        <v/>
      </c>
      <c r="W8" s="18">
        <f>IF(Dienstplan!W179="","",Dienstplan!W179)</f>
        <v/>
      </c>
      <c r="X8" s="17">
        <f>IF(Dienstplan!X179="","",Dienstplan!X179)</f>
        <v/>
      </c>
      <c r="Y8" s="17">
        <f>IF(Dienstplan!Y179="","",Dienstplan!Y179)</f>
        <v/>
      </c>
      <c r="Z8" s="18">
        <f>IF(Dienstplan!Z179="","",Dienstplan!Z179)</f>
        <v/>
      </c>
      <c r="AA8" s="18">
        <f>IF(Dienstplan!AA179="","",Dienstplan!AA179)</f>
        <v/>
      </c>
      <c r="AB8" s="18">
        <f>IF(Dienstplan!AB179="","",Dienstplan!AB179)</f>
        <v/>
      </c>
      <c r="AC8" s="18">
        <f>IF(Dienstplan!AC179="","",Dienstplan!AC179)</f>
        <v/>
      </c>
      <c r="AD8" s="18">
        <f>IF(Dienstplan!AD179="","",Dienstplan!AD179)</f>
        <v/>
      </c>
      <c r="AE8" s="17">
        <f>IF(Dienstplan!AE179="","",Dienstplan!AE179)</f>
        <v/>
      </c>
      <c r="AF8" s="19">
        <f>IF(Dienstplan!AF179="","",Dienstplan!AF179)</f>
        <v/>
      </c>
    </row>
    <row r="9" ht="16" customHeight="1">
      <c r="A9" s="43" t="inlineStr">
        <is>
          <t>Wunsch</t>
        </is>
      </c>
      <c r="B9" s="20">
        <f>IF(Dienstplan!B180="","",Dienstplan!B180)</f>
        <v/>
      </c>
      <c r="C9" s="17">
        <f>IF(Dienstplan!C180="","",Dienstplan!C180)</f>
        <v/>
      </c>
      <c r="D9" s="17">
        <f>IF(Dienstplan!D180="","",Dienstplan!D180)</f>
        <v/>
      </c>
      <c r="E9" s="20">
        <f>IF(Dienstplan!E180="","",Dienstplan!E180)</f>
        <v/>
      </c>
      <c r="F9" s="20">
        <f>IF(Dienstplan!F180="","",Dienstplan!F180)</f>
        <v/>
      </c>
      <c r="G9" s="20">
        <f>IF(Dienstplan!G180="","",Dienstplan!G180)</f>
        <v/>
      </c>
      <c r="H9" s="20">
        <f>IF(Dienstplan!H180="","",Dienstplan!H180)</f>
        <v/>
      </c>
      <c r="I9" s="20">
        <f>IF(Dienstplan!I180="","",Dienstplan!I180)</f>
        <v/>
      </c>
      <c r="J9" s="17">
        <f>IF(Dienstplan!J180="","",Dienstplan!J180)</f>
        <v/>
      </c>
      <c r="K9" s="17">
        <f>IF(Dienstplan!K180="","",Dienstplan!K180)</f>
        <v/>
      </c>
      <c r="L9" s="20">
        <f>IF(Dienstplan!L180="","",Dienstplan!L180)</f>
        <v/>
      </c>
      <c r="M9" s="20">
        <f>IF(Dienstplan!M180="","",Dienstplan!M180)</f>
        <v/>
      </c>
      <c r="N9" s="20">
        <f>IF(Dienstplan!N180="","",Dienstplan!N180)</f>
        <v/>
      </c>
      <c r="O9" s="20">
        <f>IF(Dienstplan!O180="","",Dienstplan!O180)</f>
        <v/>
      </c>
      <c r="P9" s="20">
        <f>IF(Dienstplan!P180="","",Dienstplan!P180)</f>
        <v/>
      </c>
      <c r="Q9" s="17">
        <f>IF(Dienstplan!Q180="","",Dienstplan!Q180)</f>
        <v/>
      </c>
      <c r="R9" s="17">
        <f>IF(Dienstplan!R180="","",Dienstplan!R180)</f>
        <v/>
      </c>
      <c r="S9" s="20">
        <f>IF(Dienstplan!S180="","",Dienstplan!S180)</f>
        <v/>
      </c>
      <c r="T9" s="20">
        <f>IF(Dienstplan!T180="","",Dienstplan!T180)</f>
        <v/>
      </c>
      <c r="U9" s="20">
        <f>IF(Dienstplan!U180="","",Dienstplan!U180)</f>
        <v/>
      </c>
      <c r="V9" s="20">
        <f>IF(Dienstplan!V180="","",Dienstplan!V180)</f>
        <v/>
      </c>
      <c r="W9" s="20">
        <f>IF(Dienstplan!W180="","",Dienstplan!W180)</f>
        <v/>
      </c>
      <c r="X9" s="17">
        <f>IF(Dienstplan!X180="","",Dienstplan!X180)</f>
        <v/>
      </c>
      <c r="Y9" s="17">
        <f>IF(Dienstplan!Y180="","",Dienstplan!Y180)</f>
        <v/>
      </c>
      <c r="Z9" s="20">
        <f>IF(Dienstplan!Z180="","",Dienstplan!Z180)</f>
        <v/>
      </c>
      <c r="AA9" s="20">
        <f>IF(Dienstplan!AA180="","",Dienstplan!AA180)</f>
        <v/>
      </c>
      <c r="AB9" s="20">
        <f>IF(Dienstplan!AB180="","",Dienstplan!AB180)</f>
        <v/>
      </c>
      <c r="AC9" s="20">
        <f>IF(Dienstplan!AC180="","",Dienstplan!AC180)</f>
        <v/>
      </c>
      <c r="AD9" s="20">
        <f>IF(Dienstplan!AD180="","",Dienstplan!AD180)</f>
        <v/>
      </c>
      <c r="AE9" s="17">
        <f>IF(Dienstplan!AE180="","",Dienstplan!AE180)</f>
        <v/>
      </c>
      <c r="AF9" s="19">
        <f>IF(Dienstplan!AF180="","",Dienstplan!AF180)</f>
        <v/>
      </c>
    </row>
    <row r="10" ht="16" customHeight="1">
      <c r="A10" s="43" t="inlineStr">
        <is>
          <t>Göpfrich</t>
        </is>
      </c>
      <c r="B10" s="18">
        <f>IF(Dienstplan!B181="","",Dienstplan!B181)</f>
        <v/>
      </c>
      <c r="C10" s="17">
        <f>IF(Dienstplan!C181="","",Dienstplan!C181)</f>
        <v/>
      </c>
      <c r="D10" s="17">
        <f>IF(Dienstplan!D181="","",Dienstplan!D181)</f>
        <v/>
      </c>
      <c r="E10" s="18">
        <f>IF(Dienstplan!E181="","",Dienstplan!E181)</f>
        <v/>
      </c>
      <c r="F10" s="18">
        <f>IF(Dienstplan!F181="","",Dienstplan!F181)</f>
        <v/>
      </c>
      <c r="G10" s="18">
        <f>IF(Dienstplan!G181="","",Dienstplan!G181)</f>
        <v/>
      </c>
      <c r="H10" s="18">
        <f>IF(Dienstplan!H181="","",Dienstplan!H181)</f>
        <v/>
      </c>
      <c r="I10" s="18">
        <f>IF(Dienstplan!I181="","",Dienstplan!I181)</f>
        <v/>
      </c>
      <c r="J10" s="17">
        <f>IF(Dienstplan!J181="","",Dienstplan!J181)</f>
        <v/>
      </c>
      <c r="K10" s="17">
        <f>IF(Dienstplan!K181="","",Dienstplan!K181)</f>
        <v/>
      </c>
      <c r="L10" s="18">
        <f>IF(Dienstplan!L181="","",Dienstplan!L181)</f>
        <v/>
      </c>
      <c r="M10" s="18">
        <f>IF(Dienstplan!M181="","",Dienstplan!M181)</f>
        <v/>
      </c>
      <c r="N10" s="18">
        <f>IF(Dienstplan!N181="","",Dienstplan!N181)</f>
        <v/>
      </c>
      <c r="O10" s="18">
        <f>IF(Dienstplan!O181="","",Dienstplan!O181)</f>
        <v/>
      </c>
      <c r="P10" s="18">
        <f>IF(Dienstplan!P181="","",Dienstplan!P181)</f>
        <v/>
      </c>
      <c r="Q10" s="17">
        <f>IF(Dienstplan!Q181="","",Dienstplan!Q181)</f>
        <v/>
      </c>
      <c r="R10" s="17">
        <f>IF(Dienstplan!R181="","",Dienstplan!R181)</f>
        <v/>
      </c>
      <c r="S10" s="18">
        <f>IF(Dienstplan!S181="","",Dienstplan!S181)</f>
        <v/>
      </c>
      <c r="T10" s="18">
        <f>IF(Dienstplan!T181="","",Dienstplan!T181)</f>
        <v/>
      </c>
      <c r="U10" s="18">
        <f>IF(Dienstplan!U181="","",Dienstplan!U181)</f>
        <v/>
      </c>
      <c r="V10" s="18">
        <f>IF(Dienstplan!V181="","",Dienstplan!V181)</f>
        <v/>
      </c>
      <c r="W10" s="18">
        <f>IF(Dienstplan!W181="","",Dienstplan!W181)</f>
        <v/>
      </c>
      <c r="X10" s="17">
        <f>IF(Dienstplan!X181="","",Dienstplan!X181)</f>
        <v/>
      </c>
      <c r="Y10" s="17">
        <f>IF(Dienstplan!Y181="","",Dienstplan!Y181)</f>
        <v/>
      </c>
      <c r="Z10" s="18">
        <f>IF(Dienstplan!Z181="","",Dienstplan!Z181)</f>
        <v/>
      </c>
      <c r="AA10" s="18">
        <f>IF(Dienstplan!AA181="","",Dienstplan!AA181)</f>
        <v/>
      </c>
      <c r="AB10" s="18">
        <f>IF(Dienstplan!AB181="","",Dienstplan!AB181)</f>
        <v/>
      </c>
      <c r="AC10" s="18">
        <f>IF(Dienstplan!AC181="","",Dienstplan!AC181)</f>
        <v/>
      </c>
      <c r="AD10" s="18">
        <f>IF(Dienstplan!AD181="","",Dienstplan!AD181)</f>
        <v/>
      </c>
      <c r="AE10" s="17">
        <f>IF(Dienstplan!AE181="","",Dienstplan!AE181)</f>
        <v/>
      </c>
      <c r="AF10" s="19">
        <f>IF(Dienstplan!AF181="","",Dienstplan!AF181)</f>
        <v/>
      </c>
    </row>
    <row r="11" ht="16" customHeight="1">
      <c r="A11" s="43" t="inlineStr">
        <is>
          <t>Zeller</t>
        </is>
      </c>
      <c r="B11" s="20">
        <f>IF(Dienstplan!B182="","",Dienstplan!B182)</f>
        <v/>
      </c>
      <c r="C11" s="17">
        <f>IF(Dienstplan!C182="","",Dienstplan!C182)</f>
        <v/>
      </c>
      <c r="D11" s="17">
        <f>IF(Dienstplan!D182="","",Dienstplan!D182)</f>
        <v/>
      </c>
      <c r="E11" s="20">
        <f>IF(Dienstplan!E182="","",Dienstplan!E182)</f>
        <v/>
      </c>
      <c r="F11" s="20">
        <f>IF(Dienstplan!F182="","",Dienstplan!F182)</f>
        <v/>
      </c>
      <c r="G11" s="20">
        <f>IF(Dienstplan!G182="","",Dienstplan!G182)</f>
        <v/>
      </c>
      <c r="H11" s="20">
        <f>IF(Dienstplan!H182="","",Dienstplan!H182)</f>
        <v/>
      </c>
      <c r="I11" s="20">
        <f>IF(Dienstplan!I182="","",Dienstplan!I182)</f>
        <v/>
      </c>
      <c r="J11" s="17">
        <f>IF(Dienstplan!J182="","",Dienstplan!J182)</f>
        <v/>
      </c>
      <c r="K11" s="17">
        <f>IF(Dienstplan!K182="","",Dienstplan!K182)</f>
        <v/>
      </c>
      <c r="L11" s="20">
        <f>IF(Dienstplan!L182="","",Dienstplan!L182)</f>
        <v/>
      </c>
      <c r="M11" s="20">
        <f>IF(Dienstplan!M182="","",Dienstplan!M182)</f>
        <v/>
      </c>
      <c r="N11" s="20">
        <f>IF(Dienstplan!N182="","",Dienstplan!N182)</f>
        <v/>
      </c>
      <c r="O11" s="20">
        <f>IF(Dienstplan!O182="","",Dienstplan!O182)</f>
        <v/>
      </c>
      <c r="P11" s="20">
        <f>IF(Dienstplan!P182="","",Dienstplan!P182)</f>
        <v/>
      </c>
      <c r="Q11" s="17">
        <f>IF(Dienstplan!Q182="","",Dienstplan!Q182)</f>
        <v/>
      </c>
      <c r="R11" s="17">
        <f>IF(Dienstplan!R182="","",Dienstplan!R182)</f>
        <v/>
      </c>
      <c r="S11" s="20">
        <f>IF(Dienstplan!S182="","",Dienstplan!S182)</f>
        <v/>
      </c>
      <c r="T11" s="20">
        <f>IF(Dienstplan!T182="","",Dienstplan!T182)</f>
        <v/>
      </c>
      <c r="U11" s="20">
        <f>IF(Dienstplan!U182="","",Dienstplan!U182)</f>
        <v/>
      </c>
      <c r="V11" s="20">
        <f>IF(Dienstplan!V182="","",Dienstplan!V182)</f>
        <v/>
      </c>
      <c r="W11" s="20">
        <f>IF(Dienstplan!W182="","",Dienstplan!W182)</f>
        <v/>
      </c>
      <c r="X11" s="17">
        <f>IF(Dienstplan!X182="","",Dienstplan!X182)</f>
        <v/>
      </c>
      <c r="Y11" s="17">
        <f>IF(Dienstplan!Y182="","",Dienstplan!Y182)</f>
        <v/>
      </c>
      <c r="Z11" s="20">
        <f>IF(Dienstplan!Z182="","",Dienstplan!Z182)</f>
        <v/>
      </c>
      <c r="AA11" s="20">
        <f>IF(Dienstplan!AA182="","",Dienstplan!AA182)</f>
        <v/>
      </c>
      <c r="AB11" s="20">
        <f>IF(Dienstplan!AB182="","",Dienstplan!AB182)</f>
        <v/>
      </c>
      <c r="AC11" s="20">
        <f>IF(Dienstplan!AC182="","",Dienstplan!AC182)</f>
        <v/>
      </c>
      <c r="AD11" s="20">
        <f>IF(Dienstplan!AD182="","",Dienstplan!AD182)</f>
        <v/>
      </c>
      <c r="AE11" s="17">
        <f>IF(Dienstplan!AE182="","",Dienstplan!AE182)</f>
        <v/>
      </c>
      <c r="AF11" s="19">
        <f>IF(Dienstplan!AF182="","",Dienstplan!AF182)</f>
        <v/>
      </c>
    </row>
    <row r="12" ht="16" customHeight="1">
      <c r="A12" s="43" t="inlineStr">
        <is>
          <t>Behrendt</t>
        </is>
      </c>
      <c r="B12" s="18">
        <f>IF(Dienstplan!B183="","",Dienstplan!B183)</f>
        <v/>
      </c>
      <c r="C12" s="17">
        <f>IF(Dienstplan!C183="","",Dienstplan!C183)</f>
        <v/>
      </c>
      <c r="D12" s="17">
        <f>IF(Dienstplan!D183="","",Dienstplan!D183)</f>
        <v/>
      </c>
      <c r="E12" s="18">
        <f>IF(Dienstplan!E183="","",Dienstplan!E183)</f>
        <v/>
      </c>
      <c r="F12" s="18">
        <f>IF(Dienstplan!F183="","",Dienstplan!F183)</f>
        <v/>
      </c>
      <c r="G12" s="18">
        <f>IF(Dienstplan!G183="","",Dienstplan!G183)</f>
        <v/>
      </c>
      <c r="H12" s="18">
        <f>IF(Dienstplan!H183="","",Dienstplan!H183)</f>
        <v/>
      </c>
      <c r="I12" s="18">
        <f>IF(Dienstplan!I183="","",Dienstplan!I183)</f>
        <v/>
      </c>
      <c r="J12" s="17">
        <f>IF(Dienstplan!J183="","",Dienstplan!J183)</f>
        <v/>
      </c>
      <c r="K12" s="17">
        <f>IF(Dienstplan!K183="","",Dienstplan!K183)</f>
        <v/>
      </c>
      <c r="L12" s="18">
        <f>IF(Dienstplan!L183="","",Dienstplan!L183)</f>
        <v/>
      </c>
      <c r="M12" s="18">
        <f>IF(Dienstplan!M183="","",Dienstplan!M183)</f>
        <v/>
      </c>
      <c r="N12" s="18">
        <f>IF(Dienstplan!N183="","",Dienstplan!N183)</f>
        <v/>
      </c>
      <c r="O12" s="18">
        <f>IF(Dienstplan!O183="","",Dienstplan!O183)</f>
        <v/>
      </c>
      <c r="P12" s="18">
        <f>IF(Dienstplan!P183="","",Dienstplan!P183)</f>
        <v/>
      </c>
      <c r="Q12" s="17">
        <f>IF(Dienstplan!Q183="","",Dienstplan!Q183)</f>
        <v/>
      </c>
      <c r="R12" s="17">
        <f>IF(Dienstplan!R183="","",Dienstplan!R183)</f>
        <v/>
      </c>
      <c r="S12" s="18">
        <f>IF(Dienstplan!S183="","",Dienstplan!S183)</f>
        <v/>
      </c>
      <c r="T12" s="18">
        <f>IF(Dienstplan!T183="","",Dienstplan!T183)</f>
        <v/>
      </c>
      <c r="U12" s="18">
        <f>IF(Dienstplan!U183="","",Dienstplan!U183)</f>
        <v/>
      </c>
      <c r="V12" s="18">
        <f>IF(Dienstplan!V183="","",Dienstplan!V183)</f>
        <v/>
      </c>
      <c r="W12" s="18">
        <f>IF(Dienstplan!W183="","",Dienstplan!W183)</f>
        <v/>
      </c>
      <c r="X12" s="17">
        <f>IF(Dienstplan!X183="","",Dienstplan!X183)</f>
        <v/>
      </c>
      <c r="Y12" s="17">
        <f>IF(Dienstplan!Y183="","",Dienstplan!Y183)</f>
        <v/>
      </c>
      <c r="Z12" s="18">
        <f>IF(Dienstplan!Z183="","",Dienstplan!Z183)</f>
        <v/>
      </c>
      <c r="AA12" s="18">
        <f>IF(Dienstplan!AA183="","",Dienstplan!AA183)</f>
        <v/>
      </c>
      <c r="AB12" s="18">
        <f>IF(Dienstplan!AB183="","",Dienstplan!AB183)</f>
        <v/>
      </c>
      <c r="AC12" s="18">
        <f>IF(Dienstplan!AC183="","",Dienstplan!AC183)</f>
        <v/>
      </c>
      <c r="AD12" s="18">
        <f>IF(Dienstplan!AD183="","",Dienstplan!AD183)</f>
        <v/>
      </c>
      <c r="AE12" s="17">
        <f>IF(Dienstplan!AE183="","",Dienstplan!AE183)</f>
        <v/>
      </c>
      <c r="AF12" s="19">
        <f>IF(Dienstplan!AF183="","",Dienstplan!AF183)</f>
        <v/>
      </c>
    </row>
    <row r="13" ht="16" customHeight="1">
      <c r="A13" s="43" t="inlineStr">
        <is>
          <t>Krempl</t>
        </is>
      </c>
      <c r="B13" s="20">
        <f>IF(Dienstplan!B184="","",Dienstplan!B184)</f>
        <v/>
      </c>
      <c r="C13" s="17">
        <f>IF(Dienstplan!C184="","",Dienstplan!C184)</f>
        <v/>
      </c>
      <c r="D13" s="17">
        <f>IF(Dienstplan!D184="","",Dienstplan!D184)</f>
        <v/>
      </c>
      <c r="E13" s="20">
        <f>IF(Dienstplan!E184="","",Dienstplan!E184)</f>
        <v/>
      </c>
      <c r="F13" s="20">
        <f>IF(Dienstplan!F184="","",Dienstplan!F184)</f>
        <v/>
      </c>
      <c r="G13" s="20">
        <f>IF(Dienstplan!G184="","",Dienstplan!G184)</f>
        <v/>
      </c>
      <c r="H13" s="20">
        <f>IF(Dienstplan!H184="","",Dienstplan!H184)</f>
        <v/>
      </c>
      <c r="I13" s="20">
        <f>IF(Dienstplan!I184="","",Dienstplan!I184)</f>
        <v/>
      </c>
      <c r="J13" s="17">
        <f>IF(Dienstplan!J184="","",Dienstplan!J184)</f>
        <v/>
      </c>
      <c r="K13" s="17">
        <f>IF(Dienstplan!K184="","",Dienstplan!K184)</f>
        <v/>
      </c>
      <c r="L13" s="20">
        <f>IF(Dienstplan!L184="","",Dienstplan!L184)</f>
        <v/>
      </c>
      <c r="M13" s="20">
        <f>IF(Dienstplan!M184="","",Dienstplan!M184)</f>
        <v/>
      </c>
      <c r="N13" s="20">
        <f>IF(Dienstplan!N184="","",Dienstplan!N184)</f>
        <v/>
      </c>
      <c r="O13" s="20">
        <f>IF(Dienstplan!O184="","",Dienstplan!O184)</f>
        <v/>
      </c>
      <c r="P13" s="20">
        <f>IF(Dienstplan!P184="","",Dienstplan!P184)</f>
        <v/>
      </c>
      <c r="Q13" s="17">
        <f>IF(Dienstplan!Q184="","",Dienstplan!Q184)</f>
        <v/>
      </c>
      <c r="R13" s="17">
        <f>IF(Dienstplan!R184="","",Dienstplan!R184)</f>
        <v/>
      </c>
      <c r="S13" s="20">
        <f>IF(Dienstplan!S184="","",Dienstplan!S184)</f>
        <v/>
      </c>
      <c r="T13" s="20">
        <f>IF(Dienstplan!T184="","",Dienstplan!T184)</f>
        <v/>
      </c>
      <c r="U13" s="20">
        <f>IF(Dienstplan!U184="","",Dienstplan!U184)</f>
        <v/>
      </c>
      <c r="V13" s="20">
        <f>IF(Dienstplan!V184="","",Dienstplan!V184)</f>
        <v/>
      </c>
      <c r="W13" s="20">
        <f>IF(Dienstplan!W184="","",Dienstplan!W184)</f>
        <v/>
      </c>
      <c r="X13" s="17">
        <f>IF(Dienstplan!X184="","",Dienstplan!X184)</f>
        <v/>
      </c>
      <c r="Y13" s="17">
        <f>IF(Dienstplan!Y184="","",Dienstplan!Y184)</f>
        <v/>
      </c>
      <c r="Z13" s="20">
        <f>IF(Dienstplan!Z184="","",Dienstplan!Z184)</f>
        <v/>
      </c>
      <c r="AA13" s="20">
        <f>IF(Dienstplan!AA184="","",Dienstplan!AA184)</f>
        <v/>
      </c>
      <c r="AB13" s="20">
        <f>IF(Dienstplan!AB184="","",Dienstplan!AB184)</f>
        <v/>
      </c>
      <c r="AC13" s="20">
        <f>IF(Dienstplan!AC184="","",Dienstplan!AC184)</f>
        <v/>
      </c>
      <c r="AD13" s="20">
        <f>IF(Dienstplan!AD184="","",Dienstplan!AD184)</f>
        <v/>
      </c>
      <c r="AE13" s="17">
        <f>IF(Dienstplan!AE184="","",Dienstplan!AE184)</f>
        <v/>
      </c>
      <c r="AF13" s="19">
        <f>IF(Dienstplan!AF184="","",Dienstplan!AF184)</f>
        <v/>
      </c>
    </row>
    <row r="14" ht="16" customHeight="1">
      <c r="A14" s="43" t="inlineStr">
        <is>
          <t>Putschler</t>
        </is>
      </c>
      <c r="B14" s="18">
        <f>IF(Dienstplan!B185="","",Dienstplan!B185)</f>
        <v/>
      </c>
      <c r="C14" s="17">
        <f>IF(Dienstplan!C185="","",Dienstplan!C185)</f>
        <v/>
      </c>
      <c r="D14" s="17">
        <f>IF(Dienstplan!D185="","",Dienstplan!D185)</f>
        <v/>
      </c>
      <c r="E14" s="18">
        <f>IF(Dienstplan!E185="","",Dienstplan!E185)</f>
        <v/>
      </c>
      <c r="F14" s="18">
        <f>IF(Dienstplan!F185="","",Dienstplan!F185)</f>
        <v/>
      </c>
      <c r="G14" s="18">
        <f>IF(Dienstplan!G185="","",Dienstplan!G185)</f>
        <v/>
      </c>
      <c r="H14" s="18">
        <f>IF(Dienstplan!H185="","",Dienstplan!H185)</f>
        <v/>
      </c>
      <c r="I14" s="18">
        <f>IF(Dienstplan!I185="","",Dienstplan!I185)</f>
        <v/>
      </c>
      <c r="J14" s="17">
        <f>IF(Dienstplan!J185="","",Dienstplan!J185)</f>
        <v/>
      </c>
      <c r="K14" s="17">
        <f>IF(Dienstplan!K185="","",Dienstplan!K185)</f>
        <v/>
      </c>
      <c r="L14" s="18">
        <f>IF(Dienstplan!L185="","",Dienstplan!L185)</f>
        <v/>
      </c>
      <c r="M14" s="18">
        <f>IF(Dienstplan!M185="","",Dienstplan!M185)</f>
        <v/>
      </c>
      <c r="N14" s="18">
        <f>IF(Dienstplan!N185="","",Dienstplan!N185)</f>
        <v/>
      </c>
      <c r="O14" s="18">
        <f>IF(Dienstplan!O185="","",Dienstplan!O185)</f>
        <v/>
      </c>
      <c r="P14" s="18">
        <f>IF(Dienstplan!P185="","",Dienstplan!P185)</f>
        <v/>
      </c>
      <c r="Q14" s="17">
        <f>IF(Dienstplan!Q185="","",Dienstplan!Q185)</f>
        <v/>
      </c>
      <c r="R14" s="17">
        <f>IF(Dienstplan!R185="","",Dienstplan!R185)</f>
        <v/>
      </c>
      <c r="S14" s="18">
        <f>IF(Dienstplan!S185="","",Dienstplan!S185)</f>
        <v/>
      </c>
      <c r="T14" s="18">
        <f>IF(Dienstplan!T185="","",Dienstplan!T185)</f>
        <v/>
      </c>
      <c r="U14" s="18">
        <f>IF(Dienstplan!U185="","",Dienstplan!U185)</f>
        <v/>
      </c>
      <c r="V14" s="18">
        <f>IF(Dienstplan!V185="","",Dienstplan!V185)</f>
        <v/>
      </c>
      <c r="W14" s="18">
        <f>IF(Dienstplan!W185="","",Dienstplan!W185)</f>
        <v/>
      </c>
      <c r="X14" s="17">
        <f>IF(Dienstplan!X185="","",Dienstplan!X185)</f>
        <v/>
      </c>
      <c r="Y14" s="17">
        <f>IF(Dienstplan!Y185="","",Dienstplan!Y185)</f>
        <v/>
      </c>
      <c r="Z14" s="18">
        <f>IF(Dienstplan!Z185="","",Dienstplan!Z185)</f>
        <v/>
      </c>
      <c r="AA14" s="18">
        <f>IF(Dienstplan!AA185="","",Dienstplan!AA185)</f>
        <v/>
      </c>
      <c r="AB14" s="18">
        <f>IF(Dienstplan!AB185="","",Dienstplan!AB185)</f>
        <v/>
      </c>
      <c r="AC14" s="18">
        <f>IF(Dienstplan!AC185="","",Dienstplan!AC185)</f>
        <v/>
      </c>
      <c r="AD14" s="18">
        <f>IF(Dienstplan!AD185="","",Dienstplan!AD185)</f>
        <v/>
      </c>
      <c r="AE14" s="17">
        <f>IF(Dienstplan!AE185="","",Dienstplan!AE185)</f>
        <v/>
      </c>
      <c r="AF14" s="19">
        <f>IF(Dienstplan!AF185="","",Dienstplan!AF185)</f>
        <v/>
      </c>
    </row>
    <row r="15" ht="16" customHeight="1">
      <c r="A15" s="43" t="inlineStr">
        <is>
          <t>Kunz</t>
        </is>
      </c>
      <c r="B15" s="20">
        <f>IF(Dienstplan!B186="","",Dienstplan!B186)</f>
        <v/>
      </c>
      <c r="C15" s="17">
        <f>IF(Dienstplan!C186="","",Dienstplan!C186)</f>
        <v/>
      </c>
      <c r="D15" s="17">
        <f>IF(Dienstplan!D186="","",Dienstplan!D186)</f>
        <v/>
      </c>
      <c r="E15" s="20">
        <f>IF(Dienstplan!E186="","",Dienstplan!E186)</f>
        <v/>
      </c>
      <c r="F15" s="20">
        <f>IF(Dienstplan!F186="","",Dienstplan!F186)</f>
        <v/>
      </c>
      <c r="G15" s="20">
        <f>IF(Dienstplan!G186="","",Dienstplan!G186)</f>
        <v/>
      </c>
      <c r="H15" s="20">
        <f>IF(Dienstplan!H186="","",Dienstplan!H186)</f>
        <v/>
      </c>
      <c r="I15" s="20">
        <f>IF(Dienstplan!I186="","",Dienstplan!I186)</f>
        <v/>
      </c>
      <c r="J15" s="17">
        <f>IF(Dienstplan!J186="","",Dienstplan!J186)</f>
        <v/>
      </c>
      <c r="K15" s="17">
        <f>IF(Dienstplan!K186="","",Dienstplan!K186)</f>
        <v/>
      </c>
      <c r="L15" s="20">
        <f>IF(Dienstplan!L186="","",Dienstplan!L186)</f>
        <v/>
      </c>
      <c r="M15" s="20">
        <f>IF(Dienstplan!M186="","",Dienstplan!M186)</f>
        <v/>
      </c>
      <c r="N15" s="20">
        <f>IF(Dienstplan!N186="","",Dienstplan!N186)</f>
        <v/>
      </c>
      <c r="O15" s="20">
        <f>IF(Dienstplan!O186="","",Dienstplan!O186)</f>
        <v/>
      </c>
      <c r="P15" s="20">
        <f>IF(Dienstplan!P186="","",Dienstplan!P186)</f>
        <v/>
      </c>
      <c r="Q15" s="17">
        <f>IF(Dienstplan!Q186="","",Dienstplan!Q186)</f>
        <v/>
      </c>
      <c r="R15" s="17">
        <f>IF(Dienstplan!R186="","",Dienstplan!R186)</f>
        <v/>
      </c>
      <c r="S15" s="20">
        <f>IF(Dienstplan!S186="","",Dienstplan!S186)</f>
        <v/>
      </c>
      <c r="T15" s="20">
        <f>IF(Dienstplan!T186="","",Dienstplan!T186)</f>
        <v/>
      </c>
      <c r="U15" s="20">
        <f>IF(Dienstplan!U186="","",Dienstplan!U186)</f>
        <v/>
      </c>
      <c r="V15" s="20">
        <f>IF(Dienstplan!V186="","",Dienstplan!V186)</f>
        <v/>
      </c>
      <c r="W15" s="20">
        <f>IF(Dienstplan!W186="","",Dienstplan!W186)</f>
        <v/>
      </c>
      <c r="X15" s="17">
        <f>IF(Dienstplan!X186="","",Dienstplan!X186)</f>
        <v/>
      </c>
      <c r="Y15" s="17">
        <f>IF(Dienstplan!Y186="","",Dienstplan!Y186)</f>
        <v/>
      </c>
      <c r="Z15" s="20">
        <f>IF(Dienstplan!Z186="","",Dienstplan!Z186)</f>
        <v/>
      </c>
      <c r="AA15" s="20">
        <f>IF(Dienstplan!AA186="","",Dienstplan!AA186)</f>
        <v/>
      </c>
      <c r="AB15" s="20">
        <f>IF(Dienstplan!AB186="","",Dienstplan!AB186)</f>
        <v/>
      </c>
      <c r="AC15" s="20">
        <f>IF(Dienstplan!AC186="","",Dienstplan!AC186)</f>
        <v/>
      </c>
      <c r="AD15" s="20">
        <f>IF(Dienstplan!AD186="","",Dienstplan!AD186)</f>
        <v/>
      </c>
      <c r="AE15" s="17">
        <f>IF(Dienstplan!AE186="","",Dienstplan!AE186)</f>
        <v/>
      </c>
      <c r="AF15" s="19">
        <f>IF(Dienstplan!AF186="","",Dienstplan!AF186)</f>
        <v/>
      </c>
    </row>
    <row r="16" hidden="1" ht="16" customHeight="1">
      <c r="A16" s="44" t="inlineStr">
        <is>
          <t>Schmidt</t>
        </is>
      </c>
      <c r="B16" s="18">
        <f>IF(Dienstplan!B187="","",Dienstplan!B187)</f>
        <v/>
      </c>
      <c r="C16" s="17">
        <f>IF(Dienstplan!C187="","",Dienstplan!C187)</f>
        <v/>
      </c>
      <c r="D16" s="17">
        <f>IF(Dienstplan!D187="","",Dienstplan!D187)</f>
        <v/>
      </c>
      <c r="E16" s="18">
        <f>IF(Dienstplan!E187="","",Dienstplan!E187)</f>
        <v/>
      </c>
      <c r="F16" s="18">
        <f>IF(Dienstplan!F187="","",Dienstplan!F187)</f>
        <v/>
      </c>
      <c r="G16" s="18">
        <f>IF(Dienstplan!G187="","",Dienstplan!G187)</f>
        <v/>
      </c>
      <c r="H16" s="18">
        <f>IF(Dienstplan!H187="","",Dienstplan!H187)</f>
        <v/>
      </c>
      <c r="I16" s="18">
        <f>IF(Dienstplan!I187="","",Dienstplan!I187)</f>
        <v/>
      </c>
      <c r="J16" s="17">
        <f>IF(Dienstplan!J187="","",Dienstplan!J187)</f>
        <v/>
      </c>
      <c r="K16" s="17">
        <f>IF(Dienstplan!K187="","",Dienstplan!K187)</f>
        <v/>
      </c>
      <c r="L16" s="18">
        <f>IF(Dienstplan!L187="","",Dienstplan!L187)</f>
        <v/>
      </c>
      <c r="M16" s="18">
        <f>IF(Dienstplan!M187="","",Dienstplan!M187)</f>
        <v/>
      </c>
      <c r="N16" s="18">
        <f>IF(Dienstplan!N187="","",Dienstplan!N187)</f>
        <v/>
      </c>
      <c r="O16" s="18">
        <f>IF(Dienstplan!O187="","",Dienstplan!O187)</f>
        <v/>
      </c>
      <c r="P16" s="18">
        <f>IF(Dienstplan!P187="","",Dienstplan!P187)</f>
        <v/>
      </c>
      <c r="Q16" s="17">
        <f>IF(Dienstplan!Q187="","",Dienstplan!Q187)</f>
        <v/>
      </c>
      <c r="R16" s="17">
        <f>IF(Dienstplan!R187="","",Dienstplan!R187)</f>
        <v/>
      </c>
      <c r="S16" s="18">
        <f>IF(Dienstplan!S187="","",Dienstplan!S187)</f>
        <v/>
      </c>
      <c r="T16" s="18">
        <f>IF(Dienstplan!T187="","",Dienstplan!T187)</f>
        <v/>
      </c>
      <c r="U16" s="18">
        <f>IF(Dienstplan!U187="","",Dienstplan!U187)</f>
        <v/>
      </c>
      <c r="V16" s="18">
        <f>IF(Dienstplan!V187="","",Dienstplan!V187)</f>
        <v/>
      </c>
      <c r="W16" s="18">
        <f>IF(Dienstplan!W187="","",Dienstplan!W187)</f>
        <v/>
      </c>
      <c r="X16" s="17">
        <f>IF(Dienstplan!X187="","",Dienstplan!X187)</f>
        <v/>
      </c>
      <c r="Y16" s="17">
        <f>IF(Dienstplan!Y187="","",Dienstplan!Y187)</f>
        <v/>
      </c>
      <c r="Z16" s="18">
        <f>IF(Dienstplan!Z187="","",Dienstplan!Z187)</f>
        <v/>
      </c>
      <c r="AA16" s="18">
        <f>IF(Dienstplan!AA187="","",Dienstplan!AA187)</f>
        <v/>
      </c>
      <c r="AB16" s="18">
        <f>IF(Dienstplan!AB187="","",Dienstplan!AB187)</f>
        <v/>
      </c>
      <c r="AC16" s="18">
        <f>IF(Dienstplan!AC187="","",Dienstplan!AC187)</f>
        <v/>
      </c>
      <c r="AD16" s="18">
        <f>IF(Dienstplan!AD187="","",Dienstplan!AD187)</f>
        <v/>
      </c>
      <c r="AE16" s="17">
        <f>IF(Dienstplan!AE187="","",Dienstplan!AE187)</f>
        <v/>
      </c>
      <c r="AF16" s="19">
        <f>IF(Dienstplan!AF187="","",Dienstplan!AF187)</f>
        <v/>
      </c>
    </row>
    <row r="17" hidden="1" ht="16" customHeight="1">
      <c r="A17" s="44" t="inlineStr">
        <is>
          <t>Radimersky</t>
        </is>
      </c>
      <c r="B17" s="20">
        <f>IF(Dienstplan!B188="","",Dienstplan!B188)</f>
        <v/>
      </c>
      <c r="C17" s="17">
        <f>IF(Dienstplan!C188="","",Dienstplan!C188)</f>
        <v/>
      </c>
      <c r="D17" s="17">
        <f>IF(Dienstplan!D188="","",Dienstplan!D188)</f>
        <v/>
      </c>
      <c r="E17" s="20">
        <f>IF(Dienstplan!E188="","",Dienstplan!E188)</f>
        <v/>
      </c>
      <c r="F17" s="20">
        <f>IF(Dienstplan!F188="","",Dienstplan!F188)</f>
        <v/>
      </c>
      <c r="G17" s="20">
        <f>IF(Dienstplan!G188="","",Dienstplan!G188)</f>
        <v/>
      </c>
      <c r="H17" s="20">
        <f>IF(Dienstplan!H188="","",Dienstplan!H188)</f>
        <v/>
      </c>
      <c r="I17" s="20">
        <f>IF(Dienstplan!I188="","",Dienstplan!I188)</f>
        <v/>
      </c>
      <c r="J17" s="17">
        <f>IF(Dienstplan!J188="","",Dienstplan!J188)</f>
        <v/>
      </c>
      <c r="K17" s="17">
        <f>IF(Dienstplan!K188="","",Dienstplan!K188)</f>
        <v/>
      </c>
      <c r="L17" s="20">
        <f>IF(Dienstplan!L188="","",Dienstplan!L188)</f>
        <v/>
      </c>
      <c r="M17" s="20">
        <f>IF(Dienstplan!M188="","",Dienstplan!M188)</f>
        <v/>
      </c>
      <c r="N17" s="20">
        <f>IF(Dienstplan!N188="","",Dienstplan!N188)</f>
        <v/>
      </c>
      <c r="O17" s="20">
        <f>IF(Dienstplan!O188="","",Dienstplan!O188)</f>
        <v/>
      </c>
      <c r="P17" s="20">
        <f>IF(Dienstplan!P188="","",Dienstplan!P188)</f>
        <v/>
      </c>
      <c r="Q17" s="17">
        <f>IF(Dienstplan!Q188="","",Dienstplan!Q188)</f>
        <v/>
      </c>
      <c r="R17" s="17">
        <f>IF(Dienstplan!R188="","",Dienstplan!R188)</f>
        <v/>
      </c>
      <c r="S17" s="20">
        <f>IF(Dienstplan!S188="","",Dienstplan!S188)</f>
        <v/>
      </c>
      <c r="T17" s="20">
        <f>IF(Dienstplan!T188="","",Dienstplan!T188)</f>
        <v/>
      </c>
      <c r="U17" s="20">
        <f>IF(Dienstplan!U188="","",Dienstplan!U188)</f>
        <v/>
      </c>
      <c r="V17" s="20">
        <f>IF(Dienstplan!V188="","",Dienstplan!V188)</f>
        <v/>
      </c>
      <c r="W17" s="20">
        <f>IF(Dienstplan!W188="","",Dienstplan!W188)</f>
        <v/>
      </c>
      <c r="X17" s="17">
        <f>IF(Dienstplan!X188="","",Dienstplan!X188)</f>
        <v/>
      </c>
      <c r="Y17" s="17">
        <f>IF(Dienstplan!Y188="","",Dienstplan!Y188)</f>
        <v/>
      </c>
      <c r="Z17" s="20">
        <f>IF(Dienstplan!Z188="","",Dienstplan!Z188)</f>
        <v/>
      </c>
      <c r="AA17" s="20">
        <f>IF(Dienstplan!AA188="","",Dienstplan!AA188)</f>
        <v/>
      </c>
      <c r="AB17" s="20">
        <f>IF(Dienstplan!AB188="","",Dienstplan!AB188)</f>
        <v/>
      </c>
      <c r="AC17" s="20">
        <f>IF(Dienstplan!AC188="","",Dienstplan!AC188)</f>
        <v/>
      </c>
      <c r="AD17" s="20">
        <f>IF(Dienstplan!AD188="","",Dienstplan!AD188)</f>
        <v/>
      </c>
      <c r="AE17" s="17">
        <f>IF(Dienstplan!AE188="","",Dienstplan!AE188)</f>
        <v/>
      </c>
      <c r="AF17" s="19">
        <f>IF(Dienstplan!AF188="","",Dienstplan!AF188)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IF(AND(COUNTIF(B6:B17,"FI")&gt;0,COUNTIF(B6:B17,"SI")&gt;0),"","!")</f>
        <v/>
      </c>
      <c r="C18" s="22" t="n"/>
      <c r="D18" s="22" t="n"/>
      <c r="E18" s="23">
        <f>IF(AND(COUNTIF(E6:E17,"FI")&gt;0,COUNTIF(E6:E17,"SI")&gt;0,COUNTIF(E6:E17,"NI")&gt;0),"","!")</f>
        <v/>
      </c>
      <c r="F18" s="23">
        <f>IF(AND(COUNTIF(F6:F17,"FI")&gt;0,COUNTIF(F6:F17,"SI")&gt;0,COUNTIF(F6:F17,"NI")&gt;0),"","!")</f>
        <v/>
      </c>
      <c r="G18" s="23">
        <f>IF(AND(COUNTIF(G6:G17,"FI")&gt;0,COUNTIF(G6:G17,"SI")&gt;0,COUNTIF(G6:G17,"NI")&gt;0),"","!")</f>
        <v/>
      </c>
      <c r="H18" s="23">
        <f>IF(AND(COUNTIF(H6:H17,"FI")&gt;0,COUNTIF(H6:H17,"SI")&gt;0,COUNTIF(H6:H17,"NI")&gt;0),"","!")</f>
        <v/>
      </c>
      <c r="I18" s="23">
        <f>IF(AND(COUNTIF(I6:I17,"FI")&gt;0,COUNTIF(I6:I17,"SI")&gt;0),"","!")</f>
        <v/>
      </c>
      <c r="J18" s="22" t="n"/>
      <c r="K18" s="22" t="n"/>
      <c r="L18" s="23">
        <f>IF(AND(COUNTIF(L6:L17,"FI")&gt;0,COUNTIF(L6:L17,"SI")&gt;0,COUNTIF(L6:L17,"NI")&gt;0),"","!")</f>
        <v/>
      </c>
      <c r="M18" s="23">
        <f>IF(AND(COUNTIF(M6:M17,"FI")&gt;0,COUNTIF(M6:M17,"SI")&gt;0,COUNTIF(M6:M17,"NI")&gt;0),"","!")</f>
        <v/>
      </c>
      <c r="N18" s="23">
        <f>IF(AND(COUNTIF(N6:N17,"FI")&gt;0,COUNTIF(N6:N17,"SI")&gt;0,COUNTIF(N6:N17,"NI")&gt;0),"","!")</f>
        <v/>
      </c>
      <c r="O18" s="23">
        <f>IF(AND(COUNTIF(O6:O17,"FI")&gt;0,COUNTIF(O6:O17,"SI")&gt;0,COUNTIF(O6:O17,"NI")&gt;0),"","!")</f>
        <v/>
      </c>
      <c r="P18" s="23">
        <f>IF(AND(COUNTIF(P6:P17,"FI")&gt;0,COUNTIF(P6:P17,"SI")&gt;0),"","!")</f>
        <v/>
      </c>
      <c r="Q18" s="22" t="n"/>
      <c r="R18" s="22" t="n"/>
      <c r="S18" s="23">
        <f>IF(AND(COUNTIF(S6:S17,"FI")&gt;0,COUNTIF(S6:S17,"SI")&gt;0,COUNTIF(S6:S17,"NI")&gt;0),"","!")</f>
        <v/>
      </c>
      <c r="T18" s="23">
        <f>IF(AND(COUNTIF(T6:T17,"FI")&gt;0,COUNTIF(T6:T17,"SI")&gt;0,COUNTIF(T6:T17,"NI")&gt;0),"","!")</f>
        <v/>
      </c>
      <c r="U18" s="23">
        <f>IF(AND(COUNTIF(U6:U17,"FI")&gt;0,COUNTIF(U6:U17,"SI")&gt;0,COUNTIF(U6:U17,"NI")&gt;0),"","!")</f>
        <v/>
      </c>
      <c r="V18" s="23">
        <f>IF(AND(COUNTIF(V6:V17,"FI")&gt;0,COUNTIF(V6:V17,"SI")&gt;0,COUNTIF(V6:V17,"NI")&gt;0),"","!")</f>
        <v/>
      </c>
      <c r="W18" s="23">
        <f>IF(AND(COUNTIF(W6:W17,"FI")&gt;0,COUNTIF(W6:W17,"SI")&gt;0),"","!")</f>
        <v/>
      </c>
      <c r="X18" s="22" t="n"/>
      <c r="Y18" s="22" t="n"/>
      <c r="Z18" s="23">
        <f>IF(AND(COUNTIF(Z6:Z17,"FI")&gt;0,COUNTIF(Z6:Z17,"SI")&gt;0,COUNTIF(Z6:Z17,"NI")&gt;0),"","!")</f>
        <v/>
      </c>
      <c r="AA18" s="23">
        <f>IF(AND(COUNTIF(AA6:AA17,"FI")&gt;0,COUNTIF(AA6:AA17,"SI")&gt;0,COUNTIF(AA6:AA17,"NI")&gt;0),"","!")</f>
        <v/>
      </c>
      <c r="AB18" s="23">
        <f>IF(AND(COUNTIF(AB6:AB17,"FI")&gt;0,COUNTIF(AB6:AB17,"SI")&gt;0,COUNTIF(AB6:AB17,"NI")&gt;0),"","!")</f>
        <v/>
      </c>
      <c r="AC18" s="23">
        <f>IF(AND(COUNTIF(AC6:AC17,"FI")&gt;0,COUNTIF(AC6:AC17,"SI")&gt;0,COUNTIF(AC6:AC17,"NI")&gt;0),"","!")</f>
        <v/>
      </c>
      <c r="AD18" s="23">
        <f>IF(AND(COUNTIF(AD6:AD17,"FI")&gt;0,COUNTIF(AD6:AD17,"SI")&gt;0),"","!")</f>
        <v/>
      </c>
      <c r="AE18" s="22" t="n"/>
      <c r="AF18" s="24" t="n"/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Z2:AD2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F18">
    <cfRule type="cellIs" priority="1" operator="equal" dxfId="5" stopIfTrue="1">
      <formula>"!"</formula>
    </cfRule>
  </conditionalFormatting>
  <conditionalFormatting sqref="B6:AF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November 2027</t>
        </is>
      </c>
      <c r="AB1" s="33" t="inlineStr">
        <is>
          <t>AT: 21   Sa: 4</t>
        </is>
      </c>
    </row>
    <row r="3" ht="18" customHeight="1">
      <c r="A3" s="34" t="inlineStr">
        <is>
          <t>Tag</t>
        </is>
      </c>
      <c r="B3" s="35" t="n">
        <v>1</v>
      </c>
      <c r="C3" s="36" t="n">
        <v>2</v>
      </c>
      <c r="D3" s="36" t="n">
        <v>3</v>
      </c>
      <c r="E3" s="36" t="n">
        <v>4</v>
      </c>
      <c r="F3" s="36" t="n">
        <v>5</v>
      </c>
      <c r="G3" s="35" t="n">
        <v>6</v>
      </c>
      <c r="H3" s="35" t="n">
        <v>7</v>
      </c>
      <c r="I3" s="36" t="n">
        <v>8</v>
      </c>
      <c r="J3" s="36" t="n">
        <v>9</v>
      </c>
      <c r="K3" s="36" t="n">
        <v>10</v>
      </c>
      <c r="L3" s="36" t="n">
        <v>11</v>
      </c>
      <c r="M3" s="36" t="n">
        <v>12</v>
      </c>
      <c r="N3" s="35" t="n">
        <v>13</v>
      </c>
      <c r="O3" s="35" t="n">
        <v>14</v>
      </c>
      <c r="P3" s="36" t="n">
        <v>15</v>
      </c>
      <c r="Q3" s="36" t="n">
        <v>16</v>
      </c>
      <c r="R3" s="36" t="n">
        <v>17</v>
      </c>
      <c r="S3" s="36" t="n">
        <v>18</v>
      </c>
      <c r="T3" s="36" t="n">
        <v>19</v>
      </c>
      <c r="U3" s="35" t="n">
        <v>20</v>
      </c>
      <c r="V3" s="35" t="n">
        <v>21</v>
      </c>
      <c r="W3" s="36" t="n">
        <v>22</v>
      </c>
      <c r="X3" s="36" t="n">
        <v>23</v>
      </c>
      <c r="Y3" s="36" t="n">
        <v>24</v>
      </c>
      <c r="Z3" s="36" t="n">
        <v>25</v>
      </c>
      <c r="AA3" s="36" t="n">
        <v>26</v>
      </c>
      <c r="AB3" s="35" t="n">
        <v>27</v>
      </c>
      <c r="AC3" s="35" t="n">
        <v>28</v>
      </c>
      <c r="AD3" s="36" t="n">
        <v>29</v>
      </c>
      <c r="AE3" s="65" t="n">
        <v>30</v>
      </c>
    </row>
    <row r="4" ht="18" customHeight="1">
      <c r="A4" s="9" t="inlineStr">
        <is>
          <t>WT</t>
        </is>
      </c>
      <c r="B4" s="13" t="inlineStr">
        <is>
          <t>Mo</t>
        </is>
      </c>
      <c r="C4" s="14" t="inlineStr">
        <is>
          <t>Di</t>
        </is>
      </c>
      <c r="D4" s="14" t="inlineStr">
        <is>
          <t>Mi</t>
        </is>
      </c>
      <c r="E4" s="14" t="inlineStr">
        <is>
          <t>Do</t>
        </is>
      </c>
      <c r="F4" s="14" t="inlineStr">
        <is>
          <t>Fr</t>
        </is>
      </c>
      <c r="G4" s="13" t="inlineStr">
        <is>
          <t>Sa</t>
        </is>
      </c>
      <c r="H4" s="13" t="inlineStr">
        <is>
          <t>So</t>
        </is>
      </c>
      <c r="I4" s="14" t="inlineStr">
        <is>
          <t>Mo</t>
        </is>
      </c>
      <c r="J4" s="14" t="inlineStr">
        <is>
          <t>Di</t>
        </is>
      </c>
      <c r="K4" s="14" t="inlineStr">
        <is>
          <t>Mi</t>
        </is>
      </c>
      <c r="L4" s="14" t="inlineStr">
        <is>
          <t>Do</t>
        </is>
      </c>
      <c r="M4" s="14" t="inlineStr">
        <is>
          <t>Fr</t>
        </is>
      </c>
      <c r="N4" s="13" t="inlineStr">
        <is>
          <t>Sa</t>
        </is>
      </c>
      <c r="O4" s="13" t="inlineStr">
        <is>
          <t>So</t>
        </is>
      </c>
      <c r="P4" s="14" t="inlineStr">
        <is>
          <t>Mo</t>
        </is>
      </c>
      <c r="Q4" s="14" t="inlineStr">
        <is>
          <t>Di</t>
        </is>
      </c>
      <c r="R4" s="14" t="inlineStr">
        <is>
          <t>Mi</t>
        </is>
      </c>
      <c r="S4" s="14" t="inlineStr">
        <is>
          <t>Do</t>
        </is>
      </c>
      <c r="T4" s="14" t="inlineStr">
        <is>
          <t>Fr</t>
        </is>
      </c>
      <c r="U4" s="13" t="inlineStr">
        <is>
          <t>Sa</t>
        </is>
      </c>
      <c r="V4" s="13" t="inlineStr">
        <is>
          <t>So</t>
        </is>
      </c>
      <c r="W4" s="14" t="inlineStr">
        <is>
          <t>Mo</t>
        </is>
      </c>
      <c r="X4" s="14" t="inlineStr">
        <is>
          <t>Di</t>
        </is>
      </c>
      <c r="Y4" s="14" t="inlineStr">
        <is>
          <t>Mi</t>
        </is>
      </c>
      <c r="Z4" s="14" t="inlineStr">
        <is>
          <t>Do</t>
        </is>
      </c>
      <c r="AA4" s="14" t="inlineStr">
        <is>
          <t>Fr</t>
        </is>
      </c>
      <c r="AB4" s="13" t="inlineStr">
        <is>
          <t>Sa</t>
        </is>
      </c>
      <c r="AC4" s="13" t="inlineStr">
        <is>
          <t>So</t>
        </is>
      </c>
      <c r="AD4" s="14" t="inlineStr">
        <is>
          <t>Mo</t>
        </is>
      </c>
      <c r="AE4" s="28" t="inlineStr">
        <is>
          <t>Di</t>
        </is>
      </c>
    </row>
    <row r="5" ht="15" customHeight="1">
      <c r="A5" s="9" t="inlineStr">
        <is>
          <t>KW</t>
        </is>
      </c>
      <c r="B5" s="38" t="n">
        <v>44</v>
      </c>
      <c r="C5" s="41" t="n"/>
      <c r="D5" s="41" t="n"/>
      <c r="E5" s="41" t="n"/>
      <c r="F5" s="41" t="n"/>
      <c r="G5" s="39" t="n"/>
      <c r="H5" s="39" t="n"/>
      <c r="I5" s="40" t="n">
        <v>45</v>
      </c>
      <c r="J5" s="41" t="n"/>
      <c r="K5" s="41" t="n"/>
      <c r="L5" s="41" t="n"/>
      <c r="M5" s="41" t="n"/>
      <c r="N5" s="39" t="n"/>
      <c r="O5" s="39" t="n"/>
      <c r="P5" s="40" t="n">
        <v>46</v>
      </c>
      <c r="Q5" s="41" t="n"/>
      <c r="R5" s="41" t="n"/>
      <c r="S5" s="41" t="n"/>
      <c r="T5" s="41" t="n"/>
      <c r="U5" s="39" t="n"/>
      <c r="V5" s="39" t="n"/>
      <c r="W5" s="40" t="n">
        <v>47</v>
      </c>
      <c r="X5" s="41" t="n"/>
      <c r="Y5" s="41" t="n"/>
      <c r="Z5" s="41" t="n"/>
      <c r="AA5" s="41" t="n"/>
      <c r="AB5" s="39" t="n"/>
      <c r="AC5" s="39" t="n"/>
      <c r="AD5" s="40" t="n">
        <v>48</v>
      </c>
      <c r="AE5" s="66" t="n"/>
    </row>
    <row r="6" ht="16" customHeight="1">
      <c r="A6" s="43" t="inlineStr">
        <is>
          <t>Breig</t>
        </is>
      </c>
      <c r="B6" s="17">
        <f>IF(Dienstplan!B195="","",Dienstplan!B195)</f>
        <v/>
      </c>
      <c r="C6" s="18">
        <f>IF(Dienstplan!C195="","",Dienstplan!C195)</f>
        <v/>
      </c>
      <c r="D6" s="18">
        <f>IF(Dienstplan!D195="","",Dienstplan!D195)</f>
        <v/>
      </c>
      <c r="E6" s="18">
        <f>IF(Dienstplan!E195="","",Dienstplan!E195)</f>
        <v/>
      </c>
      <c r="F6" s="18">
        <f>IF(Dienstplan!F195="","",Dienstplan!F195)</f>
        <v/>
      </c>
      <c r="G6" s="17">
        <f>IF(Dienstplan!G195="","",Dienstplan!G195)</f>
        <v/>
      </c>
      <c r="H6" s="17">
        <f>IF(Dienstplan!H195="","",Dienstplan!H195)</f>
        <v/>
      </c>
      <c r="I6" s="18">
        <f>IF(Dienstplan!I195="","",Dienstplan!I195)</f>
        <v/>
      </c>
      <c r="J6" s="18">
        <f>IF(Dienstplan!J195="","",Dienstplan!J195)</f>
        <v/>
      </c>
      <c r="K6" s="18">
        <f>IF(Dienstplan!K195="","",Dienstplan!K195)</f>
        <v/>
      </c>
      <c r="L6" s="18">
        <f>IF(Dienstplan!L195="","",Dienstplan!L195)</f>
        <v/>
      </c>
      <c r="M6" s="18">
        <f>IF(Dienstplan!M195="","",Dienstplan!M195)</f>
        <v/>
      </c>
      <c r="N6" s="17">
        <f>IF(Dienstplan!N195="","",Dienstplan!N195)</f>
        <v/>
      </c>
      <c r="O6" s="17">
        <f>IF(Dienstplan!O195="","",Dienstplan!O195)</f>
        <v/>
      </c>
      <c r="P6" s="18">
        <f>IF(Dienstplan!P195="","",Dienstplan!P195)</f>
        <v/>
      </c>
      <c r="Q6" s="18">
        <f>IF(Dienstplan!Q195="","",Dienstplan!Q195)</f>
        <v/>
      </c>
      <c r="R6" s="18">
        <f>IF(Dienstplan!R195="","",Dienstplan!R195)</f>
        <v/>
      </c>
      <c r="S6" s="18">
        <f>IF(Dienstplan!S195="","",Dienstplan!S195)</f>
        <v/>
      </c>
      <c r="T6" s="18">
        <f>IF(Dienstplan!T195="","",Dienstplan!T195)</f>
        <v/>
      </c>
      <c r="U6" s="17">
        <f>IF(Dienstplan!U195="","",Dienstplan!U195)</f>
        <v/>
      </c>
      <c r="V6" s="17">
        <f>IF(Dienstplan!V195="","",Dienstplan!V195)</f>
        <v/>
      </c>
      <c r="W6" s="18">
        <f>IF(Dienstplan!W195="","",Dienstplan!W195)</f>
        <v/>
      </c>
      <c r="X6" s="18">
        <f>IF(Dienstplan!X195="","",Dienstplan!X195)</f>
        <v/>
      </c>
      <c r="Y6" s="18">
        <f>IF(Dienstplan!Y195="","",Dienstplan!Y195)</f>
        <v/>
      </c>
      <c r="Z6" s="18">
        <f>IF(Dienstplan!Z195="","",Dienstplan!Z195)</f>
        <v/>
      </c>
      <c r="AA6" s="18">
        <f>IF(Dienstplan!AA195="","",Dienstplan!AA195)</f>
        <v/>
      </c>
      <c r="AB6" s="17">
        <f>IF(Dienstplan!AB195="","",Dienstplan!AB195)</f>
        <v/>
      </c>
      <c r="AC6" s="17">
        <f>IF(Dienstplan!AC195="","",Dienstplan!AC195)</f>
        <v/>
      </c>
      <c r="AD6" s="18">
        <f>IF(Dienstplan!AD195="","",Dienstplan!AD195)</f>
        <v/>
      </c>
      <c r="AE6" s="29">
        <f>IF(Dienstplan!AE195="","",Dienstplan!AE195)</f>
        <v/>
      </c>
    </row>
    <row r="7" ht="16" customHeight="1">
      <c r="A7" s="43" t="inlineStr">
        <is>
          <t>Siebert</t>
        </is>
      </c>
      <c r="B7" s="17">
        <f>IF(Dienstplan!B196="","",Dienstplan!B196)</f>
        <v/>
      </c>
      <c r="C7" s="20">
        <f>IF(Dienstplan!C196="","",Dienstplan!C196)</f>
        <v/>
      </c>
      <c r="D7" s="20">
        <f>IF(Dienstplan!D196="","",Dienstplan!D196)</f>
        <v/>
      </c>
      <c r="E7" s="20">
        <f>IF(Dienstplan!E196="","",Dienstplan!E196)</f>
        <v/>
      </c>
      <c r="F7" s="20">
        <f>IF(Dienstplan!F196="","",Dienstplan!F196)</f>
        <v/>
      </c>
      <c r="G7" s="17">
        <f>IF(Dienstplan!G196="","",Dienstplan!G196)</f>
        <v/>
      </c>
      <c r="H7" s="17">
        <f>IF(Dienstplan!H196="","",Dienstplan!H196)</f>
        <v/>
      </c>
      <c r="I7" s="20">
        <f>IF(Dienstplan!I196="","",Dienstplan!I196)</f>
        <v/>
      </c>
      <c r="J7" s="20">
        <f>IF(Dienstplan!J196="","",Dienstplan!J196)</f>
        <v/>
      </c>
      <c r="K7" s="20">
        <f>IF(Dienstplan!K196="","",Dienstplan!K196)</f>
        <v/>
      </c>
      <c r="L7" s="20">
        <f>IF(Dienstplan!L196="","",Dienstplan!L196)</f>
        <v/>
      </c>
      <c r="M7" s="20">
        <f>IF(Dienstplan!M196="","",Dienstplan!M196)</f>
        <v/>
      </c>
      <c r="N7" s="17">
        <f>IF(Dienstplan!N196="","",Dienstplan!N196)</f>
        <v/>
      </c>
      <c r="O7" s="17">
        <f>IF(Dienstplan!O196="","",Dienstplan!O196)</f>
        <v/>
      </c>
      <c r="P7" s="20">
        <f>IF(Dienstplan!P196="","",Dienstplan!P196)</f>
        <v/>
      </c>
      <c r="Q7" s="20">
        <f>IF(Dienstplan!Q196="","",Dienstplan!Q196)</f>
        <v/>
      </c>
      <c r="R7" s="20">
        <f>IF(Dienstplan!R196="","",Dienstplan!R196)</f>
        <v/>
      </c>
      <c r="S7" s="20">
        <f>IF(Dienstplan!S196="","",Dienstplan!S196)</f>
        <v/>
      </c>
      <c r="T7" s="20">
        <f>IF(Dienstplan!T196="","",Dienstplan!T196)</f>
        <v/>
      </c>
      <c r="U7" s="17">
        <f>IF(Dienstplan!U196="","",Dienstplan!U196)</f>
        <v/>
      </c>
      <c r="V7" s="17">
        <f>IF(Dienstplan!V196="","",Dienstplan!V196)</f>
        <v/>
      </c>
      <c r="W7" s="20">
        <f>IF(Dienstplan!W196="","",Dienstplan!W196)</f>
        <v/>
      </c>
      <c r="X7" s="20">
        <f>IF(Dienstplan!X196="","",Dienstplan!X196)</f>
        <v/>
      </c>
      <c r="Y7" s="20">
        <f>IF(Dienstplan!Y196="","",Dienstplan!Y196)</f>
        <v/>
      </c>
      <c r="Z7" s="20">
        <f>IF(Dienstplan!Z196="","",Dienstplan!Z196)</f>
        <v/>
      </c>
      <c r="AA7" s="20">
        <f>IF(Dienstplan!AA196="","",Dienstplan!AA196)</f>
        <v/>
      </c>
      <c r="AB7" s="17">
        <f>IF(Dienstplan!AB196="","",Dienstplan!AB196)</f>
        <v/>
      </c>
      <c r="AC7" s="17">
        <f>IF(Dienstplan!AC196="","",Dienstplan!AC196)</f>
        <v/>
      </c>
      <c r="AD7" s="20">
        <f>IF(Dienstplan!AD196="","",Dienstplan!AD196)</f>
        <v/>
      </c>
      <c r="AE7" s="30">
        <f>IF(Dienstplan!AE196="","",Dienstplan!AE196)</f>
        <v/>
      </c>
    </row>
    <row r="8" ht="16" customHeight="1">
      <c r="A8" s="43" t="inlineStr">
        <is>
          <t>Jochim</t>
        </is>
      </c>
      <c r="B8" s="17">
        <f>IF(Dienstplan!B197="","",Dienstplan!B197)</f>
        <v/>
      </c>
      <c r="C8" s="18">
        <f>IF(Dienstplan!C197="","",Dienstplan!C197)</f>
        <v/>
      </c>
      <c r="D8" s="18">
        <f>IF(Dienstplan!D197="","",Dienstplan!D197)</f>
        <v/>
      </c>
      <c r="E8" s="18">
        <f>IF(Dienstplan!E197="","",Dienstplan!E197)</f>
        <v/>
      </c>
      <c r="F8" s="18">
        <f>IF(Dienstplan!F197="","",Dienstplan!F197)</f>
        <v/>
      </c>
      <c r="G8" s="17">
        <f>IF(Dienstplan!G197="","",Dienstplan!G197)</f>
        <v/>
      </c>
      <c r="H8" s="17">
        <f>IF(Dienstplan!H197="","",Dienstplan!H197)</f>
        <v/>
      </c>
      <c r="I8" s="18">
        <f>IF(Dienstplan!I197="","",Dienstplan!I197)</f>
        <v/>
      </c>
      <c r="J8" s="18">
        <f>IF(Dienstplan!J197="","",Dienstplan!J197)</f>
        <v/>
      </c>
      <c r="K8" s="18">
        <f>IF(Dienstplan!K197="","",Dienstplan!K197)</f>
        <v/>
      </c>
      <c r="L8" s="18">
        <f>IF(Dienstplan!L197="","",Dienstplan!L197)</f>
        <v/>
      </c>
      <c r="M8" s="18">
        <f>IF(Dienstplan!M197="","",Dienstplan!M197)</f>
        <v/>
      </c>
      <c r="N8" s="17">
        <f>IF(Dienstplan!N197="","",Dienstplan!N197)</f>
        <v/>
      </c>
      <c r="O8" s="17">
        <f>IF(Dienstplan!O197="","",Dienstplan!O197)</f>
        <v/>
      </c>
      <c r="P8" s="18">
        <f>IF(Dienstplan!P197="","",Dienstplan!P197)</f>
        <v/>
      </c>
      <c r="Q8" s="18">
        <f>IF(Dienstplan!Q197="","",Dienstplan!Q197)</f>
        <v/>
      </c>
      <c r="R8" s="18">
        <f>IF(Dienstplan!R197="","",Dienstplan!R197)</f>
        <v/>
      </c>
      <c r="S8" s="18">
        <f>IF(Dienstplan!S197="","",Dienstplan!S197)</f>
        <v/>
      </c>
      <c r="T8" s="18">
        <f>IF(Dienstplan!T197="","",Dienstplan!T197)</f>
        <v/>
      </c>
      <c r="U8" s="17">
        <f>IF(Dienstplan!U197="","",Dienstplan!U197)</f>
        <v/>
      </c>
      <c r="V8" s="17">
        <f>IF(Dienstplan!V197="","",Dienstplan!V197)</f>
        <v/>
      </c>
      <c r="W8" s="18">
        <f>IF(Dienstplan!W197="","",Dienstplan!W197)</f>
        <v/>
      </c>
      <c r="X8" s="18">
        <f>IF(Dienstplan!X197="","",Dienstplan!X197)</f>
        <v/>
      </c>
      <c r="Y8" s="18">
        <f>IF(Dienstplan!Y197="","",Dienstplan!Y197)</f>
        <v/>
      </c>
      <c r="Z8" s="18">
        <f>IF(Dienstplan!Z197="","",Dienstplan!Z197)</f>
        <v/>
      </c>
      <c r="AA8" s="18">
        <f>IF(Dienstplan!AA197="","",Dienstplan!AA197)</f>
        <v/>
      </c>
      <c r="AB8" s="17">
        <f>IF(Dienstplan!AB197="","",Dienstplan!AB197)</f>
        <v/>
      </c>
      <c r="AC8" s="17">
        <f>IF(Dienstplan!AC197="","",Dienstplan!AC197)</f>
        <v/>
      </c>
      <c r="AD8" s="18">
        <f>IF(Dienstplan!AD197="","",Dienstplan!AD197)</f>
        <v/>
      </c>
      <c r="AE8" s="29">
        <f>IF(Dienstplan!AE197="","",Dienstplan!AE197)</f>
        <v/>
      </c>
    </row>
    <row r="9" ht="16" customHeight="1">
      <c r="A9" s="43" t="inlineStr">
        <is>
          <t>Wunsch</t>
        </is>
      </c>
      <c r="B9" s="17">
        <f>IF(Dienstplan!B198="","",Dienstplan!B198)</f>
        <v/>
      </c>
      <c r="C9" s="20">
        <f>IF(Dienstplan!C198="","",Dienstplan!C198)</f>
        <v/>
      </c>
      <c r="D9" s="20">
        <f>IF(Dienstplan!D198="","",Dienstplan!D198)</f>
        <v/>
      </c>
      <c r="E9" s="20">
        <f>IF(Dienstplan!E198="","",Dienstplan!E198)</f>
        <v/>
      </c>
      <c r="F9" s="20">
        <f>IF(Dienstplan!F198="","",Dienstplan!F198)</f>
        <v/>
      </c>
      <c r="G9" s="17">
        <f>IF(Dienstplan!G198="","",Dienstplan!G198)</f>
        <v/>
      </c>
      <c r="H9" s="17">
        <f>IF(Dienstplan!H198="","",Dienstplan!H198)</f>
        <v/>
      </c>
      <c r="I9" s="20">
        <f>IF(Dienstplan!I198="","",Dienstplan!I198)</f>
        <v/>
      </c>
      <c r="J9" s="20">
        <f>IF(Dienstplan!J198="","",Dienstplan!J198)</f>
        <v/>
      </c>
      <c r="K9" s="20">
        <f>IF(Dienstplan!K198="","",Dienstplan!K198)</f>
        <v/>
      </c>
      <c r="L9" s="20">
        <f>IF(Dienstplan!L198="","",Dienstplan!L198)</f>
        <v/>
      </c>
      <c r="M9" s="20">
        <f>IF(Dienstplan!M198="","",Dienstplan!M198)</f>
        <v/>
      </c>
      <c r="N9" s="17">
        <f>IF(Dienstplan!N198="","",Dienstplan!N198)</f>
        <v/>
      </c>
      <c r="O9" s="17">
        <f>IF(Dienstplan!O198="","",Dienstplan!O198)</f>
        <v/>
      </c>
      <c r="P9" s="20">
        <f>IF(Dienstplan!P198="","",Dienstplan!P198)</f>
        <v/>
      </c>
      <c r="Q9" s="20">
        <f>IF(Dienstplan!Q198="","",Dienstplan!Q198)</f>
        <v/>
      </c>
      <c r="R9" s="20">
        <f>IF(Dienstplan!R198="","",Dienstplan!R198)</f>
        <v/>
      </c>
      <c r="S9" s="20">
        <f>IF(Dienstplan!S198="","",Dienstplan!S198)</f>
        <v/>
      </c>
      <c r="T9" s="20">
        <f>IF(Dienstplan!T198="","",Dienstplan!T198)</f>
        <v/>
      </c>
      <c r="U9" s="17">
        <f>IF(Dienstplan!U198="","",Dienstplan!U198)</f>
        <v/>
      </c>
      <c r="V9" s="17">
        <f>IF(Dienstplan!V198="","",Dienstplan!V198)</f>
        <v/>
      </c>
      <c r="W9" s="20">
        <f>IF(Dienstplan!W198="","",Dienstplan!W198)</f>
        <v/>
      </c>
      <c r="X9" s="20">
        <f>IF(Dienstplan!X198="","",Dienstplan!X198)</f>
        <v/>
      </c>
      <c r="Y9" s="20">
        <f>IF(Dienstplan!Y198="","",Dienstplan!Y198)</f>
        <v/>
      </c>
      <c r="Z9" s="20">
        <f>IF(Dienstplan!Z198="","",Dienstplan!Z198)</f>
        <v/>
      </c>
      <c r="AA9" s="20">
        <f>IF(Dienstplan!AA198="","",Dienstplan!AA198)</f>
        <v/>
      </c>
      <c r="AB9" s="17">
        <f>IF(Dienstplan!AB198="","",Dienstplan!AB198)</f>
        <v/>
      </c>
      <c r="AC9" s="17">
        <f>IF(Dienstplan!AC198="","",Dienstplan!AC198)</f>
        <v/>
      </c>
      <c r="AD9" s="20">
        <f>IF(Dienstplan!AD198="","",Dienstplan!AD198)</f>
        <v/>
      </c>
      <c r="AE9" s="30">
        <f>IF(Dienstplan!AE198="","",Dienstplan!AE198)</f>
        <v/>
      </c>
    </row>
    <row r="10" ht="16" customHeight="1">
      <c r="A10" s="43" t="inlineStr">
        <is>
          <t>Göpfrich</t>
        </is>
      </c>
      <c r="B10" s="17">
        <f>IF(Dienstplan!B199="","",Dienstplan!B199)</f>
        <v/>
      </c>
      <c r="C10" s="18">
        <f>IF(Dienstplan!C199="","",Dienstplan!C199)</f>
        <v/>
      </c>
      <c r="D10" s="18">
        <f>IF(Dienstplan!D199="","",Dienstplan!D199)</f>
        <v/>
      </c>
      <c r="E10" s="18">
        <f>IF(Dienstplan!E199="","",Dienstplan!E199)</f>
        <v/>
      </c>
      <c r="F10" s="18">
        <f>IF(Dienstplan!F199="","",Dienstplan!F199)</f>
        <v/>
      </c>
      <c r="G10" s="17">
        <f>IF(Dienstplan!G199="","",Dienstplan!G199)</f>
        <v/>
      </c>
      <c r="H10" s="17">
        <f>IF(Dienstplan!H199="","",Dienstplan!H199)</f>
        <v/>
      </c>
      <c r="I10" s="18">
        <f>IF(Dienstplan!I199="","",Dienstplan!I199)</f>
        <v/>
      </c>
      <c r="J10" s="18">
        <f>IF(Dienstplan!J199="","",Dienstplan!J199)</f>
        <v/>
      </c>
      <c r="K10" s="18">
        <f>IF(Dienstplan!K199="","",Dienstplan!K199)</f>
        <v/>
      </c>
      <c r="L10" s="18">
        <f>IF(Dienstplan!L199="","",Dienstplan!L199)</f>
        <v/>
      </c>
      <c r="M10" s="18">
        <f>IF(Dienstplan!M199="","",Dienstplan!M199)</f>
        <v/>
      </c>
      <c r="N10" s="17">
        <f>IF(Dienstplan!N199="","",Dienstplan!N199)</f>
        <v/>
      </c>
      <c r="O10" s="17">
        <f>IF(Dienstplan!O199="","",Dienstplan!O199)</f>
        <v/>
      </c>
      <c r="P10" s="18">
        <f>IF(Dienstplan!P199="","",Dienstplan!P199)</f>
        <v/>
      </c>
      <c r="Q10" s="18">
        <f>IF(Dienstplan!Q199="","",Dienstplan!Q199)</f>
        <v/>
      </c>
      <c r="R10" s="18">
        <f>IF(Dienstplan!R199="","",Dienstplan!R199)</f>
        <v/>
      </c>
      <c r="S10" s="18">
        <f>IF(Dienstplan!S199="","",Dienstplan!S199)</f>
        <v/>
      </c>
      <c r="T10" s="18">
        <f>IF(Dienstplan!T199="","",Dienstplan!T199)</f>
        <v/>
      </c>
      <c r="U10" s="17">
        <f>IF(Dienstplan!U199="","",Dienstplan!U199)</f>
        <v/>
      </c>
      <c r="V10" s="17">
        <f>IF(Dienstplan!V199="","",Dienstplan!V199)</f>
        <v/>
      </c>
      <c r="W10" s="18">
        <f>IF(Dienstplan!W199="","",Dienstplan!W199)</f>
        <v/>
      </c>
      <c r="X10" s="18">
        <f>IF(Dienstplan!X199="","",Dienstplan!X199)</f>
        <v/>
      </c>
      <c r="Y10" s="18">
        <f>IF(Dienstplan!Y199="","",Dienstplan!Y199)</f>
        <v/>
      </c>
      <c r="Z10" s="18">
        <f>IF(Dienstplan!Z199="","",Dienstplan!Z199)</f>
        <v/>
      </c>
      <c r="AA10" s="18">
        <f>IF(Dienstplan!AA199="","",Dienstplan!AA199)</f>
        <v/>
      </c>
      <c r="AB10" s="17">
        <f>IF(Dienstplan!AB199="","",Dienstplan!AB199)</f>
        <v/>
      </c>
      <c r="AC10" s="17">
        <f>IF(Dienstplan!AC199="","",Dienstplan!AC199)</f>
        <v/>
      </c>
      <c r="AD10" s="18">
        <f>IF(Dienstplan!AD199="","",Dienstplan!AD199)</f>
        <v/>
      </c>
      <c r="AE10" s="29">
        <f>IF(Dienstplan!AE199="","",Dienstplan!AE199)</f>
        <v/>
      </c>
    </row>
    <row r="11" ht="16" customHeight="1">
      <c r="A11" s="43" t="inlineStr">
        <is>
          <t>Zeller</t>
        </is>
      </c>
      <c r="B11" s="17">
        <f>IF(Dienstplan!B200="","",Dienstplan!B200)</f>
        <v/>
      </c>
      <c r="C11" s="20">
        <f>IF(Dienstplan!C200="","",Dienstplan!C200)</f>
        <v/>
      </c>
      <c r="D11" s="20">
        <f>IF(Dienstplan!D200="","",Dienstplan!D200)</f>
        <v/>
      </c>
      <c r="E11" s="20">
        <f>IF(Dienstplan!E200="","",Dienstplan!E200)</f>
        <v/>
      </c>
      <c r="F11" s="20">
        <f>IF(Dienstplan!F200="","",Dienstplan!F200)</f>
        <v/>
      </c>
      <c r="G11" s="17">
        <f>IF(Dienstplan!G200="","",Dienstplan!G200)</f>
        <v/>
      </c>
      <c r="H11" s="17">
        <f>IF(Dienstplan!H200="","",Dienstplan!H200)</f>
        <v/>
      </c>
      <c r="I11" s="20">
        <f>IF(Dienstplan!I200="","",Dienstplan!I200)</f>
        <v/>
      </c>
      <c r="J11" s="20">
        <f>IF(Dienstplan!J200="","",Dienstplan!J200)</f>
        <v/>
      </c>
      <c r="K11" s="20">
        <f>IF(Dienstplan!K200="","",Dienstplan!K200)</f>
        <v/>
      </c>
      <c r="L11" s="20">
        <f>IF(Dienstplan!L200="","",Dienstplan!L200)</f>
        <v/>
      </c>
      <c r="M11" s="20">
        <f>IF(Dienstplan!M200="","",Dienstplan!M200)</f>
        <v/>
      </c>
      <c r="N11" s="17">
        <f>IF(Dienstplan!N200="","",Dienstplan!N200)</f>
        <v/>
      </c>
      <c r="O11" s="17">
        <f>IF(Dienstplan!O200="","",Dienstplan!O200)</f>
        <v/>
      </c>
      <c r="P11" s="20">
        <f>IF(Dienstplan!P200="","",Dienstplan!P200)</f>
        <v/>
      </c>
      <c r="Q11" s="20">
        <f>IF(Dienstplan!Q200="","",Dienstplan!Q200)</f>
        <v/>
      </c>
      <c r="R11" s="20">
        <f>IF(Dienstplan!R200="","",Dienstplan!R200)</f>
        <v/>
      </c>
      <c r="S11" s="20">
        <f>IF(Dienstplan!S200="","",Dienstplan!S200)</f>
        <v/>
      </c>
      <c r="T11" s="20">
        <f>IF(Dienstplan!T200="","",Dienstplan!T200)</f>
        <v/>
      </c>
      <c r="U11" s="17">
        <f>IF(Dienstplan!U200="","",Dienstplan!U200)</f>
        <v/>
      </c>
      <c r="V11" s="17">
        <f>IF(Dienstplan!V200="","",Dienstplan!V200)</f>
        <v/>
      </c>
      <c r="W11" s="20">
        <f>IF(Dienstplan!W200="","",Dienstplan!W200)</f>
        <v/>
      </c>
      <c r="X11" s="20">
        <f>IF(Dienstplan!X200="","",Dienstplan!X200)</f>
        <v/>
      </c>
      <c r="Y11" s="20">
        <f>IF(Dienstplan!Y200="","",Dienstplan!Y200)</f>
        <v/>
      </c>
      <c r="Z11" s="20">
        <f>IF(Dienstplan!Z200="","",Dienstplan!Z200)</f>
        <v/>
      </c>
      <c r="AA11" s="20">
        <f>IF(Dienstplan!AA200="","",Dienstplan!AA200)</f>
        <v/>
      </c>
      <c r="AB11" s="17">
        <f>IF(Dienstplan!AB200="","",Dienstplan!AB200)</f>
        <v/>
      </c>
      <c r="AC11" s="17">
        <f>IF(Dienstplan!AC200="","",Dienstplan!AC200)</f>
        <v/>
      </c>
      <c r="AD11" s="20">
        <f>IF(Dienstplan!AD200="","",Dienstplan!AD200)</f>
        <v/>
      </c>
      <c r="AE11" s="30">
        <f>IF(Dienstplan!AE200="","",Dienstplan!AE200)</f>
        <v/>
      </c>
    </row>
    <row r="12" ht="16" customHeight="1">
      <c r="A12" s="43" t="inlineStr">
        <is>
          <t>Behrendt</t>
        </is>
      </c>
      <c r="B12" s="17">
        <f>IF(Dienstplan!B201="","",Dienstplan!B201)</f>
        <v/>
      </c>
      <c r="C12" s="18">
        <f>IF(Dienstplan!C201="","",Dienstplan!C201)</f>
        <v/>
      </c>
      <c r="D12" s="18">
        <f>IF(Dienstplan!D201="","",Dienstplan!D201)</f>
        <v/>
      </c>
      <c r="E12" s="18">
        <f>IF(Dienstplan!E201="","",Dienstplan!E201)</f>
        <v/>
      </c>
      <c r="F12" s="18">
        <f>IF(Dienstplan!F201="","",Dienstplan!F201)</f>
        <v/>
      </c>
      <c r="G12" s="17">
        <f>IF(Dienstplan!G201="","",Dienstplan!G201)</f>
        <v/>
      </c>
      <c r="H12" s="17">
        <f>IF(Dienstplan!H201="","",Dienstplan!H201)</f>
        <v/>
      </c>
      <c r="I12" s="18">
        <f>IF(Dienstplan!I201="","",Dienstplan!I201)</f>
        <v/>
      </c>
      <c r="J12" s="18">
        <f>IF(Dienstplan!J201="","",Dienstplan!J201)</f>
        <v/>
      </c>
      <c r="K12" s="18">
        <f>IF(Dienstplan!K201="","",Dienstplan!K201)</f>
        <v/>
      </c>
      <c r="L12" s="18">
        <f>IF(Dienstplan!L201="","",Dienstplan!L201)</f>
        <v/>
      </c>
      <c r="M12" s="18">
        <f>IF(Dienstplan!M201="","",Dienstplan!M201)</f>
        <v/>
      </c>
      <c r="N12" s="17">
        <f>IF(Dienstplan!N201="","",Dienstplan!N201)</f>
        <v/>
      </c>
      <c r="O12" s="17">
        <f>IF(Dienstplan!O201="","",Dienstplan!O201)</f>
        <v/>
      </c>
      <c r="P12" s="18">
        <f>IF(Dienstplan!P201="","",Dienstplan!P201)</f>
        <v/>
      </c>
      <c r="Q12" s="18">
        <f>IF(Dienstplan!Q201="","",Dienstplan!Q201)</f>
        <v/>
      </c>
      <c r="R12" s="18">
        <f>IF(Dienstplan!R201="","",Dienstplan!R201)</f>
        <v/>
      </c>
      <c r="S12" s="18">
        <f>IF(Dienstplan!S201="","",Dienstplan!S201)</f>
        <v/>
      </c>
      <c r="T12" s="18">
        <f>IF(Dienstplan!T201="","",Dienstplan!T201)</f>
        <v/>
      </c>
      <c r="U12" s="17">
        <f>IF(Dienstplan!U201="","",Dienstplan!U201)</f>
        <v/>
      </c>
      <c r="V12" s="17">
        <f>IF(Dienstplan!V201="","",Dienstplan!V201)</f>
        <v/>
      </c>
      <c r="W12" s="18">
        <f>IF(Dienstplan!W201="","",Dienstplan!W201)</f>
        <v/>
      </c>
      <c r="X12" s="18">
        <f>IF(Dienstplan!X201="","",Dienstplan!X201)</f>
        <v/>
      </c>
      <c r="Y12" s="18">
        <f>IF(Dienstplan!Y201="","",Dienstplan!Y201)</f>
        <v/>
      </c>
      <c r="Z12" s="18">
        <f>IF(Dienstplan!Z201="","",Dienstplan!Z201)</f>
        <v/>
      </c>
      <c r="AA12" s="18">
        <f>IF(Dienstplan!AA201="","",Dienstplan!AA201)</f>
        <v/>
      </c>
      <c r="AB12" s="17">
        <f>IF(Dienstplan!AB201="","",Dienstplan!AB201)</f>
        <v/>
      </c>
      <c r="AC12" s="17">
        <f>IF(Dienstplan!AC201="","",Dienstplan!AC201)</f>
        <v/>
      </c>
      <c r="AD12" s="18">
        <f>IF(Dienstplan!AD201="","",Dienstplan!AD201)</f>
        <v/>
      </c>
      <c r="AE12" s="29">
        <f>IF(Dienstplan!AE201="","",Dienstplan!AE201)</f>
        <v/>
      </c>
    </row>
    <row r="13" ht="16" customHeight="1">
      <c r="A13" s="43" t="inlineStr">
        <is>
          <t>Krempl</t>
        </is>
      </c>
      <c r="B13" s="17">
        <f>IF(Dienstplan!B202="","",Dienstplan!B202)</f>
        <v/>
      </c>
      <c r="C13" s="20">
        <f>IF(Dienstplan!C202="","",Dienstplan!C202)</f>
        <v/>
      </c>
      <c r="D13" s="20">
        <f>IF(Dienstplan!D202="","",Dienstplan!D202)</f>
        <v/>
      </c>
      <c r="E13" s="20">
        <f>IF(Dienstplan!E202="","",Dienstplan!E202)</f>
        <v/>
      </c>
      <c r="F13" s="20">
        <f>IF(Dienstplan!F202="","",Dienstplan!F202)</f>
        <v/>
      </c>
      <c r="G13" s="17">
        <f>IF(Dienstplan!G202="","",Dienstplan!G202)</f>
        <v/>
      </c>
      <c r="H13" s="17">
        <f>IF(Dienstplan!H202="","",Dienstplan!H202)</f>
        <v/>
      </c>
      <c r="I13" s="20">
        <f>IF(Dienstplan!I202="","",Dienstplan!I202)</f>
        <v/>
      </c>
      <c r="J13" s="20">
        <f>IF(Dienstplan!J202="","",Dienstplan!J202)</f>
        <v/>
      </c>
      <c r="K13" s="20">
        <f>IF(Dienstplan!K202="","",Dienstplan!K202)</f>
        <v/>
      </c>
      <c r="L13" s="20">
        <f>IF(Dienstplan!L202="","",Dienstplan!L202)</f>
        <v/>
      </c>
      <c r="M13" s="20">
        <f>IF(Dienstplan!M202="","",Dienstplan!M202)</f>
        <v/>
      </c>
      <c r="N13" s="17">
        <f>IF(Dienstplan!N202="","",Dienstplan!N202)</f>
        <v/>
      </c>
      <c r="O13" s="17">
        <f>IF(Dienstplan!O202="","",Dienstplan!O202)</f>
        <v/>
      </c>
      <c r="P13" s="20">
        <f>IF(Dienstplan!P202="","",Dienstplan!P202)</f>
        <v/>
      </c>
      <c r="Q13" s="20">
        <f>IF(Dienstplan!Q202="","",Dienstplan!Q202)</f>
        <v/>
      </c>
      <c r="R13" s="20">
        <f>IF(Dienstplan!R202="","",Dienstplan!R202)</f>
        <v/>
      </c>
      <c r="S13" s="20">
        <f>IF(Dienstplan!S202="","",Dienstplan!S202)</f>
        <v/>
      </c>
      <c r="T13" s="20">
        <f>IF(Dienstplan!T202="","",Dienstplan!T202)</f>
        <v/>
      </c>
      <c r="U13" s="17">
        <f>IF(Dienstplan!U202="","",Dienstplan!U202)</f>
        <v/>
      </c>
      <c r="V13" s="17">
        <f>IF(Dienstplan!V202="","",Dienstplan!V202)</f>
        <v/>
      </c>
      <c r="W13" s="20">
        <f>IF(Dienstplan!W202="","",Dienstplan!W202)</f>
        <v/>
      </c>
      <c r="X13" s="20">
        <f>IF(Dienstplan!X202="","",Dienstplan!X202)</f>
        <v/>
      </c>
      <c r="Y13" s="20">
        <f>IF(Dienstplan!Y202="","",Dienstplan!Y202)</f>
        <v/>
      </c>
      <c r="Z13" s="20">
        <f>IF(Dienstplan!Z202="","",Dienstplan!Z202)</f>
        <v/>
      </c>
      <c r="AA13" s="20">
        <f>IF(Dienstplan!AA202="","",Dienstplan!AA202)</f>
        <v/>
      </c>
      <c r="AB13" s="17">
        <f>IF(Dienstplan!AB202="","",Dienstplan!AB202)</f>
        <v/>
      </c>
      <c r="AC13" s="17">
        <f>IF(Dienstplan!AC202="","",Dienstplan!AC202)</f>
        <v/>
      </c>
      <c r="AD13" s="20">
        <f>IF(Dienstplan!AD202="","",Dienstplan!AD202)</f>
        <v/>
      </c>
      <c r="AE13" s="30">
        <f>IF(Dienstplan!AE202="","",Dienstplan!AE202)</f>
        <v/>
      </c>
    </row>
    <row r="14" ht="16" customHeight="1">
      <c r="A14" s="43" t="inlineStr">
        <is>
          <t>Putschler</t>
        </is>
      </c>
      <c r="B14" s="17">
        <f>IF(Dienstplan!B203="","",Dienstplan!B203)</f>
        <v/>
      </c>
      <c r="C14" s="18">
        <f>IF(Dienstplan!C203="","",Dienstplan!C203)</f>
        <v/>
      </c>
      <c r="D14" s="18">
        <f>IF(Dienstplan!D203="","",Dienstplan!D203)</f>
        <v/>
      </c>
      <c r="E14" s="18">
        <f>IF(Dienstplan!E203="","",Dienstplan!E203)</f>
        <v/>
      </c>
      <c r="F14" s="18">
        <f>IF(Dienstplan!F203="","",Dienstplan!F203)</f>
        <v/>
      </c>
      <c r="G14" s="17">
        <f>IF(Dienstplan!G203="","",Dienstplan!G203)</f>
        <v/>
      </c>
      <c r="H14" s="17">
        <f>IF(Dienstplan!H203="","",Dienstplan!H203)</f>
        <v/>
      </c>
      <c r="I14" s="18">
        <f>IF(Dienstplan!I203="","",Dienstplan!I203)</f>
        <v/>
      </c>
      <c r="J14" s="18">
        <f>IF(Dienstplan!J203="","",Dienstplan!J203)</f>
        <v/>
      </c>
      <c r="K14" s="18">
        <f>IF(Dienstplan!K203="","",Dienstplan!K203)</f>
        <v/>
      </c>
      <c r="L14" s="18">
        <f>IF(Dienstplan!L203="","",Dienstplan!L203)</f>
        <v/>
      </c>
      <c r="M14" s="18">
        <f>IF(Dienstplan!M203="","",Dienstplan!M203)</f>
        <v/>
      </c>
      <c r="N14" s="17">
        <f>IF(Dienstplan!N203="","",Dienstplan!N203)</f>
        <v/>
      </c>
      <c r="O14" s="17">
        <f>IF(Dienstplan!O203="","",Dienstplan!O203)</f>
        <v/>
      </c>
      <c r="P14" s="18">
        <f>IF(Dienstplan!P203="","",Dienstplan!P203)</f>
        <v/>
      </c>
      <c r="Q14" s="18">
        <f>IF(Dienstplan!Q203="","",Dienstplan!Q203)</f>
        <v/>
      </c>
      <c r="R14" s="18">
        <f>IF(Dienstplan!R203="","",Dienstplan!R203)</f>
        <v/>
      </c>
      <c r="S14" s="18">
        <f>IF(Dienstplan!S203="","",Dienstplan!S203)</f>
        <v/>
      </c>
      <c r="T14" s="18">
        <f>IF(Dienstplan!T203="","",Dienstplan!T203)</f>
        <v/>
      </c>
      <c r="U14" s="17">
        <f>IF(Dienstplan!U203="","",Dienstplan!U203)</f>
        <v/>
      </c>
      <c r="V14" s="17">
        <f>IF(Dienstplan!V203="","",Dienstplan!V203)</f>
        <v/>
      </c>
      <c r="W14" s="18">
        <f>IF(Dienstplan!W203="","",Dienstplan!W203)</f>
        <v/>
      </c>
      <c r="X14" s="18">
        <f>IF(Dienstplan!X203="","",Dienstplan!X203)</f>
        <v/>
      </c>
      <c r="Y14" s="18">
        <f>IF(Dienstplan!Y203="","",Dienstplan!Y203)</f>
        <v/>
      </c>
      <c r="Z14" s="18">
        <f>IF(Dienstplan!Z203="","",Dienstplan!Z203)</f>
        <v/>
      </c>
      <c r="AA14" s="18">
        <f>IF(Dienstplan!AA203="","",Dienstplan!AA203)</f>
        <v/>
      </c>
      <c r="AB14" s="17">
        <f>IF(Dienstplan!AB203="","",Dienstplan!AB203)</f>
        <v/>
      </c>
      <c r="AC14" s="17">
        <f>IF(Dienstplan!AC203="","",Dienstplan!AC203)</f>
        <v/>
      </c>
      <c r="AD14" s="18">
        <f>IF(Dienstplan!AD203="","",Dienstplan!AD203)</f>
        <v/>
      </c>
      <c r="AE14" s="29">
        <f>IF(Dienstplan!AE203="","",Dienstplan!AE203)</f>
        <v/>
      </c>
    </row>
    <row r="15" ht="16" customHeight="1">
      <c r="A15" s="43" t="inlineStr">
        <is>
          <t>Kunz</t>
        </is>
      </c>
      <c r="B15" s="17">
        <f>IF(Dienstplan!B204="","",Dienstplan!B204)</f>
        <v/>
      </c>
      <c r="C15" s="20">
        <f>IF(Dienstplan!C204="","",Dienstplan!C204)</f>
        <v/>
      </c>
      <c r="D15" s="20">
        <f>IF(Dienstplan!D204="","",Dienstplan!D204)</f>
        <v/>
      </c>
      <c r="E15" s="20">
        <f>IF(Dienstplan!E204="","",Dienstplan!E204)</f>
        <v/>
      </c>
      <c r="F15" s="20">
        <f>IF(Dienstplan!F204="","",Dienstplan!F204)</f>
        <v/>
      </c>
      <c r="G15" s="17">
        <f>IF(Dienstplan!G204="","",Dienstplan!G204)</f>
        <v/>
      </c>
      <c r="H15" s="17">
        <f>IF(Dienstplan!H204="","",Dienstplan!H204)</f>
        <v/>
      </c>
      <c r="I15" s="20">
        <f>IF(Dienstplan!I204="","",Dienstplan!I204)</f>
        <v/>
      </c>
      <c r="J15" s="20">
        <f>IF(Dienstplan!J204="","",Dienstplan!J204)</f>
        <v/>
      </c>
      <c r="K15" s="20">
        <f>IF(Dienstplan!K204="","",Dienstplan!K204)</f>
        <v/>
      </c>
      <c r="L15" s="20">
        <f>IF(Dienstplan!L204="","",Dienstplan!L204)</f>
        <v/>
      </c>
      <c r="M15" s="20">
        <f>IF(Dienstplan!M204="","",Dienstplan!M204)</f>
        <v/>
      </c>
      <c r="N15" s="17">
        <f>IF(Dienstplan!N204="","",Dienstplan!N204)</f>
        <v/>
      </c>
      <c r="O15" s="17">
        <f>IF(Dienstplan!O204="","",Dienstplan!O204)</f>
        <v/>
      </c>
      <c r="P15" s="20">
        <f>IF(Dienstplan!P204="","",Dienstplan!P204)</f>
        <v/>
      </c>
      <c r="Q15" s="20">
        <f>IF(Dienstplan!Q204="","",Dienstplan!Q204)</f>
        <v/>
      </c>
      <c r="R15" s="20">
        <f>IF(Dienstplan!R204="","",Dienstplan!R204)</f>
        <v/>
      </c>
      <c r="S15" s="20">
        <f>IF(Dienstplan!S204="","",Dienstplan!S204)</f>
        <v/>
      </c>
      <c r="T15" s="20">
        <f>IF(Dienstplan!T204="","",Dienstplan!T204)</f>
        <v/>
      </c>
      <c r="U15" s="17">
        <f>IF(Dienstplan!U204="","",Dienstplan!U204)</f>
        <v/>
      </c>
      <c r="V15" s="17">
        <f>IF(Dienstplan!V204="","",Dienstplan!V204)</f>
        <v/>
      </c>
      <c r="W15" s="20">
        <f>IF(Dienstplan!W204="","",Dienstplan!W204)</f>
        <v/>
      </c>
      <c r="X15" s="20">
        <f>IF(Dienstplan!X204="","",Dienstplan!X204)</f>
        <v/>
      </c>
      <c r="Y15" s="20">
        <f>IF(Dienstplan!Y204="","",Dienstplan!Y204)</f>
        <v/>
      </c>
      <c r="Z15" s="20">
        <f>IF(Dienstplan!Z204="","",Dienstplan!Z204)</f>
        <v/>
      </c>
      <c r="AA15" s="20">
        <f>IF(Dienstplan!AA204="","",Dienstplan!AA204)</f>
        <v/>
      </c>
      <c r="AB15" s="17">
        <f>IF(Dienstplan!AB204="","",Dienstplan!AB204)</f>
        <v/>
      </c>
      <c r="AC15" s="17">
        <f>IF(Dienstplan!AC204="","",Dienstplan!AC204)</f>
        <v/>
      </c>
      <c r="AD15" s="20">
        <f>IF(Dienstplan!AD204="","",Dienstplan!AD204)</f>
        <v/>
      </c>
      <c r="AE15" s="30">
        <f>IF(Dienstplan!AE204="","",Dienstplan!AE204)</f>
        <v/>
      </c>
    </row>
    <row r="16" hidden="1" ht="16" customHeight="1">
      <c r="A16" s="44" t="inlineStr">
        <is>
          <t>Schmidt</t>
        </is>
      </c>
      <c r="B16" s="17">
        <f>IF(Dienstplan!B205="","",Dienstplan!B205)</f>
        <v/>
      </c>
      <c r="C16" s="18">
        <f>IF(Dienstplan!C205="","",Dienstplan!C205)</f>
        <v/>
      </c>
      <c r="D16" s="18">
        <f>IF(Dienstplan!D205="","",Dienstplan!D205)</f>
        <v/>
      </c>
      <c r="E16" s="18">
        <f>IF(Dienstplan!E205="","",Dienstplan!E205)</f>
        <v/>
      </c>
      <c r="F16" s="18">
        <f>IF(Dienstplan!F205="","",Dienstplan!F205)</f>
        <v/>
      </c>
      <c r="G16" s="17">
        <f>IF(Dienstplan!G205="","",Dienstplan!G205)</f>
        <v/>
      </c>
      <c r="H16" s="17">
        <f>IF(Dienstplan!H205="","",Dienstplan!H205)</f>
        <v/>
      </c>
      <c r="I16" s="18">
        <f>IF(Dienstplan!I205="","",Dienstplan!I205)</f>
        <v/>
      </c>
      <c r="J16" s="18">
        <f>IF(Dienstplan!J205="","",Dienstplan!J205)</f>
        <v/>
      </c>
      <c r="K16" s="18">
        <f>IF(Dienstplan!K205="","",Dienstplan!K205)</f>
        <v/>
      </c>
      <c r="L16" s="18">
        <f>IF(Dienstplan!L205="","",Dienstplan!L205)</f>
        <v/>
      </c>
      <c r="M16" s="18">
        <f>IF(Dienstplan!M205="","",Dienstplan!M205)</f>
        <v/>
      </c>
      <c r="N16" s="17">
        <f>IF(Dienstplan!N205="","",Dienstplan!N205)</f>
        <v/>
      </c>
      <c r="O16" s="17">
        <f>IF(Dienstplan!O205="","",Dienstplan!O205)</f>
        <v/>
      </c>
      <c r="P16" s="18">
        <f>IF(Dienstplan!P205="","",Dienstplan!P205)</f>
        <v/>
      </c>
      <c r="Q16" s="18">
        <f>IF(Dienstplan!Q205="","",Dienstplan!Q205)</f>
        <v/>
      </c>
      <c r="R16" s="18">
        <f>IF(Dienstplan!R205="","",Dienstplan!R205)</f>
        <v/>
      </c>
      <c r="S16" s="18">
        <f>IF(Dienstplan!S205="","",Dienstplan!S205)</f>
        <v/>
      </c>
      <c r="T16" s="18">
        <f>IF(Dienstplan!T205="","",Dienstplan!T205)</f>
        <v/>
      </c>
      <c r="U16" s="17">
        <f>IF(Dienstplan!U205="","",Dienstplan!U205)</f>
        <v/>
      </c>
      <c r="V16" s="17">
        <f>IF(Dienstplan!V205="","",Dienstplan!V205)</f>
        <v/>
      </c>
      <c r="W16" s="18">
        <f>IF(Dienstplan!W205="","",Dienstplan!W205)</f>
        <v/>
      </c>
      <c r="X16" s="18">
        <f>IF(Dienstplan!X205="","",Dienstplan!X205)</f>
        <v/>
      </c>
      <c r="Y16" s="18">
        <f>IF(Dienstplan!Y205="","",Dienstplan!Y205)</f>
        <v/>
      </c>
      <c r="Z16" s="18">
        <f>IF(Dienstplan!Z205="","",Dienstplan!Z205)</f>
        <v/>
      </c>
      <c r="AA16" s="18">
        <f>IF(Dienstplan!AA205="","",Dienstplan!AA205)</f>
        <v/>
      </c>
      <c r="AB16" s="17">
        <f>IF(Dienstplan!AB205="","",Dienstplan!AB205)</f>
        <v/>
      </c>
      <c r="AC16" s="17">
        <f>IF(Dienstplan!AC205="","",Dienstplan!AC205)</f>
        <v/>
      </c>
      <c r="AD16" s="18">
        <f>IF(Dienstplan!AD205="","",Dienstplan!AD205)</f>
        <v/>
      </c>
      <c r="AE16" s="29">
        <f>IF(Dienstplan!AE205="","",Dienstplan!AE205)</f>
        <v/>
      </c>
    </row>
    <row r="17" hidden="1" ht="16" customHeight="1">
      <c r="A17" s="44" t="inlineStr">
        <is>
          <t>Radimersky</t>
        </is>
      </c>
      <c r="B17" s="17">
        <f>IF(Dienstplan!B206="","",Dienstplan!B206)</f>
        <v/>
      </c>
      <c r="C17" s="20">
        <f>IF(Dienstplan!C206="","",Dienstplan!C206)</f>
        <v/>
      </c>
      <c r="D17" s="20">
        <f>IF(Dienstplan!D206="","",Dienstplan!D206)</f>
        <v/>
      </c>
      <c r="E17" s="20">
        <f>IF(Dienstplan!E206="","",Dienstplan!E206)</f>
        <v/>
      </c>
      <c r="F17" s="20">
        <f>IF(Dienstplan!F206="","",Dienstplan!F206)</f>
        <v/>
      </c>
      <c r="G17" s="17">
        <f>IF(Dienstplan!G206="","",Dienstplan!G206)</f>
        <v/>
      </c>
      <c r="H17" s="17">
        <f>IF(Dienstplan!H206="","",Dienstplan!H206)</f>
        <v/>
      </c>
      <c r="I17" s="20">
        <f>IF(Dienstplan!I206="","",Dienstplan!I206)</f>
        <v/>
      </c>
      <c r="J17" s="20">
        <f>IF(Dienstplan!J206="","",Dienstplan!J206)</f>
        <v/>
      </c>
      <c r="K17" s="20">
        <f>IF(Dienstplan!K206="","",Dienstplan!K206)</f>
        <v/>
      </c>
      <c r="L17" s="20">
        <f>IF(Dienstplan!L206="","",Dienstplan!L206)</f>
        <v/>
      </c>
      <c r="M17" s="20">
        <f>IF(Dienstplan!M206="","",Dienstplan!M206)</f>
        <v/>
      </c>
      <c r="N17" s="17">
        <f>IF(Dienstplan!N206="","",Dienstplan!N206)</f>
        <v/>
      </c>
      <c r="O17" s="17">
        <f>IF(Dienstplan!O206="","",Dienstplan!O206)</f>
        <v/>
      </c>
      <c r="P17" s="20">
        <f>IF(Dienstplan!P206="","",Dienstplan!P206)</f>
        <v/>
      </c>
      <c r="Q17" s="20">
        <f>IF(Dienstplan!Q206="","",Dienstplan!Q206)</f>
        <v/>
      </c>
      <c r="R17" s="20">
        <f>IF(Dienstplan!R206="","",Dienstplan!R206)</f>
        <v/>
      </c>
      <c r="S17" s="20">
        <f>IF(Dienstplan!S206="","",Dienstplan!S206)</f>
        <v/>
      </c>
      <c r="T17" s="20">
        <f>IF(Dienstplan!T206="","",Dienstplan!T206)</f>
        <v/>
      </c>
      <c r="U17" s="17">
        <f>IF(Dienstplan!U206="","",Dienstplan!U206)</f>
        <v/>
      </c>
      <c r="V17" s="17">
        <f>IF(Dienstplan!V206="","",Dienstplan!V206)</f>
        <v/>
      </c>
      <c r="W17" s="20">
        <f>IF(Dienstplan!W206="","",Dienstplan!W206)</f>
        <v/>
      </c>
      <c r="X17" s="20">
        <f>IF(Dienstplan!X206="","",Dienstplan!X206)</f>
        <v/>
      </c>
      <c r="Y17" s="20">
        <f>IF(Dienstplan!Y206="","",Dienstplan!Y206)</f>
        <v/>
      </c>
      <c r="Z17" s="20">
        <f>IF(Dienstplan!Z206="","",Dienstplan!Z206)</f>
        <v/>
      </c>
      <c r="AA17" s="20">
        <f>IF(Dienstplan!AA206="","",Dienstplan!AA206)</f>
        <v/>
      </c>
      <c r="AB17" s="17">
        <f>IF(Dienstplan!AB206="","",Dienstplan!AB206)</f>
        <v/>
      </c>
      <c r="AC17" s="17">
        <f>IF(Dienstplan!AC206="","",Dienstplan!AC206)</f>
        <v/>
      </c>
      <c r="AD17" s="20">
        <f>IF(Dienstplan!AD206="","",Dienstplan!AD206)</f>
        <v/>
      </c>
      <c r="AE17" s="30">
        <f>IF(Dienstplan!AE206="","",Dienstplan!AE206)</f>
        <v/>
      </c>
    </row>
    <row r="18" ht="15" customHeight="1">
      <c r="A18" s="21" t="inlineStr">
        <is>
          <t>Besetzung</t>
        </is>
      </c>
      <c r="B18" s="22" t="n"/>
      <c r="C18" s="23">
        <f>IF(AND(COUNTIF(C6:C17,"FI")&gt;0,COUNTIF(C6:C17,"SI")&gt;0,COUNTIF(C6:C17,"NI")&gt;0),"","!")</f>
        <v/>
      </c>
      <c r="D18" s="23">
        <f>IF(AND(COUNTIF(D6:D17,"FI")&gt;0,COUNTIF(D6:D17,"SI")&gt;0,COUNTIF(D6:D17,"NI")&gt;0),"","!")</f>
        <v/>
      </c>
      <c r="E18" s="23">
        <f>IF(AND(COUNTIF(E6:E17,"FI")&gt;0,COUNTIF(E6:E17,"SI")&gt;0,COUNTIF(E6:E17,"NI")&gt;0),"","!")</f>
        <v/>
      </c>
      <c r="F18" s="23">
        <f>IF(AND(COUNTIF(F6:F17,"FI")&gt;0,COUNTIF(F6:F17,"SI")&gt;0),"","!")</f>
        <v/>
      </c>
      <c r="G18" s="22" t="n"/>
      <c r="H18" s="22" t="n"/>
      <c r="I18" s="23">
        <f>IF(AND(COUNTIF(I6:I17,"FI")&gt;0,COUNTIF(I6:I17,"SI")&gt;0,COUNTIF(I6:I17,"NI")&gt;0),"","!")</f>
        <v/>
      </c>
      <c r="J18" s="23">
        <f>IF(AND(COUNTIF(J6:J17,"FI")&gt;0,COUNTIF(J6:J17,"SI")&gt;0,COUNTIF(J6:J17,"NI")&gt;0),"","!")</f>
        <v/>
      </c>
      <c r="K18" s="23">
        <f>IF(AND(COUNTIF(K6:K17,"FI")&gt;0,COUNTIF(K6:K17,"SI")&gt;0,COUNTIF(K6:K17,"NI")&gt;0),"","!")</f>
        <v/>
      </c>
      <c r="L18" s="23">
        <f>IF(AND(COUNTIF(L6:L17,"FI")&gt;0,COUNTIF(L6:L17,"SI")&gt;0,COUNTIF(L6:L17,"NI")&gt;0),"","!")</f>
        <v/>
      </c>
      <c r="M18" s="23">
        <f>IF(AND(COUNTIF(M6:M17,"FI")&gt;0,COUNTIF(M6:M17,"SI")&gt;0),"","!")</f>
        <v/>
      </c>
      <c r="N18" s="22" t="n"/>
      <c r="O18" s="22" t="n"/>
      <c r="P18" s="23">
        <f>IF(AND(COUNTIF(P6:P17,"FI")&gt;0,COUNTIF(P6:P17,"SI")&gt;0,COUNTIF(P6:P17,"NI")&gt;0),"","!")</f>
        <v/>
      </c>
      <c r="Q18" s="23">
        <f>IF(AND(COUNTIF(Q6:Q17,"FI")&gt;0,COUNTIF(Q6:Q17,"SI")&gt;0,COUNTIF(Q6:Q17,"NI")&gt;0),"","!")</f>
        <v/>
      </c>
      <c r="R18" s="23">
        <f>IF(AND(COUNTIF(R6:R17,"FI")&gt;0,COUNTIF(R6:R17,"SI")&gt;0,COUNTIF(R6:R17,"NI")&gt;0),"","!")</f>
        <v/>
      </c>
      <c r="S18" s="23">
        <f>IF(AND(COUNTIF(S6:S17,"FI")&gt;0,COUNTIF(S6:S17,"SI")&gt;0,COUNTIF(S6:S17,"NI")&gt;0),"","!")</f>
        <v/>
      </c>
      <c r="T18" s="23">
        <f>IF(AND(COUNTIF(T6:T17,"FI")&gt;0,COUNTIF(T6:T17,"SI")&gt;0),"","!")</f>
        <v/>
      </c>
      <c r="U18" s="22" t="n"/>
      <c r="V18" s="22" t="n"/>
      <c r="W18" s="23">
        <f>IF(AND(COUNTIF(W6:W17,"FI")&gt;0,COUNTIF(W6:W17,"SI")&gt;0,COUNTIF(W6:W17,"NI")&gt;0),"","!")</f>
        <v/>
      </c>
      <c r="X18" s="23">
        <f>IF(AND(COUNTIF(X6:X17,"FI")&gt;0,COUNTIF(X6:X17,"SI")&gt;0,COUNTIF(X6:X17,"NI")&gt;0),"","!")</f>
        <v/>
      </c>
      <c r="Y18" s="23">
        <f>IF(AND(COUNTIF(Y6:Y17,"FI")&gt;0,COUNTIF(Y6:Y17,"SI")&gt;0,COUNTIF(Y6:Y17,"NI")&gt;0),"","!")</f>
        <v/>
      </c>
      <c r="Z18" s="23">
        <f>IF(AND(COUNTIF(Z6:Z17,"FI")&gt;0,COUNTIF(Z6:Z17,"SI")&gt;0,COUNTIF(Z6:Z17,"NI")&gt;0),"","!")</f>
        <v/>
      </c>
      <c r="AA18" s="23">
        <f>IF(AND(COUNTIF(AA6:AA17,"FI")&gt;0,COUNTIF(AA6:AA17,"SI")&gt;0),"","!")</f>
        <v/>
      </c>
      <c r="AB18" s="22" t="n"/>
      <c r="AC18" s="22" t="n"/>
      <c r="AD18" s="23">
        <f>IF(AND(COUNTIF(AD6:AD17,"FI")&gt;0,COUNTIF(AD6:AD17,"SI")&gt;0,COUNTIF(AD6:AD17,"NI")&gt;0),"","!")</f>
        <v/>
      </c>
      <c r="AE18" s="31">
        <f>IF(AND(COUNTIF(AE6:AE17,"FI")&gt;0,COUNTIF(AE6:AE17,"SI")&gt;0,COUNTIF(AE6:AE17,"NI")&gt;0),"","!")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3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E18">
    <cfRule type="cellIs" priority="1" operator="equal" dxfId="5" stopIfTrue="1">
      <formula>"!"</formula>
    </cfRule>
  </conditionalFormatting>
  <conditionalFormatting sqref="B6:AE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Dezember 2027</t>
        </is>
      </c>
      <c r="AC1" s="33" t="inlineStr">
        <is>
          <t>AT: 23   Sa: 4</t>
        </is>
      </c>
    </row>
    <row r="2">
      <c r="X2" s="25" t="inlineStr">
        <is>
          <t>Weihnachtsferien</t>
        </is>
      </c>
    </row>
    <row r="3" ht="18" customHeight="1">
      <c r="A3" s="34" t="inlineStr">
        <is>
          <t>Tag</t>
        </is>
      </c>
      <c r="B3" s="36" t="n">
        <v>1</v>
      </c>
      <c r="C3" s="36" t="n">
        <v>2</v>
      </c>
      <c r="D3" s="36" t="n">
        <v>3</v>
      </c>
      <c r="E3" s="35" t="n">
        <v>4</v>
      </c>
      <c r="F3" s="35" t="n">
        <v>5</v>
      </c>
      <c r="G3" s="36" t="n">
        <v>6</v>
      </c>
      <c r="H3" s="36" t="n">
        <v>7</v>
      </c>
      <c r="I3" s="36" t="n">
        <v>8</v>
      </c>
      <c r="J3" s="36" t="n">
        <v>9</v>
      </c>
      <c r="K3" s="36" t="n">
        <v>10</v>
      </c>
      <c r="L3" s="35" t="n">
        <v>11</v>
      </c>
      <c r="M3" s="35" t="n">
        <v>12</v>
      </c>
      <c r="N3" s="36" t="n">
        <v>13</v>
      </c>
      <c r="O3" s="36" t="n">
        <v>14</v>
      </c>
      <c r="P3" s="36" t="n">
        <v>15</v>
      </c>
      <c r="Q3" s="36" t="n">
        <v>16</v>
      </c>
      <c r="R3" s="36" t="n">
        <v>17</v>
      </c>
      <c r="S3" s="35" t="n">
        <v>18</v>
      </c>
      <c r="T3" s="35" t="n">
        <v>19</v>
      </c>
      <c r="U3" s="36" t="n">
        <v>20</v>
      </c>
      <c r="V3" s="36" t="n">
        <v>21</v>
      </c>
      <c r="W3" s="36" t="n">
        <v>22</v>
      </c>
      <c r="X3" s="36" t="n">
        <v>23</v>
      </c>
      <c r="Y3" s="36" t="n">
        <v>24</v>
      </c>
      <c r="Z3" s="35" t="n">
        <v>25</v>
      </c>
      <c r="AA3" s="35" t="n">
        <v>26</v>
      </c>
      <c r="AB3" s="36" t="n">
        <v>27</v>
      </c>
      <c r="AC3" s="36" t="n">
        <v>28</v>
      </c>
      <c r="AD3" s="36" t="n">
        <v>29</v>
      </c>
      <c r="AE3" s="36" t="n">
        <v>30</v>
      </c>
      <c r="AF3" s="65" t="n">
        <v>31</v>
      </c>
    </row>
    <row r="4" ht="18" customHeight="1">
      <c r="A4" s="9" t="inlineStr">
        <is>
          <t>WT</t>
        </is>
      </c>
      <c r="B4" s="14" t="inlineStr">
        <is>
          <t>Mi</t>
        </is>
      </c>
      <c r="C4" s="14" t="inlineStr">
        <is>
          <t>Do</t>
        </is>
      </c>
      <c r="D4" s="14" t="inlineStr">
        <is>
          <t>Fr</t>
        </is>
      </c>
      <c r="E4" s="13" t="inlineStr">
        <is>
          <t>Sa</t>
        </is>
      </c>
      <c r="F4" s="13" t="inlineStr">
        <is>
          <t>So</t>
        </is>
      </c>
      <c r="G4" s="14" t="inlineStr">
        <is>
          <t>Mo</t>
        </is>
      </c>
      <c r="H4" s="14" t="inlineStr">
        <is>
          <t>Di</t>
        </is>
      </c>
      <c r="I4" s="14" t="inlineStr">
        <is>
          <t>Mi</t>
        </is>
      </c>
      <c r="J4" s="14" t="inlineStr">
        <is>
          <t>Do</t>
        </is>
      </c>
      <c r="K4" s="14" t="inlineStr">
        <is>
          <t>Fr</t>
        </is>
      </c>
      <c r="L4" s="13" t="inlineStr">
        <is>
          <t>Sa</t>
        </is>
      </c>
      <c r="M4" s="13" t="inlineStr">
        <is>
          <t>So</t>
        </is>
      </c>
      <c r="N4" s="14" t="inlineStr">
        <is>
          <t>Mo</t>
        </is>
      </c>
      <c r="O4" s="14" t="inlineStr">
        <is>
          <t>Di</t>
        </is>
      </c>
      <c r="P4" s="14" t="inlineStr">
        <is>
          <t>Mi</t>
        </is>
      </c>
      <c r="Q4" s="14" t="inlineStr">
        <is>
          <t>Do</t>
        </is>
      </c>
      <c r="R4" s="14" t="inlineStr">
        <is>
          <t>Fr</t>
        </is>
      </c>
      <c r="S4" s="13" t="inlineStr">
        <is>
          <t>Sa</t>
        </is>
      </c>
      <c r="T4" s="13" t="inlineStr">
        <is>
          <t>So</t>
        </is>
      </c>
      <c r="U4" s="14" t="inlineStr">
        <is>
          <t>Mo</t>
        </is>
      </c>
      <c r="V4" s="14" t="inlineStr">
        <is>
          <t>Di</t>
        </is>
      </c>
      <c r="W4" s="14" t="inlineStr">
        <is>
          <t>Mi</t>
        </is>
      </c>
      <c r="X4" s="14" t="inlineStr">
        <is>
          <t>Do</t>
        </is>
      </c>
      <c r="Y4" s="14" t="inlineStr">
        <is>
          <t>Fr</t>
        </is>
      </c>
      <c r="Z4" s="13" t="inlineStr">
        <is>
          <t>Sa</t>
        </is>
      </c>
      <c r="AA4" s="13" t="inlineStr">
        <is>
          <t>So</t>
        </is>
      </c>
      <c r="AB4" s="14" t="inlineStr">
        <is>
          <t>Mo</t>
        </is>
      </c>
      <c r="AC4" s="14" t="inlineStr">
        <is>
          <t>Di</t>
        </is>
      </c>
      <c r="AD4" s="14" t="inlineStr">
        <is>
          <t>Mi</t>
        </is>
      </c>
      <c r="AE4" s="14" t="inlineStr">
        <is>
          <t>Do</t>
        </is>
      </c>
      <c r="AF4" s="28" t="inlineStr">
        <is>
          <t>Fr</t>
        </is>
      </c>
    </row>
    <row r="5" ht="15" customHeight="1">
      <c r="A5" s="9" t="inlineStr">
        <is>
          <t>KW</t>
        </is>
      </c>
      <c r="B5" s="40" t="n">
        <v>48</v>
      </c>
      <c r="C5" s="41" t="n"/>
      <c r="D5" s="41" t="n"/>
      <c r="E5" s="39" t="n"/>
      <c r="F5" s="39" t="n"/>
      <c r="G5" s="40" t="n">
        <v>49</v>
      </c>
      <c r="H5" s="41" t="n"/>
      <c r="I5" s="41" t="n"/>
      <c r="J5" s="41" t="n"/>
      <c r="K5" s="41" t="n"/>
      <c r="L5" s="39" t="n"/>
      <c r="M5" s="39" t="n"/>
      <c r="N5" s="40" t="n">
        <v>50</v>
      </c>
      <c r="O5" s="41" t="n"/>
      <c r="P5" s="41" t="n"/>
      <c r="Q5" s="41" t="n"/>
      <c r="R5" s="41" t="n"/>
      <c r="S5" s="39" t="n"/>
      <c r="T5" s="39" t="n"/>
      <c r="U5" s="40" t="n">
        <v>51</v>
      </c>
      <c r="V5" s="41" t="n"/>
      <c r="W5" s="41" t="n"/>
      <c r="X5" s="41" t="n"/>
      <c r="Y5" s="41" t="n"/>
      <c r="Z5" s="39" t="n"/>
      <c r="AA5" s="39" t="n"/>
      <c r="AB5" s="40" t="n">
        <v>52</v>
      </c>
      <c r="AC5" s="41" t="n"/>
      <c r="AD5" s="41" t="n"/>
      <c r="AE5" s="41" t="n"/>
      <c r="AF5" s="66" t="n"/>
    </row>
    <row r="6" ht="16" customHeight="1">
      <c r="A6" s="43" t="inlineStr">
        <is>
          <t>Breig</t>
        </is>
      </c>
      <c r="B6" s="18">
        <f>IF(Dienstplan!B214="","",Dienstplan!B214)</f>
        <v/>
      </c>
      <c r="C6" s="18">
        <f>IF(Dienstplan!C214="","",Dienstplan!C214)</f>
        <v/>
      </c>
      <c r="D6" s="18">
        <f>IF(Dienstplan!D214="","",Dienstplan!D214)</f>
        <v/>
      </c>
      <c r="E6" s="17">
        <f>IF(Dienstplan!E214="","",Dienstplan!E214)</f>
        <v/>
      </c>
      <c r="F6" s="17">
        <f>IF(Dienstplan!F214="","",Dienstplan!F214)</f>
        <v/>
      </c>
      <c r="G6" s="18">
        <f>IF(Dienstplan!G214="","",Dienstplan!G214)</f>
        <v/>
      </c>
      <c r="H6" s="18">
        <f>IF(Dienstplan!H214="","",Dienstplan!H214)</f>
        <v/>
      </c>
      <c r="I6" s="18">
        <f>IF(Dienstplan!I214="","",Dienstplan!I214)</f>
        <v/>
      </c>
      <c r="J6" s="18">
        <f>IF(Dienstplan!J214="","",Dienstplan!J214)</f>
        <v/>
      </c>
      <c r="K6" s="18">
        <f>IF(Dienstplan!K214="","",Dienstplan!K214)</f>
        <v/>
      </c>
      <c r="L6" s="17">
        <f>IF(Dienstplan!L214="","",Dienstplan!L214)</f>
        <v/>
      </c>
      <c r="M6" s="17">
        <f>IF(Dienstplan!M214="","",Dienstplan!M214)</f>
        <v/>
      </c>
      <c r="N6" s="18">
        <f>IF(Dienstplan!N214="","",Dienstplan!N214)</f>
        <v/>
      </c>
      <c r="O6" s="18">
        <f>IF(Dienstplan!O214="","",Dienstplan!O214)</f>
        <v/>
      </c>
      <c r="P6" s="18">
        <f>IF(Dienstplan!P214="","",Dienstplan!P214)</f>
        <v/>
      </c>
      <c r="Q6" s="18">
        <f>IF(Dienstplan!Q214="","",Dienstplan!Q214)</f>
        <v/>
      </c>
      <c r="R6" s="18">
        <f>IF(Dienstplan!R214="","",Dienstplan!R214)</f>
        <v/>
      </c>
      <c r="S6" s="17">
        <f>IF(Dienstplan!S214="","",Dienstplan!S214)</f>
        <v/>
      </c>
      <c r="T6" s="17">
        <f>IF(Dienstplan!T214="","",Dienstplan!T214)</f>
        <v/>
      </c>
      <c r="U6" s="18">
        <f>IF(Dienstplan!U214="","",Dienstplan!U214)</f>
        <v/>
      </c>
      <c r="V6" s="18">
        <f>IF(Dienstplan!V214="","",Dienstplan!V214)</f>
        <v/>
      </c>
      <c r="W6" s="18">
        <f>IF(Dienstplan!W214="","",Dienstplan!W214)</f>
        <v/>
      </c>
      <c r="X6" s="18">
        <f>IF(Dienstplan!X214="","",Dienstplan!X214)</f>
        <v/>
      </c>
      <c r="Y6" s="18">
        <f>IF(Dienstplan!Y214="","",Dienstplan!Y214)</f>
        <v/>
      </c>
      <c r="Z6" s="17">
        <f>IF(Dienstplan!Z214="","",Dienstplan!Z214)</f>
        <v/>
      </c>
      <c r="AA6" s="17">
        <f>IF(Dienstplan!AA214="","",Dienstplan!AA214)</f>
        <v/>
      </c>
      <c r="AB6" s="18">
        <f>IF(Dienstplan!AB214="","",Dienstplan!AB214)</f>
        <v/>
      </c>
      <c r="AC6" s="18">
        <f>IF(Dienstplan!AC214="","",Dienstplan!AC214)</f>
        <v/>
      </c>
      <c r="AD6" s="18">
        <f>IF(Dienstplan!AD214="","",Dienstplan!AD214)</f>
        <v/>
      </c>
      <c r="AE6" s="18">
        <f>IF(Dienstplan!AE214="","",Dienstplan!AE214)</f>
        <v/>
      </c>
      <c r="AF6" s="29">
        <f>IF(Dienstplan!AF214="","",Dienstplan!AF214)</f>
        <v/>
      </c>
    </row>
    <row r="7" ht="16" customHeight="1">
      <c r="A7" s="43" t="inlineStr">
        <is>
          <t>Siebert</t>
        </is>
      </c>
      <c r="B7" s="20">
        <f>IF(Dienstplan!B215="","",Dienstplan!B215)</f>
        <v/>
      </c>
      <c r="C7" s="20">
        <f>IF(Dienstplan!C215="","",Dienstplan!C215)</f>
        <v/>
      </c>
      <c r="D7" s="20">
        <f>IF(Dienstplan!D215="","",Dienstplan!D215)</f>
        <v/>
      </c>
      <c r="E7" s="17">
        <f>IF(Dienstplan!E215="","",Dienstplan!E215)</f>
        <v/>
      </c>
      <c r="F7" s="17">
        <f>IF(Dienstplan!F215="","",Dienstplan!F215)</f>
        <v/>
      </c>
      <c r="G7" s="20">
        <f>IF(Dienstplan!G215="","",Dienstplan!G215)</f>
        <v/>
      </c>
      <c r="H7" s="20">
        <f>IF(Dienstplan!H215="","",Dienstplan!H215)</f>
        <v/>
      </c>
      <c r="I7" s="20">
        <f>IF(Dienstplan!I215="","",Dienstplan!I215)</f>
        <v/>
      </c>
      <c r="J7" s="20">
        <f>IF(Dienstplan!J215="","",Dienstplan!J215)</f>
        <v/>
      </c>
      <c r="K7" s="20">
        <f>IF(Dienstplan!K215="","",Dienstplan!K215)</f>
        <v/>
      </c>
      <c r="L7" s="17">
        <f>IF(Dienstplan!L215="","",Dienstplan!L215)</f>
        <v/>
      </c>
      <c r="M7" s="17">
        <f>IF(Dienstplan!M215="","",Dienstplan!M215)</f>
        <v/>
      </c>
      <c r="N7" s="20">
        <f>IF(Dienstplan!N215="","",Dienstplan!N215)</f>
        <v/>
      </c>
      <c r="O7" s="20">
        <f>IF(Dienstplan!O215="","",Dienstplan!O215)</f>
        <v/>
      </c>
      <c r="P7" s="20">
        <f>IF(Dienstplan!P215="","",Dienstplan!P215)</f>
        <v/>
      </c>
      <c r="Q7" s="20">
        <f>IF(Dienstplan!Q215="","",Dienstplan!Q215)</f>
        <v/>
      </c>
      <c r="R7" s="20">
        <f>IF(Dienstplan!R215="","",Dienstplan!R215)</f>
        <v/>
      </c>
      <c r="S7" s="17">
        <f>IF(Dienstplan!S215="","",Dienstplan!S215)</f>
        <v/>
      </c>
      <c r="T7" s="17">
        <f>IF(Dienstplan!T215="","",Dienstplan!T215)</f>
        <v/>
      </c>
      <c r="U7" s="20">
        <f>IF(Dienstplan!U215="","",Dienstplan!U215)</f>
        <v/>
      </c>
      <c r="V7" s="20">
        <f>IF(Dienstplan!V215="","",Dienstplan!V215)</f>
        <v/>
      </c>
      <c r="W7" s="20">
        <f>IF(Dienstplan!W215="","",Dienstplan!W215)</f>
        <v/>
      </c>
      <c r="X7" s="20">
        <f>IF(Dienstplan!X215="","",Dienstplan!X215)</f>
        <v/>
      </c>
      <c r="Y7" s="20">
        <f>IF(Dienstplan!Y215="","",Dienstplan!Y215)</f>
        <v/>
      </c>
      <c r="Z7" s="17">
        <f>IF(Dienstplan!Z215="","",Dienstplan!Z215)</f>
        <v/>
      </c>
      <c r="AA7" s="17">
        <f>IF(Dienstplan!AA215="","",Dienstplan!AA215)</f>
        <v/>
      </c>
      <c r="AB7" s="20">
        <f>IF(Dienstplan!AB215="","",Dienstplan!AB215)</f>
        <v/>
      </c>
      <c r="AC7" s="20">
        <f>IF(Dienstplan!AC215="","",Dienstplan!AC215)</f>
        <v/>
      </c>
      <c r="AD7" s="20">
        <f>IF(Dienstplan!AD215="","",Dienstplan!AD215)</f>
        <v/>
      </c>
      <c r="AE7" s="20">
        <f>IF(Dienstplan!AE215="","",Dienstplan!AE215)</f>
        <v/>
      </c>
      <c r="AF7" s="30">
        <f>IF(Dienstplan!AF215="","",Dienstplan!AF215)</f>
        <v/>
      </c>
    </row>
    <row r="8" ht="16" customHeight="1">
      <c r="A8" s="43" t="inlineStr">
        <is>
          <t>Jochim</t>
        </is>
      </c>
      <c r="B8" s="18">
        <f>IF(Dienstplan!B216="","",Dienstplan!B216)</f>
        <v/>
      </c>
      <c r="C8" s="18">
        <f>IF(Dienstplan!C216="","",Dienstplan!C216)</f>
        <v/>
      </c>
      <c r="D8" s="18">
        <f>IF(Dienstplan!D216="","",Dienstplan!D216)</f>
        <v/>
      </c>
      <c r="E8" s="17">
        <f>IF(Dienstplan!E216="","",Dienstplan!E216)</f>
        <v/>
      </c>
      <c r="F8" s="17">
        <f>IF(Dienstplan!F216="","",Dienstplan!F216)</f>
        <v/>
      </c>
      <c r="G8" s="18">
        <f>IF(Dienstplan!G216="","",Dienstplan!G216)</f>
        <v/>
      </c>
      <c r="H8" s="18">
        <f>IF(Dienstplan!H216="","",Dienstplan!H216)</f>
        <v/>
      </c>
      <c r="I8" s="18">
        <f>IF(Dienstplan!I216="","",Dienstplan!I216)</f>
        <v/>
      </c>
      <c r="J8" s="18">
        <f>IF(Dienstplan!J216="","",Dienstplan!J216)</f>
        <v/>
      </c>
      <c r="K8" s="18">
        <f>IF(Dienstplan!K216="","",Dienstplan!K216)</f>
        <v/>
      </c>
      <c r="L8" s="17">
        <f>IF(Dienstplan!L216="","",Dienstplan!L216)</f>
        <v/>
      </c>
      <c r="M8" s="17">
        <f>IF(Dienstplan!M216="","",Dienstplan!M216)</f>
        <v/>
      </c>
      <c r="N8" s="18">
        <f>IF(Dienstplan!N216="","",Dienstplan!N216)</f>
        <v/>
      </c>
      <c r="O8" s="18">
        <f>IF(Dienstplan!O216="","",Dienstplan!O216)</f>
        <v/>
      </c>
      <c r="P8" s="18">
        <f>IF(Dienstplan!P216="","",Dienstplan!P216)</f>
        <v/>
      </c>
      <c r="Q8" s="18">
        <f>IF(Dienstplan!Q216="","",Dienstplan!Q216)</f>
        <v/>
      </c>
      <c r="R8" s="18">
        <f>IF(Dienstplan!R216="","",Dienstplan!R216)</f>
        <v/>
      </c>
      <c r="S8" s="17">
        <f>IF(Dienstplan!S216="","",Dienstplan!S216)</f>
        <v/>
      </c>
      <c r="T8" s="17">
        <f>IF(Dienstplan!T216="","",Dienstplan!T216)</f>
        <v/>
      </c>
      <c r="U8" s="18">
        <f>IF(Dienstplan!U216="","",Dienstplan!U216)</f>
        <v/>
      </c>
      <c r="V8" s="18">
        <f>IF(Dienstplan!V216="","",Dienstplan!V216)</f>
        <v/>
      </c>
      <c r="W8" s="18">
        <f>IF(Dienstplan!W216="","",Dienstplan!W216)</f>
        <v/>
      </c>
      <c r="X8" s="18">
        <f>IF(Dienstplan!X216="","",Dienstplan!X216)</f>
        <v/>
      </c>
      <c r="Y8" s="18">
        <f>IF(Dienstplan!Y216="","",Dienstplan!Y216)</f>
        <v/>
      </c>
      <c r="Z8" s="17">
        <f>IF(Dienstplan!Z216="","",Dienstplan!Z216)</f>
        <v/>
      </c>
      <c r="AA8" s="17">
        <f>IF(Dienstplan!AA216="","",Dienstplan!AA216)</f>
        <v/>
      </c>
      <c r="AB8" s="18">
        <f>IF(Dienstplan!AB216="","",Dienstplan!AB216)</f>
        <v/>
      </c>
      <c r="AC8" s="18">
        <f>IF(Dienstplan!AC216="","",Dienstplan!AC216)</f>
        <v/>
      </c>
      <c r="AD8" s="18">
        <f>IF(Dienstplan!AD216="","",Dienstplan!AD216)</f>
        <v/>
      </c>
      <c r="AE8" s="18">
        <f>IF(Dienstplan!AE216="","",Dienstplan!AE216)</f>
        <v/>
      </c>
      <c r="AF8" s="29">
        <f>IF(Dienstplan!AF216="","",Dienstplan!AF216)</f>
        <v/>
      </c>
    </row>
    <row r="9" ht="16" customHeight="1">
      <c r="A9" s="43" t="inlineStr">
        <is>
          <t>Wunsch</t>
        </is>
      </c>
      <c r="B9" s="20">
        <f>IF(Dienstplan!B217="","",Dienstplan!B217)</f>
        <v/>
      </c>
      <c r="C9" s="20">
        <f>IF(Dienstplan!C217="","",Dienstplan!C217)</f>
        <v/>
      </c>
      <c r="D9" s="20">
        <f>IF(Dienstplan!D217="","",Dienstplan!D217)</f>
        <v/>
      </c>
      <c r="E9" s="17">
        <f>IF(Dienstplan!E217="","",Dienstplan!E217)</f>
        <v/>
      </c>
      <c r="F9" s="17">
        <f>IF(Dienstplan!F217="","",Dienstplan!F217)</f>
        <v/>
      </c>
      <c r="G9" s="20">
        <f>IF(Dienstplan!G217="","",Dienstplan!G217)</f>
        <v/>
      </c>
      <c r="H9" s="20">
        <f>IF(Dienstplan!H217="","",Dienstplan!H217)</f>
        <v/>
      </c>
      <c r="I9" s="20">
        <f>IF(Dienstplan!I217="","",Dienstplan!I217)</f>
        <v/>
      </c>
      <c r="J9" s="20">
        <f>IF(Dienstplan!J217="","",Dienstplan!J217)</f>
        <v/>
      </c>
      <c r="K9" s="20">
        <f>IF(Dienstplan!K217="","",Dienstplan!K217)</f>
        <v/>
      </c>
      <c r="L9" s="17">
        <f>IF(Dienstplan!L217="","",Dienstplan!L217)</f>
        <v/>
      </c>
      <c r="M9" s="17">
        <f>IF(Dienstplan!M217="","",Dienstplan!M217)</f>
        <v/>
      </c>
      <c r="N9" s="20">
        <f>IF(Dienstplan!N217="","",Dienstplan!N217)</f>
        <v/>
      </c>
      <c r="O9" s="20">
        <f>IF(Dienstplan!O217="","",Dienstplan!O217)</f>
        <v/>
      </c>
      <c r="P9" s="20">
        <f>IF(Dienstplan!P217="","",Dienstplan!P217)</f>
        <v/>
      </c>
      <c r="Q9" s="20">
        <f>IF(Dienstplan!Q217="","",Dienstplan!Q217)</f>
        <v/>
      </c>
      <c r="R9" s="20">
        <f>IF(Dienstplan!R217="","",Dienstplan!R217)</f>
        <v/>
      </c>
      <c r="S9" s="17">
        <f>IF(Dienstplan!S217="","",Dienstplan!S217)</f>
        <v/>
      </c>
      <c r="T9" s="17">
        <f>IF(Dienstplan!T217="","",Dienstplan!T217)</f>
        <v/>
      </c>
      <c r="U9" s="20">
        <f>IF(Dienstplan!U217="","",Dienstplan!U217)</f>
        <v/>
      </c>
      <c r="V9" s="20">
        <f>IF(Dienstplan!V217="","",Dienstplan!V217)</f>
        <v/>
      </c>
      <c r="W9" s="20">
        <f>IF(Dienstplan!W217="","",Dienstplan!W217)</f>
        <v/>
      </c>
      <c r="X9" s="20">
        <f>IF(Dienstplan!X217="","",Dienstplan!X217)</f>
        <v/>
      </c>
      <c r="Y9" s="20">
        <f>IF(Dienstplan!Y217="","",Dienstplan!Y217)</f>
        <v/>
      </c>
      <c r="Z9" s="17">
        <f>IF(Dienstplan!Z217="","",Dienstplan!Z217)</f>
        <v/>
      </c>
      <c r="AA9" s="17">
        <f>IF(Dienstplan!AA217="","",Dienstplan!AA217)</f>
        <v/>
      </c>
      <c r="AB9" s="20">
        <f>IF(Dienstplan!AB217="","",Dienstplan!AB217)</f>
        <v/>
      </c>
      <c r="AC9" s="20">
        <f>IF(Dienstplan!AC217="","",Dienstplan!AC217)</f>
        <v/>
      </c>
      <c r="AD9" s="20">
        <f>IF(Dienstplan!AD217="","",Dienstplan!AD217)</f>
        <v/>
      </c>
      <c r="AE9" s="20">
        <f>IF(Dienstplan!AE217="","",Dienstplan!AE217)</f>
        <v/>
      </c>
      <c r="AF9" s="30">
        <f>IF(Dienstplan!AF217="","",Dienstplan!AF217)</f>
        <v/>
      </c>
    </row>
    <row r="10" ht="16" customHeight="1">
      <c r="A10" s="43" t="inlineStr">
        <is>
          <t>Göpfrich</t>
        </is>
      </c>
      <c r="B10" s="18">
        <f>IF(Dienstplan!B218="","",Dienstplan!B218)</f>
        <v/>
      </c>
      <c r="C10" s="18">
        <f>IF(Dienstplan!C218="","",Dienstplan!C218)</f>
        <v/>
      </c>
      <c r="D10" s="18">
        <f>IF(Dienstplan!D218="","",Dienstplan!D218)</f>
        <v/>
      </c>
      <c r="E10" s="17">
        <f>IF(Dienstplan!E218="","",Dienstplan!E218)</f>
        <v/>
      </c>
      <c r="F10" s="17">
        <f>IF(Dienstplan!F218="","",Dienstplan!F218)</f>
        <v/>
      </c>
      <c r="G10" s="18">
        <f>IF(Dienstplan!G218="","",Dienstplan!G218)</f>
        <v/>
      </c>
      <c r="H10" s="18">
        <f>IF(Dienstplan!H218="","",Dienstplan!H218)</f>
        <v/>
      </c>
      <c r="I10" s="18">
        <f>IF(Dienstplan!I218="","",Dienstplan!I218)</f>
        <v/>
      </c>
      <c r="J10" s="18">
        <f>IF(Dienstplan!J218="","",Dienstplan!J218)</f>
        <v/>
      </c>
      <c r="K10" s="18">
        <f>IF(Dienstplan!K218="","",Dienstplan!K218)</f>
        <v/>
      </c>
      <c r="L10" s="17">
        <f>IF(Dienstplan!L218="","",Dienstplan!L218)</f>
        <v/>
      </c>
      <c r="M10" s="17">
        <f>IF(Dienstplan!M218="","",Dienstplan!M218)</f>
        <v/>
      </c>
      <c r="N10" s="18">
        <f>IF(Dienstplan!N218="","",Dienstplan!N218)</f>
        <v/>
      </c>
      <c r="O10" s="18">
        <f>IF(Dienstplan!O218="","",Dienstplan!O218)</f>
        <v/>
      </c>
      <c r="P10" s="18">
        <f>IF(Dienstplan!P218="","",Dienstplan!P218)</f>
        <v/>
      </c>
      <c r="Q10" s="18">
        <f>IF(Dienstplan!Q218="","",Dienstplan!Q218)</f>
        <v/>
      </c>
      <c r="R10" s="18">
        <f>IF(Dienstplan!R218="","",Dienstplan!R218)</f>
        <v/>
      </c>
      <c r="S10" s="17">
        <f>IF(Dienstplan!S218="","",Dienstplan!S218)</f>
        <v/>
      </c>
      <c r="T10" s="17">
        <f>IF(Dienstplan!T218="","",Dienstplan!T218)</f>
        <v/>
      </c>
      <c r="U10" s="18">
        <f>IF(Dienstplan!U218="","",Dienstplan!U218)</f>
        <v/>
      </c>
      <c r="V10" s="18">
        <f>IF(Dienstplan!V218="","",Dienstplan!V218)</f>
        <v/>
      </c>
      <c r="W10" s="18">
        <f>IF(Dienstplan!W218="","",Dienstplan!W218)</f>
        <v/>
      </c>
      <c r="X10" s="18">
        <f>IF(Dienstplan!X218="","",Dienstplan!X218)</f>
        <v/>
      </c>
      <c r="Y10" s="18">
        <f>IF(Dienstplan!Y218="","",Dienstplan!Y218)</f>
        <v/>
      </c>
      <c r="Z10" s="17">
        <f>IF(Dienstplan!Z218="","",Dienstplan!Z218)</f>
        <v/>
      </c>
      <c r="AA10" s="17">
        <f>IF(Dienstplan!AA218="","",Dienstplan!AA218)</f>
        <v/>
      </c>
      <c r="AB10" s="18">
        <f>IF(Dienstplan!AB218="","",Dienstplan!AB218)</f>
        <v/>
      </c>
      <c r="AC10" s="18">
        <f>IF(Dienstplan!AC218="","",Dienstplan!AC218)</f>
        <v/>
      </c>
      <c r="AD10" s="18">
        <f>IF(Dienstplan!AD218="","",Dienstplan!AD218)</f>
        <v/>
      </c>
      <c r="AE10" s="18">
        <f>IF(Dienstplan!AE218="","",Dienstplan!AE218)</f>
        <v/>
      </c>
      <c r="AF10" s="29">
        <f>IF(Dienstplan!AF218="","",Dienstplan!AF218)</f>
        <v/>
      </c>
    </row>
    <row r="11" ht="16" customHeight="1">
      <c r="A11" s="43" t="inlineStr">
        <is>
          <t>Zeller</t>
        </is>
      </c>
      <c r="B11" s="20">
        <f>IF(Dienstplan!B219="","",Dienstplan!B219)</f>
        <v/>
      </c>
      <c r="C11" s="20">
        <f>IF(Dienstplan!C219="","",Dienstplan!C219)</f>
        <v/>
      </c>
      <c r="D11" s="20">
        <f>IF(Dienstplan!D219="","",Dienstplan!D219)</f>
        <v/>
      </c>
      <c r="E11" s="17">
        <f>IF(Dienstplan!E219="","",Dienstplan!E219)</f>
        <v/>
      </c>
      <c r="F11" s="17">
        <f>IF(Dienstplan!F219="","",Dienstplan!F219)</f>
        <v/>
      </c>
      <c r="G11" s="20">
        <f>IF(Dienstplan!G219="","",Dienstplan!G219)</f>
        <v/>
      </c>
      <c r="H11" s="20">
        <f>IF(Dienstplan!H219="","",Dienstplan!H219)</f>
        <v/>
      </c>
      <c r="I11" s="20">
        <f>IF(Dienstplan!I219="","",Dienstplan!I219)</f>
        <v/>
      </c>
      <c r="J11" s="20">
        <f>IF(Dienstplan!J219="","",Dienstplan!J219)</f>
        <v/>
      </c>
      <c r="K11" s="20">
        <f>IF(Dienstplan!K219="","",Dienstplan!K219)</f>
        <v/>
      </c>
      <c r="L11" s="17">
        <f>IF(Dienstplan!L219="","",Dienstplan!L219)</f>
        <v/>
      </c>
      <c r="M11" s="17">
        <f>IF(Dienstplan!M219="","",Dienstplan!M219)</f>
        <v/>
      </c>
      <c r="N11" s="20">
        <f>IF(Dienstplan!N219="","",Dienstplan!N219)</f>
        <v/>
      </c>
      <c r="O11" s="20">
        <f>IF(Dienstplan!O219="","",Dienstplan!O219)</f>
        <v/>
      </c>
      <c r="P11" s="20">
        <f>IF(Dienstplan!P219="","",Dienstplan!P219)</f>
        <v/>
      </c>
      <c r="Q11" s="20">
        <f>IF(Dienstplan!Q219="","",Dienstplan!Q219)</f>
        <v/>
      </c>
      <c r="R11" s="20">
        <f>IF(Dienstplan!R219="","",Dienstplan!R219)</f>
        <v/>
      </c>
      <c r="S11" s="17">
        <f>IF(Dienstplan!S219="","",Dienstplan!S219)</f>
        <v/>
      </c>
      <c r="T11" s="17">
        <f>IF(Dienstplan!T219="","",Dienstplan!T219)</f>
        <v/>
      </c>
      <c r="U11" s="20">
        <f>IF(Dienstplan!U219="","",Dienstplan!U219)</f>
        <v/>
      </c>
      <c r="V11" s="20">
        <f>IF(Dienstplan!V219="","",Dienstplan!V219)</f>
        <v/>
      </c>
      <c r="W11" s="20">
        <f>IF(Dienstplan!W219="","",Dienstplan!W219)</f>
        <v/>
      </c>
      <c r="X11" s="20">
        <f>IF(Dienstplan!X219="","",Dienstplan!X219)</f>
        <v/>
      </c>
      <c r="Y11" s="20">
        <f>IF(Dienstplan!Y219="","",Dienstplan!Y219)</f>
        <v/>
      </c>
      <c r="Z11" s="17">
        <f>IF(Dienstplan!Z219="","",Dienstplan!Z219)</f>
        <v/>
      </c>
      <c r="AA11" s="17">
        <f>IF(Dienstplan!AA219="","",Dienstplan!AA219)</f>
        <v/>
      </c>
      <c r="AB11" s="20">
        <f>IF(Dienstplan!AB219="","",Dienstplan!AB219)</f>
        <v/>
      </c>
      <c r="AC11" s="20">
        <f>IF(Dienstplan!AC219="","",Dienstplan!AC219)</f>
        <v/>
      </c>
      <c r="AD11" s="20">
        <f>IF(Dienstplan!AD219="","",Dienstplan!AD219)</f>
        <v/>
      </c>
      <c r="AE11" s="20">
        <f>IF(Dienstplan!AE219="","",Dienstplan!AE219)</f>
        <v/>
      </c>
      <c r="AF11" s="30">
        <f>IF(Dienstplan!AF219="","",Dienstplan!AF219)</f>
        <v/>
      </c>
    </row>
    <row r="12" ht="16" customHeight="1">
      <c r="A12" s="43" t="inlineStr">
        <is>
          <t>Behrendt</t>
        </is>
      </c>
      <c r="B12" s="18">
        <f>IF(Dienstplan!B220="","",Dienstplan!B220)</f>
        <v/>
      </c>
      <c r="C12" s="18">
        <f>IF(Dienstplan!C220="","",Dienstplan!C220)</f>
        <v/>
      </c>
      <c r="D12" s="18">
        <f>IF(Dienstplan!D220="","",Dienstplan!D220)</f>
        <v/>
      </c>
      <c r="E12" s="17">
        <f>IF(Dienstplan!E220="","",Dienstplan!E220)</f>
        <v/>
      </c>
      <c r="F12" s="17">
        <f>IF(Dienstplan!F220="","",Dienstplan!F220)</f>
        <v/>
      </c>
      <c r="G12" s="18">
        <f>IF(Dienstplan!G220="","",Dienstplan!G220)</f>
        <v/>
      </c>
      <c r="H12" s="18">
        <f>IF(Dienstplan!H220="","",Dienstplan!H220)</f>
        <v/>
      </c>
      <c r="I12" s="18">
        <f>IF(Dienstplan!I220="","",Dienstplan!I220)</f>
        <v/>
      </c>
      <c r="J12" s="18">
        <f>IF(Dienstplan!J220="","",Dienstplan!J220)</f>
        <v/>
      </c>
      <c r="K12" s="18">
        <f>IF(Dienstplan!K220="","",Dienstplan!K220)</f>
        <v/>
      </c>
      <c r="L12" s="17">
        <f>IF(Dienstplan!L220="","",Dienstplan!L220)</f>
        <v/>
      </c>
      <c r="M12" s="17">
        <f>IF(Dienstplan!M220="","",Dienstplan!M220)</f>
        <v/>
      </c>
      <c r="N12" s="18">
        <f>IF(Dienstplan!N220="","",Dienstplan!N220)</f>
        <v/>
      </c>
      <c r="O12" s="18">
        <f>IF(Dienstplan!O220="","",Dienstplan!O220)</f>
        <v/>
      </c>
      <c r="P12" s="18">
        <f>IF(Dienstplan!P220="","",Dienstplan!P220)</f>
        <v/>
      </c>
      <c r="Q12" s="18">
        <f>IF(Dienstplan!Q220="","",Dienstplan!Q220)</f>
        <v/>
      </c>
      <c r="R12" s="18">
        <f>IF(Dienstplan!R220="","",Dienstplan!R220)</f>
        <v/>
      </c>
      <c r="S12" s="17">
        <f>IF(Dienstplan!S220="","",Dienstplan!S220)</f>
        <v/>
      </c>
      <c r="T12" s="17">
        <f>IF(Dienstplan!T220="","",Dienstplan!T220)</f>
        <v/>
      </c>
      <c r="U12" s="18">
        <f>IF(Dienstplan!U220="","",Dienstplan!U220)</f>
        <v/>
      </c>
      <c r="V12" s="18">
        <f>IF(Dienstplan!V220="","",Dienstplan!V220)</f>
        <v/>
      </c>
      <c r="W12" s="18">
        <f>IF(Dienstplan!W220="","",Dienstplan!W220)</f>
        <v/>
      </c>
      <c r="X12" s="18">
        <f>IF(Dienstplan!X220="","",Dienstplan!X220)</f>
        <v/>
      </c>
      <c r="Y12" s="18">
        <f>IF(Dienstplan!Y220="","",Dienstplan!Y220)</f>
        <v/>
      </c>
      <c r="Z12" s="17">
        <f>IF(Dienstplan!Z220="","",Dienstplan!Z220)</f>
        <v/>
      </c>
      <c r="AA12" s="17">
        <f>IF(Dienstplan!AA220="","",Dienstplan!AA220)</f>
        <v/>
      </c>
      <c r="AB12" s="18">
        <f>IF(Dienstplan!AB220="","",Dienstplan!AB220)</f>
        <v/>
      </c>
      <c r="AC12" s="18">
        <f>IF(Dienstplan!AC220="","",Dienstplan!AC220)</f>
        <v/>
      </c>
      <c r="AD12" s="18">
        <f>IF(Dienstplan!AD220="","",Dienstplan!AD220)</f>
        <v/>
      </c>
      <c r="AE12" s="18">
        <f>IF(Dienstplan!AE220="","",Dienstplan!AE220)</f>
        <v/>
      </c>
      <c r="AF12" s="29">
        <f>IF(Dienstplan!AF220="","",Dienstplan!AF220)</f>
        <v/>
      </c>
    </row>
    <row r="13" ht="16" customHeight="1">
      <c r="A13" s="43" t="inlineStr">
        <is>
          <t>Krempl</t>
        </is>
      </c>
      <c r="B13" s="20">
        <f>IF(Dienstplan!B221="","",Dienstplan!B221)</f>
        <v/>
      </c>
      <c r="C13" s="20">
        <f>IF(Dienstplan!C221="","",Dienstplan!C221)</f>
        <v/>
      </c>
      <c r="D13" s="20">
        <f>IF(Dienstplan!D221="","",Dienstplan!D221)</f>
        <v/>
      </c>
      <c r="E13" s="17">
        <f>IF(Dienstplan!E221="","",Dienstplan!E221)</f>
        <v/>
      </c>
      <c r="F13" s="17">
        <f>IF(Dienstplan!F221="","",Dienstplan!F221)</f>
        <v/>
      </c>
      <c r="G13" s="20">
        <f>IF(Dienstplan!G221="","",Dienstplan!G221)</f>
        <v/>
      </c>
      <c r="H13" s="20">
        <f>IF(Dienstplan!H221="","",Dienstplan!H221)</f>
        <v/>
      </c>
      <c r="I13" s="20">
        <f>IF(Dienstplan!I221="","",Dienstplan!I221)</f>
        <v/>
      </c>
      <c r="J13" s="20">
        <f>IF(Dienstplan!J221="","",Dienstplan!J221)</f>
        <v/>
      </c>
      <c r="K13" s="20">
        <f>IF(Dienstplan!K221="","",Dienstplan!K221)</f>
        <v/>
      </c>
      <c r="L13" s="17">
        <f>IF(Dienstplan!L221="","",Dienstplan!L221)</f>
        <v/>
      </c>
      <c r="M13" s="17">
        <f>IF(Dienstplan!M221="","",Dienstplan!M221)</f>
        <v/>
      </c>
      <c r="N13" s="20">
        <f>IF(Dienstplan!N221="","",Dienstplan!N221)</f>
        <v/>
      </c>
      <c r="O13" s="20">
        <f>IF(Dienstplan!O221="","",Dienstplan!O221)</f>
        <v/>
      </c>
      <c r="P13" s="20">
        <f>IF(Dienstplan!P221="","",Dienstplan!P221)</f>
        <v/>
      </c>
      <c r="Q13" s="20">
        <f>IF(Dienstplan!Q221="","",Dienstplan!Q221)</f>
        <v/>
      </c>
      <c r="R13" s="20">
        <f>IF(Dienstplan!R221="","",Dienstplan!R221)</f>
        <v/>
      </c>
      <c r="S13" s="17">
        <f>IF(Dienstplan!S221="","",Dienstplan!S221)</f>
        <v/>
      </c>
      <c r="T13" s="17">
        <f>IF(Dienstplan!T221="","",Dienstplan!T221)</f>
        <v/>
      </c>
      <c r="U13" s="20">
        <f>IF(Dienstplan!U221="","",Dienstplan!U221)</f>
        <v/>
      </c>
      <c r="V13" s="20">
        <f>IF(Dienstplan!V221="","",Dienstplan!V221)</f>
        <v/>
      </c>
      <c r="W13" s="20">
        <f>IF(Dienstplan!W221="","",Dienstplan!W221)</f>
        <v/>
      </c>
      <c r="X13" s="20">
        <f>IF(Dienstplan!X221="","",Dienstplan!X221)</f>
        <v/>
      </c>
      <c r="Y13" s="20">
        <f>IF(Dienstplan!Y221="","",Dienstplan!Y221)</f>
        <v/>
      </c>
      <c r="Z13" s="17">
        <f>IF(Dienstplan!Z221="","",Dienstplan!Z221)</f>
        <v/>
      </c>
      <c r="AA13" s="17">
        <f>IF(Dienstplan!AA221="","",Dienstplan!AA221)</f>
        <v/>
      </c>
      <c r="AB13" s="20">
        <f>IF(Dienstplan!AB221="","",Dienstplan!AB221)</f>
        <v/>
      </c>
      <c r="AC13" s="20">
        <f>IF(Dienstplan!AC221="","",Dienstplan!AC221)</f>
        <v/>
      </c>
      <c r="AD13" s="20">
        <f>IF(Dienstplan!AD221="","",Dienstplan!AD221)</f>
        <v/>
      </c>
      <c r="AE13" s="20">
        <f>IF(Dienstplan!AE221="","",Dienstplan!AE221)</f>
        <v/>
      </c>
      <c r="AF13" s="30">
        <f>IF(Dienstplan!AF221="","",Dienstplan!AF221)</f>
        <v/>
      </c>
    </row>
    <row r="14" ht="16" customHeight="1">
      <c r="A14" s="43" t="inlineStr">
        <is>
          <t>Putschler</t>
        </is>
      </c>
      <c r="B14" s="18">
        <f>IF(Dienstplan!B222="","",Dienstplan!B222)</f>
        <v/>
      </c>
      <c r="C14" s="18">
        <f>IF(Dienstplan!C222="","",Dienstplan!C222)</f>
        <v/>
      </c>
      <c r="D14" s="18">
        <f>IF(Dienstplan!D222="","",Dienstplan!D222)</f>
        <v/>
      </c>
      <c r="E14" s="17">
        <f>IF(Dienstplan!E222="","",Dienstplan!E222)</f>
        <v/>
      </c>
      <c r="F14" s="17">
        <f>IF(Dienstplan!F222="","",Dienstplan!F222)</f>
        <v/>
      </c>
      <c r="G14" s="18">
        <f>IF(Dienstplan!G222="","",Dienstplan!G222)</f>
        <v/>
      </c>
      <c r="H14" s="18">
        <f>IF(Dienstplan!H222="","",Dienstplan!H222)</f>
        <v/>
      </c>
      <c r="I14" s="18">
        <f>IF(Dienstplan!I222="","",Dienstplan!I222)</f>
        <v/>
      </c>
      <c r="J14" s="18">
        <f>IF(Dienstplan!J222="","",Dienstplan!J222)</f>
        <v/>
      </c>
      <c r="K14" s="18">
        <f>IF(Dienstplan!K222="","",Dienstplan!K222)</f>
        <v/>
      </c>
      <c r="L14" s="17">
        <f>IF(Dienstplan!L222="","",Dienstplan!L222)</f>
        <v/>
      </c>
      <c r="M14" s="17">
        <f>IF(Dienstplan!M222="","",Dienstplan!M222)</f>
        <v/>
      </c>
      <c r="N14" s="18">
        <f>IF(Dienstplan!N222="","",Dienstplan!N222)</f>
        <v/>
      </c>
      <c r="O14" s="18">
        <f>IF(Dienstplan!O222="","",Dienstplan!O222)</f>
        <v/>
      </c>
      <c r="P14" s="18">
        <f>IF(Dienstplan!P222="","",Dienstplan!P222)</f>
        <v/>
      </c>
      <c r="Q14" s="18">
        <f>IF(Dienstplan!Q222="","",Dienstplan!Q222)</f>
        <v/>
      </c>
      <c r="R14" s="18">
        <f>IF(Dienstplan!R222="","",Dienstplan!R222)</f>
        <v/>
      </c>
      <c r="S14" s="17">
        <f>IF(Dienstplan!S222="","",Dienstplan!S222)</f>
        <v/>
      </c>
      <c r="T14" s="17">
        <f>IF(Dienstplan!T222="","",Dienstplan!T222)</f>
        <v/>
      </c>
      <c r="U14" s="18">
        <f>IF(Dienstplan!U222="","",Dienstplan!U222)</f>
        <v/>
      </c>
      <c r="V14" s="18">
        <f>IF(Dienstplan!V222="","",Dienstplan!V222)</f>
        <v/>
      </c>
      <c r="W14" s="18">
        <f>IF(Dienstplan!W222="","",Dienstplan!W222)</f>
        <v/>
      </c>
      <c r="X14" s="18">
        <f>IF(Dienstplan!X222="","",Dienstplan!X222)</f>
        <v/>
      </c>
      <c r="Y14" s="18">
        <f>IF(Dienstplan!Y222="","",Dienstplan!Y222)</f>
        <v/>
      </c>
      <c r="Z14" s="17">
        <f>IF(Dienstplan!Z222="","",Dienstplan!Z222)</f>
        <v/>
      </c>
      <c r="AA14" s="17">
        <f>IF(Dienstplan!AA222="","",Dienstplan!AA222)</f>
        <v/>
      </c>
      <c r="AB14" s="18">
        <f>IF(Dienstplan!AB222="","",Dienstplan!AB222)</f>
        <v/>
      </c>
      <c r="AC14" s="18">
        <f>IF(Dienstplan!AC222="","",Dienstplan!AC222)</f>
        <v/>
      </c>
      <c r="AD14" s="18">
        <f>IF(Dienstplan!AD222="","",Dienstplan!AD222)</f>
        <v/>
      </c>
      <c r="AE14" s="18">
        <f>IF(Dienstplan!AE222="","",Dienstplan!AE222)</f>
        <v/>
      </c>
      <c r="AF14" s="29">
        <f>IF(Dienstplan!AF222="","",Dienstplan!AF222)</f>
        <v/>
      </c>
    </row>
    <row r="15" ht="16" customHeight="1">
      <c r="A15" s="43" t="inlineStr">
        <is>
          <t>Kunz</t>
        </is>
      </c>
      <c r="B15" s="20">
        <f>IF(Dienstplan!B223="","",Dienstplan!B223)</f>
        <v/>
      </c>
      <c r="C15" s="20">
        <f>IF(Dienstplan!C223="","",Dienstplan!C223)</f>
        <v/>
      </c>
      <c r="D15" s="20">
        <f>IF(Dienstplan!D223="","",Dienstplan!D223)</f>
        <v/>
      </c>
      <c r="E15" s="17">
        <f>IF(Dienstplan!E223="","",Dienstplan!E223)</f>
        <v/>
      </c>
      <c r="F15" s="17">
        <f>IF(Dienstplan!F223="","",Dienstplan!F223)</f>
        <v/>
      </c>
      <c r="G15" s="20">
        <f>IF(Dienstplan!G223="","",Dienstplan!G223)</f>
        <v/>
      </c>
      <c r="H15" s="20">
        <f>IF(Dienstplan!H223="","",Dienstplan!H223)</f>
        <v/>
      </c>
      <c r="I15" s="20">
        <f>IF(Dienstplan!I223="","",Dienstplan!I223)</f>
        <v/>
      </c>
      <c r="J15" s="20">
        <f>IF(Dienstplan!J223="","",Dienstplan!J223)</f>
        <v/>
      </c>
      <c r="K15" s="20">
        <f>IF(Dienstplan!K223="","",Dienstplan!K223)</f>
        <v/>
      </c>
      <c r="L15" s="17">
        <f>IF(Dienstplan!L223="","",Dienstplan!L223)</f>
        <v/>
      </c>
      <c r="M15" s="17">
        <f>IF(Dienstplan!M223="","",Dienstplan!M223)</f>
        <v/>
      </c>
      <c r="N15" s="20">
        <f>IF(Dienstplan!N223="","",Dienstplan!N223)</f>
        <v/>
      </c>
      <c r="O15" s="20">
        <f>IF(Dienstplan!O223="","",Dienstplan!O223)</f>
        <v/>
      </c>
      <c r="P15" s="20">
        <f>IF(Dienstplan!P223="","",Dienstplan!P223)</f>
        <v/>
      </c>
      <c r="Q15" s="20">
        <f>IF(Dienstplan!Q223="","",Dienstplan!Q223)</f>
        <v/>
      </c>
      <c r="R15" s="20">
        <f>IF(Dienstplan!R223="","",Dienstplan!R223)</f>
        <v/>
      </c>
      <c r="S15" s="17">
        <f>IF(Dienstplan!S223="","",Dienstplan!S223)</f>
        <v/>
      </c>
      <c r="T15" s="17">
        <f>IF(Dienstplan!T223="","",Dienstplan!T223)</f>
        <v/>
      </c>
      <c r="U15" s="20">
        <f>IF(Dienstplan!U223="","",Dienstplan!U223)</f>
        <v/>
      </c>
      <c r="V15" s="20">
        <f>IF(Dienstplan!V223="","",Dienstplan!V223)</f>
        <v/>
      </c>
      <c r="W15" s="20">
        <f>IF(Dienstplan!W223="","",Dienstplan!W223)</f>
        <v/>
      </c>
      <c r="X15" s="20">
        <f>IF(Dienstplan!X223="","",Dienstplan!X223)</f>
        <v/>
      </c>
      <c r="Y15" s="20">
        <f>IF(Dienstplan!Y223="","",Dienstplan!Y223)</f>
        <v/>
      </c>
      <c r="Z15" s="17">
        <f>IF(Dienstplan!Z223="","",Dienstplan!Z223)</f>
        <v/>
      </c>
      <c r="AA15" s="17">
        <f>IF(Dienstplan!AA223="","",Dienstplan!AA223)</f>
        <v/>
      </c>
      <c r="AB15" s="20">
        <f>IF(Dienstplan!AB223="","",Dienstplan!AB223)</f>
        <v/>
      </c>
      <c r="AC15" s="20">
        <f>IF(Dienstplan!AC223="","",Dienstplan!AC223)</f>
        <v/>
      </c>
      <c r="AD15" s="20">
        <f>IF(Dienstplan!AD223="","",Dienstplan!AD223)</f>
        <v/>
      </c>
      <c r="AE15" s="20">
        <f>IF(Dienstplan!AE223="","",Dienstplan!AE223)</f>
        <v/>
      </c>
      <c r="AF15" s="30">
        <f>IF(Dienstplan!AF223="","",Dienstplan!AF223)</f>
        <v/>
      </c>
    </row>
    <row r="16" hidden="1" ht="16" customHeight="1">
      <c r="A16" s="44" t="inlineStr">
        <is>
          <t>Schmidt</t>
        </is>
      </c>
      <c r="B16" s="18">
        <f>IF(Dienstplan!B224="","",Dienstplan!B224)</f>
        <v/>
      </c>
      <c r="C16" s="18">
        <f>IF(Dienstplan!C224="","",Dienstplan!C224)</f>
        <v/>
      </c>
      <c r="D16" s="18">
        <f>IF(Dienstplan!D224="","",Dienstplan!D224)</f>
        <v/>
      </c>
      <c r="E16" s="17">
        <f>IF(Dienstplan!E224="","",Dienstplan!E224)</f>
        <v/>
      </c>
      <c r="F16" s="17">
        <f>IF(Dienstplan!F224="","",Dienstplan!F224)</f>
        <v/>
      </c>
      <c r="G16" s="18">
        <f>IF(Dienstplan!G224="","",Dienstplan!G224)</f>
        <v/>
      </c>
      <c r="H16" s="18">
        <f>IF(Dienstplan!H224="","",Dienstplan!H224)</f>
        <v/>
      </c>
      <c r="I16" s="18">
        <f>IF(Dienstplan!I224="","",Dienstplan!I224)</f>
        <v/>
      </c>
      <c r="J16" s="18">
        <f>IF(Dienstplan!J224="","",Dienstplan!J224)</f>
        <v/>
      </c>
      <c r="K16" s="18">
        <f>IF(Dienstplan!K224="","",Dienstplan!K224)</f>
        <v/>
      </c>
      <c r="L16" s="17">
        <f>IF(Dienstplan!L224="","",Dienstplan!L224)</f>
        <v/>
      </c>
      <c r="M16" s="17">
        <f>IF(Dienstplan!M224="","",Dienstplan!M224)</f>
        <v/>
      </c>
      <c r="N16" s="18">
        <f>IF(Dienstplan!N224="","",Dienstplan!N224)</f>
        <v/>
      </c>
      <c r="O16" s="18">
        <f>IF(Dienstplan!O224="","",Dienstplan!O224)</f>
        <v/>
      </c>
      <c r="P16" s="18">
        <f>IF(Dienstplan!P224="","",Dienstplan!P224)</f>
        <v/>
      </c>
      <c r="Q16" s="18">
        <f>IF(Dienstplan!Q224="","",Dienstplan!Q224)</f>
        <v/>
      </c>
      <c r="R16" s="18">
        <f>IF(Dienstplan!R224="","",Dienstplan!R224)</f>
        <v/>
      </c>
      <c r="S16" s="17">
        <f>IF(Dienstplan!S224="","",Dienstplan!S224)</f>
        <v/>
      </c>
      <c r="T16" s="17">
        <f>IF(Dienstplan!T224="","",Dienstplan!T224)</f>
        <v/>
      </c>
      <c r="U16" s="18">
        <f>IF(Dienstplan!U224="","",Dienstplan!U224)</f>
        <v/>
      </c>
      <c r="V16" s="18">
        <f>IF(Dienstplan!V224="","",Dienstplan!V224)</f>
        <v/>
      </c>
      <c r="W16" s="18">
        <f>IF(Dienstplan!W224="","",Dienstplan!W224)</f>
        <v/>
      </c>
      <c r="X16" s="18">
        <f>IF(Dienstplan!X224="","",Dienstplan!X224)</f>
        <v/>
      </c>
      <c r="Y16" s="18">
        <f>IF(Dienstplan!Y224="","",Dienstplan!Y224)</f>
        <v/>
      </c>
      <c r="Z16" s="17">
        <f>IF(Dienstplan!Z224="","",Dienstplan!Z224)</f>
        <v/>
      </c>
      <c r="AA16" s="17">
        <f>IF(Dienstplan!AA224="","",Dienstplan!AA224)</f>
        <v/>
      </c>
      <c r="AB16" s="18">
        <f>IF(Dienstplan!AB224="","",Dienstplan!AB224)</f>
        <v/>
      </c>
      <c r="AC16" s="18">
        <f>IF(Dienstplan!AC224="","",Dienstplan!AC224)</f>
        <v/>
      </c>
      <c r="AD16" s="18">
        <f>IF(Dienstplan!AD224="","",Dienstplan!AD224)</f>
        <v/>
      </c>
      <c r="AE16" s="18">
        <f>IF(Dienstplan!AE224="","",Dienstplan!AE224)</f>
        <v/>
      </c>
      <c r="AF16" s="29">
        <f>IF(Dienstplan!AF224="","",Dienstplan!AF224)</f>
        <v/>
      </c>
    </row>
    <row r="17" hidden="1" ht="16" customHeight="1">
      <c r="A17" s="44" t="inlineStr">
        <is>
          <t>Radimersky</t>
        </is>
      </c>
      <c r="B17" s="20">
        <f>IF(Dienstplan!B225="","",Dienstplan!B225)</f>
        <v/>
      </c>
      <c r="C17" s="20">
        <f>IF(Dienstplan!C225="","",Dienstplan!C225)</f>
        <v/>
      </c>
      <c r="D17" s="20">
        <f>IF(Dienstplan!D225="","",Dienstplan!D225)</f>
        <v/>
      </c>
      <c r="E17" s="17">
        <f>IF(Dienstplan!E225="","",Dienstplan!E225)</f>
        <v/>
      </c>
      <c r="F17" s="17">
        <f>IF(Dienstplan!F225="","",Dienstplan!F225)</f>
        <v/>
      </c>
      <c r="G17" s="20">
        <f>IF(Dienstplan!G225="","",Dienstplan!G225)</f>
        <v/>
      </c>
      <c r="H17" s="20">
        <f>IF(Dienstplan!H225="","",Dienstplan!H225)</f>
        <v/>
      </c>
      <c r="I17" s="20">
        <f>IF(Dienstplan!I225="","",Dienstplan!I225)</f>
        <v/>
      </c>
      <c r="J17" s="20">
        <f>IF(Dienstplan!J225="","",Dienstplan!J225)</f>
        <v/>
      </c>
      <c r="K17" s="20">
        <f>IF(Dienstplan!K225="","",Dienstplan!K225)</f>
        <v/>
      </c>
      <c r="L17" s="17">
        <f>IF(Dienstplan!L225="","",Dienstplan!L225)</f>
        <v/>
      </c>
      <c r="M17" s="17">
        <f>IF(Dienstplan!M225="","",Dienstplan!M225)</f>
        <v/>
      </c>
      <c r="N17" s="20">
        <f>IF(Dienstplan!N225="","",Dienstplan!N225)</f>
        <v/>
      </c>
      <c r="O17" s="20">
        <f>IF(Dienstplan!O225="","",Dienstplan!O225)</f>
        <v/>
      </c>
      <c r="P17" s="20">
        <f>IF(Dienstplan!P225="","",Dienstplan!P225)</f>
        <v/>
      </c>
      <c r="Q17" s="20">
        <f>IF(Dienstplan!Q225="","",Dienstplan!Q225)</f>
        <v/>
      </c>
      <c r="R17" s="20">
        <f>IF(Dienstplan!R225="","",Dienstplan!R225)</f>
        <v/>
      </c>
      <c r="S17" s="17">
        <f>IF(Dienstplan!S225="","",Dienstplan!S225)</f>
        <v/>
      </c>
      <c r="T17" s="17">
        <f>IF(Dienstplan!T225="","",Dienstplan!T225)</f>
        <v/>
      </c>
      <c r="U17" s="20">
        <f>IF(Dienstplan!U225="","",Dienstplan!U225)</f>
        <v/>
      </c>
      <c r="V17" s="20">
        <f>IF(Dienstplan!V225="","",Dienstplan!V225)</f>
        <v/>
      </c>
      <c r="W17" s="20">
        <f>IF(Dienstplan!W225="","",Dienstplan!W225)</f>
        <v/>
      </c>
      <c r="X17" s="20">
        <f>IF(Dienstplan!X225="","",Dienstplan!X225)</f>
        <v/>
      </c>
      <c r="Y17" s="20">
        <f>IF(Dienstplan!Y225="","",Dienstplan!Y225)</f>
        <v/>
      </c>
      <c r="Z17" s="17">
        <f>IF(Dienstplan!Z225="","",Dienstplan!Z225)</f>
        <v/>
      </c>
      <c r="AA17" s="17">
        <f>IF(Dienstplan!AA225="","",Dienstplan!AA225)</f>
        <v/>
      </c>
      <c r="AB17" s="20">
        <f>IF(Dienstplan!AB225="","",Dienstplan!AB225)</f>
        <v/>
      </c>
      <c r="AC17" s="20">
        <f>IF(Dienstplan!AC225="","",Dienstplan!AC225)</f>
        <v/>
      </c>
      <c r="AD17" s="20">
        <f>IF(Dienstplan!AD225="","",Dienstplan!AD225)</f>
        <v/>
      </c>
      <c r="AE17" s="20">
        <f>IF(Dienstplan!AE225="","",Dienstplan!AE225)</f>
        <v/>
      </c>
      <c r="AF17" s="30">
        <f>IF(Dienstplan!AF225="","",Dienstplan!AF225)</f>
        <v/>
      </c>
    </row>
    <row r="18" ht="15" customHeight="1">
      <c r="A18" s="21" t="inlineStr">
        <is>
          <t>Besetzung</t>
        </is>
      </c>
      <c r="B18" s="23">
        <f>IF(AND(COUNTIF(B6:B17,"FI")&gt;0,COUNTIF(B6:B17,"SI")&gt;0,COUNTIF(B6:B17,"NI")&gt;0),"","!")</f>
        <v/>
      </c>
      <c r="C18" s="23">
        <f>IF(AND(COUNTIF(C6:C17,"FI")&gt;0,COUNTIF(C6:C17,"SI")&gt;0,COUNTIF(C6:C17,"NI")&gt;0),"","!")</f>
        <v/>
      </c>
      <c r="D18" s="23">
        <f>IF(AND(COUNTIF(D6:D17,"FI")&gt;0,COUNTIF(D6:D17,"SI")&gt;0),"","!")</f>
        <v/>
      </c>
      <c r="E18" s="22" t="n"/>
      <c r="F18" s="22" t="n"/>
      <c r="G18" s="23">
        <f>IF(AND(COUNTIF(G6:G17,"FI")&gt;0,COUNTIF(G6:G17,"SI")&gt;0,COUNTIF(G6:G17,"NI")&gt;0),"","!")</f>
        <v/>
      </c>
      <c r="H18" s="23">
        <f>IF(AND(COUNTIF(H6:H17,"FI")&gt;0,COUNTIF(H6:H17,"SI")&gt;0,COUNTIF(H6:H17,"NI")&gt;0),"","!")</f>
        <v/>
      </c>
      <c r="I18" s="23">
        <f>IF(AND(COUNTIF(I6:I17,"FI")&gt;0,COUNTIF(I6:I17,"SI")&gt;0,COUNTIF(I6:I17,"NI")&gt;0),"","!")</f>
        <v/>
      </c>
      <c r="J18" s="23">
        <f>IF(AND(COUNTIF(J6:J17,"FI")&gt;0,COUNTIF(J6:J17,"SI")&gt;0,COUNTIF(J6:J17,"NI")&gt;0),"","!")</f>
        <v/>
      </c>
      <c r="K18" s="23">
        <f>IF(AND(COUNTIF(K6:K17,"FI")&gt;0,COUNTIF(K6:K17,"SI")&gt;0),"","!")</f>
        <v/>
      </c>
      <c r="L18" s="22" t="n"/>
      <c r="M18" s="22" t="n"/>
      <c r="N18" s="23">
        <f>IF(AND(COUNTIF(N6:N17,"FI")&gt;0,COUNTIF(N6:N17,"SI")&gt;0,COUNTIF(N6:N17,"NI")&gt;0),"","!")</f>
        <v/>
      </c>
      <c r="O18" s="23">
        <f>IF(AND(COUNTIF(O6:O17,"FI")&gt;0,COUNTIF(O6:O17,"SI")&gt;0,COUNTIF(O6:O17,"NI")&gt;0),"","!")</f>
        <v/>
      </c>
      <c r="P18" s="23">
        <f>IF(AND(COUNTIF(P6:P17,"FI")&gt;0,COUNTIF(P6:P17,"SI")&gt;0,COUNTIF(P6:P17,"NI")&gt;0),"","!")</f>
        <v/>
      </c>
      <c r="Q18" s="23">
        <f>IF(AND(COUNTIF(Q6:Q17,"FI")&gt;0,COUNTIF(Q6:Q17,"SI")&gt;0,COUNTIF(Q6:Q17,"NI")&gt;0),"","!")</f>
        <v/>
      </c>
      <c r="R18" s="23">
        <f>IF(AND(COUNTIF(R6:R17,"FI")&gt;0,COUNTIF(R6:R17,"SI")&gt;0),"","!")</f>
        <v/>
      </c>
      <c r="S18" s="22" t="n"/>
      <c r="T18" s="22" t="n"/>
      <c r="U18" s="23">
        <f>IF(AND(COUNTIF(U6:U17,"FI")&gt;0,COUNTIF(U6:U17,"SI")&gt;0,COUNTIF(U6:U17,"NI")&gt;0),"","!")</f>
        <v/>
      </c>
      <c r="V18" s="23">
        <f>IF(AND(COUNTIF(V6:V17,"FI")&gt;0,COUNTIF(V6:V17,"SI")&gt;0,COUNTIF(V6:V17,"NI")&gt;0),"","!")</f>
        <v/>
      </c>
      <c r="W18" s="23">
        <f>IF(AND(COUNTIF(W6:W17,"FI")&gt;0,COUNTIF(W6:W17,"SI")&gt;0,COUNTIF(W6:W17,"NI")&gt;0),"","!")</f>
        <v/>
      </c>
      <c r="X18" s="23">
        <f>IF(AND(COUNTIF(X6:X17,"FI")&gt;0,COUNTIF(X6:X17,"SI")&gt;0,COUNTIF(X6:X17,"NI")&gt;0),"","!")</f>
        <v/>
      </c>
      <c r="Y18" s="23">
        <f>IF(AND(COUNTIF(Y6:Y17,"FI")&gt;0,COUNTIF(Y6:Y17,"SI")&gt;0),"","!")</f>
        <v/>
      </c>
      <c r="Z18" s="22" t="n"/>
      <c r="AA18" s="22" t="n"/>
      <c r="AB18" s="23">
        <f>IF(AND(COUNTIF(AB6:AB17,"FI")&gt;0,COUNTIF(AB6:AB17,"SI")&gt;0,COUNTIF(AB6:AB17,"NI")&gt;0),"","!")</f>
        <v/>
      </c>
      <c r="AC18" s="23">
        <f>IF(AND(COUNTIF(AC6:AC17,"FI")&gt;0,COUNTIF(AC6:AC17,"SI")&gt;0,COUNTIF(AC6:AC17,"NI")&gt;0),"","!")</f>
        <v/>
      </c>
      <c r="AD18" s="23">
        <f>IF(AND(COUNTIF(AD6:AD17,"FI")&gt;0,COUNTIF(AD6:AD17,"SI")&gt;0,COUNTIF(AD6:AD17,"NI")&gt;0),"","!")</f>
        <v/>
      </c>
      <c r="AE18" s="23">
        <f>IF(AND(COUNTIF(AE6:AE17,"FI")&gt;0,COUNTIF(AE6:AE17,"SI")&gt;0,COUNTIF(AE6:AE17,"NI")&gt;0),"","!")</f>
        <v/>
      </c>
      <c r="AF18" s="31">
        <f>IF(AND(COUNTIF(AF6:AF17,"FI")&gt;0,COUNTIF(AF6:AF17,"SI")&gt;0),"","!")</f>
        <v/>
      </c>
    </row>
    <row r="20" ht="18" customHeight="1">
      <c r="A20" s="45" t="inlineStr">
        <is>
          <t>Legende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 t="n"/>
      <c r="P20" s="45" t="inlineStr">
        <is>
          <t>Unterschriften</t>
        </is>
      </c>
      <c r="Q20" s="46" t="n"/>
      <c r="R20" s="46" t="n"/>
      <c r="S20" s="46" t="n"/>
      <c r="T20" s="46" t="n"/>
      <c r="U20" s="46" t="n"/>
      <c r="V20" s="46" t="n"/>
      <c r="W20" s="46" t="n"/>
      <c r="X20" s="47" t="n"/>
    </row>
    <row r="21" ht="18" customHeight="1">
      <c r="A21" s="48" t="inlineStr">
        <is>
          <t>U</t>
        </is>
      </c>
      <c r="D21" s="49" t="inlineStr">
        <is>
          <t>Urlaub</t>
        </is>
      </c>
      <c r="H21" s="50" t="inlineStr">
        <is>
          <t>FII 06:00-14:00</t>
        </is>
      </c>
      <c r="K21" s="49" t="inlineStr">
        <is>
          <t>Frühschicht II</t>
        </is>
      </c>
      <c r="N21" s="51" t="n"/>
      <c r="P21" s="52" t="inlineStr">
        <is>
          <t>Erstellt von:</t>
        </is>
      </c>
      <c r="X21" s="51" t="n"/>
    </row>
    <row r="22" ht="30" customHeight="1">
      <c r="A22" s="53" t="inlineStr">
        <is>
          <t>EH 08:00-17:00</t>
        </is>
      </c>
      <c r="D22" s="49" t="inlineStr">
        <is>
          <t>Erste Hilfe</t>
        </is>
      </c>
      <c r="H22" s="50" t="inlineStr">
        <is>
          <t>SI 14:00-22:00</t>
        </is>
      </c>
      <c r="K22" s="49" t="inlineStr">
        <is>
          <t>Spätschicht I</t>
        </is>
      </c>
      <c r="N22" s="51" t="n"/>
      <c r="P22" s="54" t="inlineStr"/>
      <c r="X22" s="51" t="n"/>
    </row>
    <row r="23" ht="14" customHeight="1">
      <c r="A23" s="55" t="inlineStr">
        <is>
          <t>KU 08:30-16:30</t>
        </is>
      </c>
      <c r="D23" s="49" t="inlineStr">
        <is>
          <t>Kuppenheim</t>
        </is>
      </c>
      <c r="H23" s="50" t="inlineStr">
        <is>
          <t>SII 14:00-21:00</t>
        </is>
      </c>
      <c r="K23" s="49" t="inlineStr">
        <is>
          <t>Spätschicht II</t>
        </is>
      </c>
      <c r="N23" s="51" t="n"/>
      <c r="P23" s="56" t="inlineStr">
        <is>
          <t>Datum / Unterschrift</t>
        </is>
      </c>
      <c r="X23" s="51" t="n"/>
    </row>
    <row r="24" ht="8" customHeight="1">
      <c r="A24" s="57" t="inlineStr">
        <is>
          <t>A</t>
        </is>
      </c>
      <c r="D24" s="49" t="inlineStr">
        <is>
          <t>AU</t>
        </is>
      </c>
      <c r="H24" s="50" t="inlineStr">
        <is>
          <t>NI 22:00-06:00</t>
        </is>
      </c>
      <c r="K24" s="49" t="inlineStr">
        <is>
          <t>Nachtschicht I</t>
        </is>
      </c>
      <c r="N24" s="51" t="n"/>
      <c r="P24" s="54" t="inlineStr"/>
      <c r="X24" s="51" t="n"/>
    </row>
    <row r="25" ht="18" customHeight="1">
      <c r="A25" s="58" t="inlineStr">
        <is>
          <t>GT</t>
        </is>
      </c>
      <c r="D25" s="49" t="inlineStr">
        <is>
          <t>Gleittag</t>
        </is>
      </c>
      <c r="H25" s="50" t="inlineStr">
        <is>
          <t>DI 08:00-15:30</t>
        </is>
      </c>
      <c r="K25" s="49" t="inlineStr">
        <is>
          <t>Dienst I</t>
        </is>
      </c>
      <c r="N25" s="51" t="n"/>
      <c r="P25" s="52" t="inlineStr">
        <is>
          <t>Genehmigt von:</t>
        </is>
      </c>
      <c r="X25" s="51" t="n"/>
    </row>
    <row r="26" ht="30" customHeight="1">
      <c r="A26" s="58" t="inlineStr">
        <is>
          <t>NST</t>
        </is>
      </c>
      <c r="D26" s="49" t="inlineStr">
        <is>
          <t>Ausgleichstag</t>
        </is>
      </c>
      <c r="H26" s="50" t="inlineStr">
        <is>
          <t>DII 08:30-16:00</t>
        </is>
      </c>
      <c r="K26" s="49" t="inlineStr">
        <is>
          <t>Dienst II</t>
        </is>
      </c>
      <c r="N26" s="51" t="n"/>
      <c r="P26" s="54" t="inlineStr"/>
      <c r="X26" s="51" t="n"/>
    </row>
    <row r="27" ht="14" customHeight="1">
      <c r="A27" s="58" t="inlineStr">
        <is>
          <t>Fobi</t>
        </is>
      </c>
      <c r="D27" s="49" t="inlineStr">
        <is>
          <t>Fortbildung</t>
        </is>
      </c>
      <c r="H27" s="50" t="inlineStr">
        <is>
          <t>KT IRTAZ</t>
        </is>
      </c>
      <c r="K27" s="49" t="inlineStr">
        <is>
          <t>Koordination</t>
        </is>
      </c>
      <c r="N27" s="51" t="n"/>
      <c r="P27" s="59" t="inlineStr">
        <is>
          <t>Datum / Unterschrift</t>
        </is>
      </c>
      <c r="Q27" s="60" t="n"/>
      <c r="R27" s="60" t="n"/>
      <c r="S27" s="60" t="n"/>
      <c r="T27" s="60" t="n"/>
      <c r="U27" s="60" t="n"/>
      <c r="V27" s="60" t="n"/>
      <c r="W27" s="60" t="n"/>
      <c r="X27" s="61" t="n"/>
    </row>
    <row r="28" ht="16" customHeight="1">
      <c r="A28" s="62" t="inlineStr">
        <is>
          <t>FI 06:00-14:00</t>
        </is>
      </c>
      <c r="D28" s="49" t="inlineStr">
        <is>
          <t>Frühschicht I</t>
        </is>
      </c>
      <c r="H28" s="50" t="inlineStr">
        <is>
          <t>SD Individuell</t>
        </is>
      </c>
      <c r="K28" s="49" t="inlineStr">
        <is>
          <t>Sonderdienst</t>
        </is>
      </c>
      <c r="N28" s="51" t="n"/>
    </row>
    <row r="29" ht="16" customHeight="1">
      <c r="A29" s="63" t="inlineStr"/>
      <c r="B29" s="60" t="n"/>
      <c r="C29" s="60" t="n"/>
      <c r="D29" s="64" t="inlineStr">
        <is>
          <t>Wochenende / Feiertag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 t="n"/>
    </row>
  </sheetData>
  <mergeCells count="44">
    <mergeCell ref="A25:C25"/>
    <mergeCell ref="K23:N23"/>
    <mergeCell ref="P21:X21"/>
    <mergeCell ref="D25:G25"/>
    <mergeCell ref="P27:X27"/>
    <mergeCell ref="D24:G24"/>
    <mergeCell ref="A27:C27"/>
    <mergeCell ref="A21:C21"/>
    <mergeCell ref="P23:X23"/>
    <mergeCell ref="P22:X22"/>
    <mergeCell ref="A26:C26"/>
    <mergeCell ref="D23:G23"/>
    <mergeCell ref="K28:N28"/>
    <mergeCell ref="D26:G26"/>
    <mergeCell ref="H22:J22"/>
    <mergeCell ref="A23:C23"/>
    <mergeCell ref="H28:J28"/>
    <mergeCell ref="A22:C22"/>
    <mergeCell ref="K25:N25"/>
    <mergeCell ref="H27:J27"/>
    <mergeCell ref="K24:N24"/>
    <mergeCell ref="A29:C29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6:X26"/>
    <mergeCell ref="X2:AF2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18:AF18">
    <cfRule type="cellIs" priority="1" operator="equal" dxfId="5" stopIfTrue="1">
      <formula>"!"</formula>
    </cfRule>
  </conditionalFormatting>
  <conditionalFormatting sqref="B6:AF17">
    <cfRule type="cellIs" priority="2" operator="equal" dxfId="0" stopIfTrue="1">
      <formula>"U"</formula>
    </cfRule>
    <cfRule type="cellIs" priority="3" operator="equal" dxfId="0" stopIfTrue="1">
      <formula>"U    alt"</formula>
    </cfRule>
    <cfRule type="cellIs" priority="4" operator="equal" dxfId="1" stopIfTrue="1">
      <formula>"EH"</formula>
    </cfRule>
    <cfRule type="cellIs" priority="5" operator="equal" dxfId="2" stopIfTrue="1">
      <formula>"KU"</formula>
    </cfRule>
    <cfRule type="cellIs" priority="6" operator="equal" dxfId="3" stopIfTrue="1">
      <formula>"A"</formula>
    </cfRule>
    <cfRule type="cellIs" priority="7" operator="equal" dxfId="0" stopIfTrue="1">
      <formula>"T-ZUG"</formula>
    </cfRule>
    <cfRule type="cellIs" priority="8" operator="equal" dxfId="0" stopIfTrue="1">
      <formula>"T-ZG"</formula>
    </cfRule>
    <cfRule type="cellIs" priority="9" operator="equal" dxfId="4" stopIfTrue="1">
      <formula>"Fobi"</formula>
    </cfRule>
    <cfRule type="cellIs" priority="10" operator="equal" dxfId="4" stopIfTrue="1">
      <formula>"GT"</formula>
    </cfRule>
    <cfRule type="cellIs" priority="11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>
      <c r="A1" s="1" t="inlineStr">
        <is>
          <t>Jahresübersicht 2027</t>
        </is>
      </c>
    </row>
    <row r="3" ht="20" customHeight="1">
      <c r="A3" s="68" t="inlineStr">
        <is>
          <t>Mitarbeiter</t>
        </is>
      </c>
      <c r="B3" s="69" t="inlineStr">
        <is>
          <t>FI</t>
        </is>
      </c>
      <c r="C3" s="69" t="inlineStr">
        <is>
          <t>FII</t>
        </is>
      </c>
      <c r="D3" s="69" t="inlineStr">
        <is>
          <t>SI</t>
        </is>
      </c>
      <c r="E3" s="69" t="inlineStr">
        <is>
          <t>SII</t>
        </is>
      </c>
      <c r="F3" s="69" t="inlineStr">
        <is>
          <t>NI</t>
        </is>
      </c>
      <c r="G3" s="69" t="inlineStr">
        <is>
          <t>DI</t>
        </is>
      </c>
      <c r="H3" s="69" t="inlineStr">
        <is>
          <t>DII</t>
        </is>
      </c>
      <c r="I3" s="69" t="inlineStr">
        <is>
          <t>KU</t>
        </is>
      </c>
      <c r="J3" s="69" t="inlineStr">
        <is>
          <t>EH</t>
        </is>
      </c>
      <c r="K3" s="69" t="inlineStr">
        <is>
          <t>SD</t>
        </is>
      </c>
      <c r="L3" s="69" t="inlineStr">
        <is>
          <t>GT</t>
        </is>
      </c>
      <c r="M3" s="69" t="inlineStr">
        <is>
          <t>NST</t>
        </is>
      </c>
      <c r="N3" s="69" t="inlineStr">
        <is>
          <t>KT</t>
        </is>
      </c>
      <c r="O3" s="69" t="inlineStr">
        <is>
          <t>Fobi</t>
        </is>
      </c>
      <c r="P3" s="69" t="inlineStr">
        <is>
          <t>U</t>
        </is>
      </c>
      <c r="Q3" s="69" t="inlineStr">
        <is>
          <t>A</t>
        </is>
      </c>
      <c r="R3" s="69" t="inlineStr">
        <is>
          <t>T-ZUG</t>
        </is>
      </c>
      <c r="S3" s="70" t="inlineStr">
        <is>
          <t>Gesamt</t>
        </is>
      </c>
    </row>
    <row r="4" ht="18" customHeight="1">
      <c r="A4" s="16" t="inlineStr">
        <is>
          <t>Breig</t>
        </is>
      </c>
      <c r="B4" s="71" t="inlineStr"/>
      <c r="C4" s="71" t="inlineStr"/>
      <c r="D4" s="71" t="inlineStr"/>
      <c r="E4" s="71" t="inlineStr"/>
      <c r="F4" s="71" t="inlineStr"/>
      <c r="G4" s="71" t="inlineStr"/>
      <c r="H4" s="71" t="inlineStr"/>
      <c r="I4" s="71" t="inlineStr"/>
      <c r="J4" s="71" t="inlineStr"/>
      <c r="K4" s="71" t="inlineStr"/>
      <c r="L4" s="71" t="inlineStr"/>
      <c r="M4" s="71" t="inlineStr"/>
      <c r="N4" s="71" t="inlineStr"/>
      <c r="O4" s="71" t="inlineStr"/>
      <c r="P4" s="71" t="inlineStr"/>
      <c r="Q4" s="71" t="inlineStr"/>
      <c r="R4" s="71" t="inlineStr"/>
      <c r="S4" s="72" t="n">
        <v>0</v>
      </c>
    </row>
    <row r="5" ht="18" customHeight="1">
      <c r="A5" s="16" t="inlineStr">
        <is>
          <t>Siebert</t>
        </is>
      </c>
      <c r="B5" s="73" t="inlineStr"/>
      <c r="C5" s="73" t="inlineStr"/>
      <c r="D5" s="73" t="inlineStr"/>
      <c r="E5" s="73" t="inlineStr"/>
      <c r="F5" s="73" t="inlineStr"/>
      <c r="G5" s="73" t="inlineStr"/>
      <c r="H5" s="73" t="inlineStr"/>
      <c r="I5" s="73" t="inlineStr"/>
      <c r="J5" s="73" t="inlineStr"/>
      <c r="K5" s="73" t="inlineStr"/>
      <c r="L5" s="73" t="inlineStr"/>
      <c r="M5" s="73" t="inlineStr"/>
      <c r="N5" s="73" t="inlineStr"/>
      <c r="O5" s="73" t="inlineStr"/>
      <c r="P5" s="73" t="inlineStr"/>
      <c r="Q5" s="73" t="inlineStr"/>
      <c r="R5" s="73" t="inlineStr"/>
      <c r="S5" s="74" t="n">
        <v>0</v>
      </c>
    </row>
    <row r="6" ht="18" customHeight="1">
      <c r="A6" s="16" t="inlineStr">
        <is>
          <t>Jochim</t>
        </is>
      </c>
      <c r="B6" s="71" t="inlineStr"/>
      <c r="C6" s="71" t="inlineStr"/>
      <c r="D6" s="71" t="inlineStr"/>
      <c r="E6" s="71" t="inlineStr"/>
      <c r="F6" s="71" t="inlineStr"/>
      <c r="G6" s="71" t="inlineStr"/>
      <c r="H6" s="71" t="inlineStr"/>
      <c r="I6" s="71" t="inlineStr"/>
      <c r="J6" s="71" t="inlineStr"/>
      <c r="K6" s="71" t="inlineStr"/>
      <c r="L6" s="71" t="inlineStr"/>
      <c r="M6" s="71" t="inlineStr"/>
      <c r="N6" s="71" t="inlineStr"/>
      <c r="O6" s="71" t="inlineStr"/>
      <c r="P6" s="71" t="inlineStr"/>
      <c r="Q6" s="71" t="inlineStr"/>
      <c r="R6" s="71" t="inlineStr"/>
      <c r="S6" s="72" t="n">
        <v>0</v>
      </c>
    </row>
    <row r="7" ht="18" customHeight="1">
      <c r="A7" s="16" t="inlineStr">
        <is>
          <t>Wunsch</t>
        </is>
      </c>
      <c r="B7" s="73" t="inlineStr"/>
      <c r="C7" s="73" t="inlineStr"/>
      <c r="D7" s="73" t="inlineStr"/>
      <c r="E7" s="73" t="inlineStr"/>
      <c r="F7" s="73" t="inlineStr"/>
      <c r="G7" s="73" t="inlineStr"/>
      <c r="H7" s="73" t="inlineStr"/>
      <c r="I7" s="73" t="inlineStr"/>
      <c r="J7" s="73" t="inlineStr"/>
      <c r="K7" s="73" t="inlineStr"/>
      <c r="L7" s="73" t="inlineStr"/>
      <c r="M7" s="73" t="inlineStr"/>
      <c r="N7" s="73" t="inlineStr"/>
      <c r="O7" s="73" t="inlineStr"/>
      <c r="P7" s="73" t="inlineStr"/>
      <c r="Q7" s="73" t="inlineStr"/>
      <c r="R7" s="73" t="inlineStr"/>
      <c r="S7" s="74" t="n">
        <v>0</v>
      </c>
    </row>
    <row r="8" ht="18" customHeight="1">
      <c r="A8" s="16" t="inlineStr">
        <is>
          <t>Göpfrich</t>
        </is>
      </c>
      <c r="B8" s="71" t="inlineStr"/>
      <c r="C8" s="71" t="inlineStr"/>
      <c r="D8" s="71" t="inlineStr"/>
      <c r="E8" s="71" t="inlineStr"/>
      <c r="F8" s="71" t="inlineStr"/>
      <c r="G8" s="71" t="inlineStr"/>
      <c r="H8" s="71" t="inlineStr"/>
      <c r="I8" s="71" t="inlineStr"/>
      <c r="J8" s="71" t="inlineStr"/>
      <c r="K8" s="71" t="inlineStr"/>
      <c r="L8" s="71" t="inlineStr"/>
      <c r="M8" s="71" t="inlineStr"/>
      <c r="N8" s="71" t="inlineStr"/>
      <c r="O8" s="71" t="inlineStr"/>
      <c r="P8" s="71" t="inlineStr"/>
      <c r="Q8" s="71" t="inlineStr"/>
      <c r="R8" s="71" t="inlineStr"/>
      <c r="S8" s="72" t="n">
        <v>0</v>
      </c>
    </row>
    <row r="9" ht="18" customHeight="1">
      <c r="A9" s="16" t="inlineStr">
        <is>
          <t>Zeller</t>
        </is>
      </c>
      <c r="B9" s="73" t="inlineStr"/>
      <c r="C9" s="73" t="inlineStr"/>
      <c r="D9" s="73" t="inlineStr"/>
      <c r="E9" s="73" t="inlineStr"/>
      <c r="F9" s="73" t="inlineStr"/>
      <c r="G9" s="73" t="inlineStr"/>
      <c r="H9" s="73" t="inlineStr"/>
      <c r="I9" s="73" t="inlineStr"/>
      <c r="J9" s="73" t="inlineStr"/>
      <c r="K9" s="73" t="inlineStr"/>
      <c r="L9" s="73" t="inlineStr"/>
      <c r="M9" s="73" t="inlineStr"/>
      <c r="N9" s="73" t="inlineStr"/>
      <c r="O9" s="73" t="inlineStr"/>
      <c r="P9" s="73" t="inlineStr"/>
      <c r="Q9" s="73" t="inlineStr"/>
      <c r="R9" s="73" t="inlineStr"/>
      <c r="S9" s="74" t="n">
        <v>0</v>
      </c>
    </row>
    <row r="10" ht="18" customHeight="1">
      <c r="A10" s="16" t="inlineStr">
        <is>
          <t>Behrendt</t>
        </is>
      </c>
      <c r="B10" s="71" t="inlineStr"/>
      <c r="C10" s="71" t="inlineStr"/>
      <c r="D10" s="71" t="inlineStr"/>
      <c r="E10" s="71" t="inlineStr"/>
      <c r="F10" s="71" t="inlineStr"/>
      <c r="G10" s="71" t="inlineStr"/>
      <c r="H10" s="71" t="inlineStr"/>
      <c r="I10" s="71" t="inlineStr"/>
      <c r="J10" s="71" t="inlineStr"/>
      <c r="K10" s="71" t="inlineStr"/>
      <c r="L10" s="71" t="inlineStr"/>
      <c r="M10" s="71" t="inlineStr"/>
      <c r="N10" s="71" t="inlineStr"/>
      <c r="O10" s="71" t="inlineStr"/>
      <c r="P10" s="71" t="inlineStr"/>
      <c r="Q10" s="71" t="inlineStr"/>
      <c r="R10" s="71" t="inlineStr"/>
      <c r="S10" s="72" t="n">
        <v>0</v>
      </c>
    </row>
    <row r="11" ht="18" customHeight="1">
      <c r="A11" s="16" t="inlineStr">
        <is>
          <t>Krempl</t>
        </is>
      </c>
      <c r="B11" s="73" t="inlineStr"/>
      <c r="C11" s="73" t="inlineStr"/>
      <c r="D11" s="73" t="inlineStr"/>
      <c r="E11" s="73" t="inlineStr"/>
      <c r="F11" s="73" t="inlineStr"/>
      <c r="G11" s="73" t="inlineStr"/>
      <c r="H11" s="73" t="inlineStr"/>
      <c r="I11" s="73" t="inlineStr"/>
      <c r="J11" s="73" t="inlineStr"/>
      <c r="K11" s="73" t="inlineStr"/>
      <c r="L11" s="73" t="inlineStr"/>
      <c r="M11" s="73" t="inlineStr"/>
      <c r="N11" s="73" t="inlineStr"/>
      <c r="O11" s="73" t="inlineStr"/>
      <c r="P11" s="73" t="inlineStr"/>
      <c r="Q11" s="73" t="inlineStr"/>
      <c r="R11" s="73" t="inlineStr"/>
      <c r="S11" s="74" t="n">
        <v>0</v>
      </c>
    </row>
    <row r="12" ht="18" customHeight="1">
      <c r="A12" s="16" t="inlineStr">
        <is>
          <t>Putschler</t>
        </is>
      </c>
      <c r="B12" s="71" t="inlineStr"/>
      <c r="C12" s="71" t="inlineStr"/>
      <c r="D12" s="71" t="inlineStr"/>
      <c r="E12" s="71" t="inlineStr"/>
      <c r="F12" s="71" t="inlineStr"/>
      <c r="G12" s="71" t="inlineStr"/>
      <c r="H12" s="71" t="inlineStr"/>
      <c r="I12" s="71" t="inlineStr"/>
      <c r="J12" s="71" t="inlineStr"/>
      <c r="K12" s="71" t="inlineStr"/>
      <c r="L12" s="71" t="inlineStr"/>
      <c r="M12" s="71" t="inlineStr"/>
      <c r="N12" s="71" t="inlineStr"/>
      <c r="O12" s="71" t="inlineStr"/>
      <c r="P12" s="71" t="inlineStr"/>
      <c r="Q12" s="71" t="inlineStr"/>
      <c r="R12" s="71" t="inlineStr"/>
      <c r="S12" s="72" t="n">
        <v>0</v>
      </c>
    </row>
    <row r="13" ht="18" customHeight="1">
      <c r="A13" s="16" t="inlineStr">
        <is>
          <t>Kunz</t>
        </is>
      </c>
      <c r="B13" s="73" t="inlineStr"/>
      <c r="C13" s="73" t="inlineStr"/>
      <c r="D13" s="73" t="inlineStr"/>
      <c r="E13" s="73" t="inlineStr"/>
      <c r="F13" s="73" t="inlineStr"/>
      <c r="G13" s="73" t="inlineStr"/>
      <c r="H13" s="73" t="inlineStr"/>
      <c r="I13" s="73" t="inlineStr"/>
      <c r="J13" s="73" t="inlineStr"/>
      <c r="K13" s="73" t="inlineStr"/>
      <c r="L13" s="73" t="inlineStr"/>
      <c r="M13" s="73" t="inlineStr"/>
      <c r="N13" s="73" t="inlineStr"/>
      <c r="O13" s="73" t="inlineStr"/>
      <c r="P13" s="73" t="inlineStr"/>
      <c r="Q13" s="73" t="inlineStr"/>
      <c r="R13" s="73" t="inlineStr"/>
      <c r="S13" s="74" t="n">
        <v>0</v>
      </c>
    </row>
    <row r="14" ht="18" customHeight="1">
      <c r="A14" s="16" t="inlineStr">
        <is>
          <t>Schmidt</t>
        </is>
      </c>
      <c r="B14" s="71" t="inlineStr"/>
      <c r="C14" s="71" t="inlineStr"/>
      <c r="D14" s="71" t="inlineStr"/>
      <c r="E14" s="71" t="inlineStr"/>
      <c r="F14" s="71" t="inlineStr"/>
      <c r="G14" s="71" t="inlineStr"/>
      <c r="H14" s="71" t="inlineStr"/>
      <c r="I14" s="71" t="inlineStr"/>
      <c r="J14" s="71" t="inlineStr"/>
      <c r="K14" s="71" t="inlineStr"/>
      <c r="L14" s="71" t="inlineStr"/>
      <c r="M14" s="71" t="inlineStr"/>
      <c r="N14" s="71" t="inlineStr"/>
      <c r="O14" s="71" t="inlineStr"/>
      <c r="P14" s="71" t="inlineStr"/>
      <c r="Q14" s="71" t="inlineStr"/>
      <c r="R14" s="71" t="inlineStr"/>
      <c r="S14" s="72" t="n">
        <v>0</v>
      </c>
    </row>
    <row r="15" ht="18" customHeight="1">
      <c r="A15" s="16" t="inlineStr">
        <is>
          <t>Radimersky</t>
        </is>
      </c>
      <c r="B15" s="73" t="inlineStr"/>
      <c r="C15" s="73" t="inlineStr"/>
      <c r="D15" s="73" t="inlineStr"/>
      <c r="E15" s="73" t="inlineStr"/>
      <c r="F15" s="73" t="inlineStr"/>
      <c r="G15" s="73" t="inlineStr"/>
      <c r="H15" s="73" t="inlineStr"/>
      <c r="I15" s="73" t="inlineStr"/>
      <c r="J15" s="73" t="inlineStr"/>
      <c r="K15" s="73" t="inlineStr"/>
      <c r="L15" s="73" t="inlineStr"/>
      <c r="M15" s="73" t="inlineStr"/>
      <c r="N15" s="73" t="inlineStr"/>
      <c r="O15" s="73" t="inlineStr"/>
      <c r="P15" s="73" t="inlineStr"/>
      <c r="Q15" s="73" t="inlineStr"/>
      <c r="R15" s="73" t="inlineStr"/>
      <c r="S15" s="74" t="n">
        <v>0</v>
      </c>
    </row>
    <row r="16" ht="18" customHeight="1">
      <c r="A16" s="75" t="inlineStr">
        <is>
          <t>Summe</t>
        </is>
      </c>
      <c r="B16" s="76" t="n">
        <v>0</v>
      </c>
      <c r="C16" s="76" t="n">
        <v>0</v>
      </c>
      <c r="D16" s="76" t="n">
        <v>0</v>
      </c>
      <c r="E16" s="76" t="n">
        <v>0</v>
      </c>
      <c r="F16" s="76" t="n">
        <v>0</v>
      </c>
      <c r="G16" s="76" t="n">
        <v>0</v>
      </c>
      <c r="H16" s="76" t="n">
        <v>0</v>
      </c>
      <c r="I16" s="76" t="n">
        <v>0</v>
      </c>
      <c r="J16" s="76" t="n">
        <v>0</v>
      </c>
      <c r="K16" s="76" t="n">
        <v>0</v>
      </c>
      <c r="L16" s="76" t="n">
        <v>0</v>
      </c>
      <c r="M16" s="76" t="n">
        <v>0</v>
      </c>
      <c r="N16" s="76" t="n">
        <v>0</v>
      </c>
      <c r="O16" s="76" t="n">
        <v>0</v>
      </c>
      <c r="P16" s="76" t="n">
        <v>0</v>
      </c>
      <c r="Q16" s="76" t="n">
        <v>0</v>
      </c>
      <c r="R16" s="76" t="n">
        <v>0</v>
      </c>
      <c r="S16" s="77" t="n">
        <v>0</v>
      </c>
    </row>
  </sheetData>
  <pageMargins left="0.75" right="0.75" top="1" bottom="1" header="0.5" footer="0.5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14" customWidth="1" min="24" max="24"/>
    <col width="8" customWidth="1" min="25" max="25"/>
    <col width="8" customWidth="1" min="27" max="27"/>
    <col width="10" customWidth="1" min="28" max="28"/>
  </cols>
  <sheetData>
    <row r="1">
      <c r="A1" s="1" t="inlineStr">
        <is>
          <t>Monatsdetails 2027</t>
        </is>
      </c>
      <c r="X1" s="1" t="inlineStr">
        <is>
          <t>Konfiguration</t>
        </is>
      </c>
    </row>
    <row r="2">
      <c r="X2" s="34" t="inlineStr">
        <is>
          <t>Mitarbeiter</t>
        </is>
      </c>
      <c r="Y2" s="65" t="inlineStr">
        <is>
          <t>IRTAZ</t>
        </is>
      </c>
      <c r="AA2" s="34" t="inlineStr">
        <is>
          <t>Schicht</t>
        </is>
      </c>
      <c r="AB2" s="65" t="inlineStr">
        <is>
          <t>Stunden</t>
        </is>
      </c>
    </row>
    <row r="3">
      <c r="A3" s="2" t="inlineStr">
        <is>
          <t>Januar</t>
        </is>
      </c>
      <c r="C3" t="inlineStr">
        <is>
          <t>AT:</t>
        </is>
      </c>
      <c r="D3" s="78" t="n">
        <v>19</v>
      </c>
      <c r="F3" t="inlineStr">
        <is>
          <t>Sa:</t>
        </is>
      </c>
      <c r="G3" s="78" t="n">
        <v>5</v>
      </c>
      <c r="X3" s="43" t="inlineStr">
        <is>
          <t>Breig</t>
        </is>
      </c>
      <c r="Y3" s="79" t="n">
        <v>8</v>
      </c>
      <c r="AA3" s="80" t="inlineStr">
        <is>
          <t>FI</t>
        </is>
      </c>
      <c r="AB3" s="79" t="n">
        <v>7.25</v>
      </c>
    </row>
    <row r="4" ht="18" customHeight="1">
      <c r="A4" s="34" t="inlineStr">
        <is>
          <t>MA</t>
        </is>
      </c>
      <c r="B4" s="36" t="inlineStr">
        <is>
          <t>FI</t>
        </is>
      </c>
      <c r="C4" s="36" t="inlineStr">
        <is>
          <t>FII</t>
        </is>
      </c>
      <c r="D4" s="36" t="inlineStr">
        <is>
          <t>SI</t>
        </is>
      </c>
      <c r="E4" s="36" t="inlineStr">
        <is>
          <t>SII</t>
        </is>
      </c>
      <c r="F4" s="36" t="inlineStr">
        <is>
          <t>NI</t>
        </is>
      </c>
      <c r="G4" s="36" t="inlineStr">
        <is>
          <t>DI</t>
        </is>
      </c>
      <c r="H4" s="36" t="inlineStr">
        <is>
          <t>DII</t>
        </is>
      </c>
      <c r="I4" s="36" t="inlineStr">
        <is>
          <t>KU</t>
        </is>
      </c>
      <c r="J4" s="36" t="inlineStr">
        <is>
          <t>EH</t>
        </is>
      </c>
      <c r="K4" s="36" t="inlineStr">
        <is>
          <t>SD</t>
        </is>
      </c>
      <c r="L4" s="36" t="inlineStr">
        <is>
          <t>GT</t>
        </is>
      </c>
      <c r="M4" s="36" t="inlineStr">
        <is>
          <t>NST</t>
        </is>
      </c>
      <c r="N4" s="36" t="inlineStr">
        <is>
          <t>KT</t>
        </is>
      </c>
      <c r="O4" s="36" t="inlineStr">
        <is>
          <t>Fobi</t>
        </is>
      </c>
      <c r="P4" s="36" t="inlineStr">
        <is>
          <t>U</t>
        </is>
      </c>
      <c r="Q4" s="36" t="inlineStr">
        <is>
          <t>A</t>
        </is>
      </c>
      <c r="R4" s="36" t="inlineStr">
        <is>
          <t>T-ZUG</t>
        </is>
      </c>
      <c r="S4" s="36" t="inlineStr">
        <is>
          <t>Soll</t>
        </is>
      </c>
      <c r="T4" s="36" t="inlineStr">
        <is>
          <t>Ist</t>
        </is>
      </c>
      <c r="U4" s="65" t="inlineStr">
        <is>
          <t>Diff</t>
        </is>
      </c>
      <c r="X4" s="43" t="inlineStr">
        <is>
          <t>Siebert</t>
        </is>
      </c>
      <c r="Y4" s="79" t="n">
        <v>7</v>
      </c>
      <c r="AA4" s="80" t="inlineStr">
        <is>
          <t>FII</t>
        </is>
      </c>
      <c r="AB4" s="79" t="n">
        <v>7.5</v>
      </c>
    </row>
    <row r="5" ht="16" customHeight="1">
      <c r="A5" s="43" t="inlineStr">
        <is>
          <t>Breig</t>
        </is>
      </c>
      <c r="B5" s="81">
        <f>COUNTIF(Dienstplan!B7:AF7,"FI")</f>
        <v/>
      </c>
      <c r="C5" s="81">
        <f>COUNTIF(Dienstplan!B7:AF7,"FII")</f>
        <v/>
      </c>
      <c r="D5" s="81">
        <f>COUNTIF(Dienstplan!B7:AF7,"SI")</f>
        <v/>
      </c>
      <c r="E5" s="81">
        <f>COUNTIF(Dienstplan!B7:AF7,"SII")</f>
        <v/>
      </c>
      <c r="F5" s="81">
        <f>COUNTIF(Dienstplan!B7:AF7,"NI")</f>
        <v/>
      </c>
      <c r="G5" s="81">
        <f>COUNTIF(Dienstplan!B7:AF7,"DI")</f>
        <v/>
      </c>
      <c r="H5" s="81">
        <f>COUNTIF(Dienstplan!B7:AF7,"DII")</f>
        <v/>
      </c>
      <c r="I5" s="81">
        <f>COUNTIF(Dienstplan!B7:AF7,"KU")</f>
        <v/>
      </c>
      <c r="J5" s="81">
        <f>COUNTIF(Dienstplan!B7:AF7,"EH")</f>
        <v/>
      </c>
      <c r="K5" s="81">
        <f>COUNTIF(Dienstplan!B7:AF7,"SD")</f>
        <v/>
      </c>
      <c r="L5" s="81">
        <f>COUNTIF(Dienstplan!B7:AF7,"GT")</f>
        <v/>
      </c>
      <c r="M5" s="81">
        <f>COUNTIF(Dienstplan!B7:AF7,"NST")</f>
        <v/>
      </c>
      <c r="N5" s="81">
        <f>COUNTIF(Dienstplan!B7:AF7,"KT")</f>
        <v/>
      </c>
      <c r="O5" s="81">
        <f>COUNTIF(Dienstplan!B7:AF7,"Fobi")</f>
        <v/>
      </c>
      <c r="P5" s="81">
        <f>COUNTIF(Dienstplan!B7:AF7,"U")</f>
        <v/>
      </c>
      <c r="Q5" s="81">
        <f>COUNTIF(Dienstplan!B7:AF7,"A")</f>
        <v/>
      </c>
      <c r="R5" s="81">
        <f>COUNTIF(Dienstplan!B7:AF7,"T-ZUG")</f>
        <v/>
      </c>
      <c r="S5" s="81">
        <f>19*$Y$3</f>
        <v/>
      </c>
      <c r="T5" s="81">
        <f>IF(ISNUMBER($AB$3),B5*$AB$3,B5*$Y$3)+IF(ISNUMBER($AB$4),C5*$AB$4,C5*$Y$3)+IF(ISNUMBER($AB$5),D5*$AB$5,D5*$Y$3)+IF(ISNUMBER($AB$6),E5*$AB$6,E5*$Y$3)+IF(ISNUMBER($AB$7),F5*$AB$7,F5*$Y$3)+IF(ISNUMBER($AB$8),G5*$AB$8,G5*$Y$3)+IF(ISNUMBER($AB$9),H5*$AB$9,H5*$Y$3)+IF(ISNUMBER($AB$10),I5*$AB$10,I5*$Y$3)+IF(ISNUMBER($AB$11),J5*$AB$11,J5*$Y$3)+IF(ISNUMBER($AB$12),K5*$AB$12,K5*$Y$3)+IF(ISNUMBER($AB$13),L5*$AB$13,L5*$Y$3)+IF(ISNUMBER($AB$14),M5*$AB$14,M5*$Y$3)+IF(ISNUMBER($AB$15),N5*$AB$15,N5*$Y$3)+IF(ISNUMBER($AB$16),O5*$AB$16,O5*$Y$3)+IF(ISNUMBER($AB$17),P5*$AB$17,P5*$Y$3)+IF(ISNUMBER($AB$18),Q5*$AB$18,Q5*$Y$3)+IF(ISNUMBER($AB$19),R5*$AB$19,R5*$Y$3)</f>
        <v/>
      </c>
      <c r="U5" s="82">
        <f>T5-S5</f>
        <v/>
      </c>
      <c r="X5" s="43" t="inlineStr">
        <is>
          <t>Jochim</t>
        </is>
      </c>
      <c r="Y5" s="79" t="n">
        <v>7</v>
      </c>
      <c r="AA5" s="80" t="inlineStr">
        <is>
          <t>SI</t>
        </is>
      </c>
      <c r="AB5" s="79" t="n">
        <v>7.5</v>
      </c>
    </row>
    <row r="6" ht="16" customHeight="1">
      <c r="A6" s="43" t="inlineStr">
        <is>
          <t>Siebert</t>
        </is>
      </c>
      <c r="B6" s="83">
        <f>COUNTIF(Dienstplan!B8:AF8,"FI")</f>
        <v/>
      </c>
      <c r="C6" s="83">
        <f>COUNTIF(Dienstplan!B8:AF8,"FII")</f>
        <v/>
      </c>
      <c r="D6" s="83">
        <f>COUNTIF(Dienstplan!B8:AF8,"SI")</f>
        <v/>
      </c>
      <c r="E6" s="83">
        <f>COUNTIF(Dienstplan!B8:AF8,"SII")</f>
        <v/>
      </c>
      <c r="F6" s="83">
        <f>COUNTIF(Dienstplan!B8:AF8,"NI")</f>
        <v/>
      </c>
      <c r="G6" s="83">
        <f>COUNTIF(Dienstplan!B8:AF8,"DI")</f>
        <v/>
      </c>
      <c r="H6" s="83">
        <f>COUNTIF(Dienstplan!B8:AF8,"DII")</f>
        <v/>
      </c>
      <c r="I6" s="83">
        <f>COUNTIF(Dienstplan!B8:AF8,"KU")</f>
        <v/>
      </c>
      <c r="J6" s="83">
        <f>COUNTIF(Dienstplan!B8:AF8,"EH")</f>
        <v/>
      </c>
      <c r="K6" s="83">
        <f>COUNTIF(Dienstplan!B8:AF8,"SD")</f>
        <v/>
      </c>
      <c r="L6" s="83">
        <f>COUNTIF(Dienstplan!B8:AF8,"GT")</f>
        <v/>
      </c>
      <c r="M6" s="83">
        <f>COUNTIF(Dienstplan!B8:AF8,"NST")</f>
        <v/>
      </c>
      <c r="N6" s="83">
        <f>COUNTIF(Dienstplan!B8:AF8,"KT")</f>
        <v/>
      </c>
      <c r="O6" s="83">
        <f>COUNTIF(Dienstplan!B8:AF8,"Fobi")</f>
        <v/>
      </c>
      <c r="P6" s="83">
        <f>COUNTIF(Dienstplan!B8:AF8,"U")</f>
        <v/>
      </c>
      <c r="Q6" s="83">
        <f>COUNTIF(Dienstplan!B8:AF8,"A")</f>
        <v/>
      </c>
      <c r="R6" s="83">
        <f>COUNTIF(Dienstplan!B8:AF8,"T-ZUG")</f>
        <v/>
      </c>
      <c r="S6" s="83">
        <f>19*$Y$4</f>
        <v/>
      </c>
      <c r="T6" s="83">
        <f>IF(ISNUMBER($AB$3),B6*$AB$3,B6*$Y$4)+IF(ISNUMBER($AB$4),C6*$AB$4,C6*$Y$4)+IF(ISNUMBER($AB$5),D6*$AB$5,D6*$Y$4)+IF(ISNUMBER($AB$6),E6*$AB$6,E6*$Y$4)+IF(ISNUMBER($AB$7),F6*$AB$7,F6*$Y$4)+IF(ISNUMBER($AB$8),G6*$AB$8,G6*$Y$4)+IF(ISNUMBER($AB$9),H6*$AB$9,H6*$Y$4)+IF(ISNUMBER($AB$10),I6*$AB$10,I6*$Y$4)+IF(ISNUMBER($AB$11),J6*$AB$11,J6*$Y$4)+IF(ISNUMBER($AB$12),K6*$AB$12,K6*$Y$4)+IF(ISNUMBER($AB$13),L6*$AB$13,L6*$Y$4)+IF(ISNUMBER($AB$14),M6*$AB$14,M6*$Y$4)+IF(ISNUMBER($AB$15),N6*$AB$15,N6*$Y$4)+IF(ISNUMBER($AB$16),O6*$AB$16,O6*$Y$4)+IF(ISNUMBER($AB$17),P6*$AB$17,P6*$Y$4)+IF(ISNUMBER($AB$18),Q6*$AB$18,Q6*$Y$4)+IF(ISNUMBER($AB$19),R6*$AB$19,R6*$Y$4)</f>
        <v/>
      </c>
      <c r="U6" s="84">
        <f>T6-S6</f>
        <v/>
      </c>
      <c r="X6" s="43" t="inlineStr">
        <is>
          <t>Wunsch</t>
        </is>
      </c>
      <c r="Y6" s="79" t="n">
        <v>8</v>
      </c>
      <c r="AA6" s="80" t="inlineStr">
        <is>
          <t>SII</t>
        </is>
      </c>
      <c r="AB6" s="79" t="n">
        <v>7</v>
      </c>
    </row>
    <row r="7" ht="16" customHeight="1">
      <c r="A7" s="43" t="inlineStr">
        <is>
          <t>Jochim</t>
        </is>
      </c>
      <c r="B7" s="81">
        <f>COUNTIF(Dienstplan!B9:AF9,"FI")</f>
        <v/>
      </c>
      <c r="C7" s="81">
        <f>COUNTIF(Dienstplan!B9:AF9,"FII")</f>
        <v/>
      </c>
      <c r="D7" s="81">
        <f>COUNTIF(Dienstplan!B9:AF9,"SI")</f>
        <v/>
      </c>
      <c r="E7" s="81">
        <f>COUNTIF(Dienstplan!B9:AF9,"SII")</f>
        <v/>
      </c>
      <c r="F7" s="81">
        <f>COUNTIF(Dienstplan!B9:AF9,"NI")</f>
        <v/>
      </c>
      <c r="G7" s="81">
        <f>COUNTIF(Dienstplan!B9:AF9,"DI")</f>
        <v/>
      </c>
      <c r="H7" s="81">
        <f>COUNTIF(Dienstplan!B9:AF9,"DII")</f>
        <v/>
      </c>
      <c r="I7" s="81">
        <f>COUNTIF(Dienstplan!B9:AF9,"KU")</f>
        <v/>
      </c>
      <c r="J7" s="81">
        <f>COUNTIF(Dienstplan!B9:AF9,"EH")</f>
        <v/>
      </c>
      <c r="K7" s="81">
        <f>COUNTIF(Dienstplan!B9:AF9,"SD")</f>
        <v/>
      </c>
      <c r="L7" s="81">
        <f>COUNTIF(Dienstplan!B9:AF9,"GT")</f>
        <v/>
      </c>
      <c r="M7" s="81">
        <f>COUNTIF(Dienstplan!B9:AF9,"NST")</f>
        <v/>
      </c>
      <c r="N7" s="81">
        <f>COUNTIF(Dienstplan!B9:AF9,"KT")</f>
        <v/>
      </c>
      <c r="O7" s="81">
        <f>COUNTIF(Dienstplan!B9:AF9,"Fobi")</f>
        <v/>
      </c>
      <c r="P7" s="81">
        <f>COUNTIF(Dienstplan!B9:AF9,"U")</f>
        <v/>
      </c>
      <c r="Q7" s="81">
        <f>COUNTIF(Dienstplan!B9:AF9,"A")</f>
        <v/>
      </c>
      <c r="R7" s="81">
        <f>COUNTIF(Dienstplan!B9:AF9,"T-ZUG")</f>
        <v/>
      </c>
      <c r="S7" s="81">
        <f>19*$Y$5</f>
        <v/>
      </c>
      <c r="T7" s="81">
        <f>IF(ISNUMBER($AB$3),B7*$AB$3,B7*$Y$5)+IF(ISNUMBER($AB$4),C7*$AB$4,C7*$Y$5)+IF(ISNUMBER($AB$5),D7*$AB$5,D7*$Y$5)+IF(ISNUMBER($AB$6),E7*$AB$6,E7*$Y$5)+IF(ISNUMBER($AB$7),F7*$AB$7,F7*$Y$5)+IF(ISNUMBER($AB$8),G7*$AB$8,G7*$Y$5)+IF(ISNUMBER($AB$9),H7*$AB$9,H7*$Y$5)+IF(ISNUMBER($AB$10),I7*$AB$10,I7*$Y$5)+IF(ISNUMBER($AB$11),J7*$AB$11,J7*$Y$5)+IF(ISNUMBER($AB$12),K7*$AB$12,K7*$Y$5)+IF(ISNUMBER($AB$13),L7*$AB$13,L7*$Y$5)+IF(ISNUMBER($AB$14),M7*$AB$14,M7*$Y$5)+IF(ISNUMBER($AB$15),N7*$AB$15,N7*$Y$5)+IF(ISNUMBER($AB$16),O7*$AB$16,O7*$Y$5)+IF(ISNUMBER($AB$17),P7*$AB$17,P7*$Y$5)+IF(ISNUMBER($AB$18),Q7*$AB$18,Q7*$Y$5)+IF(ISNUMBER($AB$19),R7*$AB$19,R7*$Y$5)</f>
        <v/>
      </c>
      <c r="U7" s="82">
        <f>T7-S7</f>
        <v/>
      </c>
      <c r="X7" s="43" t="inlineStr">
        <is>
          <t>Göpfrich</t>
        </is>
      </c>
      <c r="Y7" s="79" t="n">
        <v>7</v>
      </c>
      <c r="AA7" s="80" t="inlineStr">
        <is>
          <t>NI</t>
        </is>
      </c>
      <c r="AB7" s="79" t="n">
        <v>7.5</v>
      </c>
    </row>
    <row r="8" ht="16" customHeight="1">
      <c r="A8" s="43" t="inlineStr">
        <is>
          <t>Wunsch</t>
        </is>
      </c>
      <c r="B8" s="83">
        <f>COUNTIF(Dienstplan!B10:AF10,"FI")</f>
        <v/>
      </c>
      <c r="C8" s="83">
        <f>COUNTIF(Dienstplan!B10:AF10,"FII")</f>
        <v/>
      </c>
      <c r="D8" s="83">
        <f>COUNTIF(Dienstplan!B10:AF10,"SI")</f>
        <v/>
      </c>
      <c r="E8" s="83">
        <f>COUNTIF(Dienstplan!B10:AF10,"SII")</f>
        <v/>
      </c>
      <c r="F8" s="83">
        <f>COUNTIF(Dienstplan!B10:AF10,"NI")</f>
        <v/>
      </c>
      <c r="G8" s="83">
        <f>COUNTIF(Dienstplan!B10:AF10,"DI")</f>
        <v/>
      </c>
      <c r="H8" s="83">
        <f>COUNTIF(Dienstplan!B10:AF10,"DII")</f>
        <v/>
      </c>
      <c r="I8" s="83">
        <f>COUNTIF(Dienstplan!B10:AF10,"KU")</f>
        <v/>
      </c>
      <c r="J8" s="83">
        <f>COUNTIF(Dienstplan!B10:AF10,"EH")</f>
        <v/>
      </c>
      <c r="K8" s="83">
        <f>COUNTIF(Dienstplan!B10:AF10,"SD")</f>
        <v/>
      </c>
      <c r="L8" s="83">
        <f>COUNTIF(Dienstplan!B10:AF10,"GT")</f>
        <v/>
      </c>
      <c r="M8" s="83">
        <f>COUNTIF(Dienstplan!B10:AF10,"NST")</f>
        <v/>
      </c>
      <c r="N8" s="83">
        <f>COUNTIF(Dienstplan!B10:AF10,"KT")</f>
        <v/>
      </c>
      <c r="O8" s="83">
        <f>COUNTIF(Dienstplan!B10:AF10,"Fobi")</f>
        <v/>
      </c>
      <c r="P8" s="83">
        <f>COUNTIF(Dienstplan!B10:AF10,"U")</f>
        <v/>
      </c>
      <c r="Q8" s="83">
        <f>COUNTIF(Dienstplan!B10:AF10,"A")</f>
        <v/>
      </c>
      <c r="R8" s="83">
        <f>COUNTIF(Dienstplan!B10:AF10,"T-ZUG")</f>
        <v/>
      </c>
      <c r="S8" s="83">
        <f>19*$Y$6</f>
        <v/>
      </c>
      <c r="T8" s="83">
        <f>IF(ISNUMBER($AB$3),B8*$AB$3,B8*$Y$6)+IF(ISNUMBER($AB$4),C8*$AB$4,C8*$Y$6)+IF(ISNUMBER($AB$5),D8*$AB$5,D8*$Y$6)+IF(ISNUMBER($AB$6),E8*$AB$6,E8*$Y$6)+IF(ISNUMBER($AB$7),F8*$AB$7,F8*$Y$6)+IF(ISNUMBER($AB$8),G8*$AB$8,G8*$Y$6)+IF(ISNUMBER($AB$9),H8*$AB$9,H8*$Y$6)+IF(ISNUMBER($AB$10),I8*$AB$10,I8*$Y$6)+IF(ISNUMBER($AB$11),J8*$AB$11,J8*$Y$6)+IF(ISNUMBER($AB$12),K8*$AB$12,K8*$Y$6)+IF(ISNUMBER($AB$13),L8*$AB$13,L8*$Y$6)+IF(ISNUMBER($AB$14),M8*$AB$14,M8*$Y$6)+IF(ISNUMBER($AB$15),N8*$AB$15,N8*$Y$6)+IF(ISNUMBER($AB$16),O8*$AB$16,O8*$Y$6)+IF(ISNUMBER($AB$17),P8*$AB$17,P8*$Y$6)+IF(ISNUMBER($AB$18),Q8*$AB$18,Q8*$Y$6)+IF(ISNUMBER($AB$19),R8*$AB$19,R8*$Y$6)</f>
        <v/>
      </c>
      <c r="U8" s="84">
        <f>T8-S8</f>
        <v/>
      </c>
      <c r="X8" s="43" t="inlineStr">
        <is>
          <t>Zeller</t>
        </is>
      </c>
      <c r="Y8" s="79" t="n">
        <v>8</v>
      </c>
      <c r="AA8" s="80" t="inlineStr">
        <is>
          <t>DI</t>
        </is>
      </c>
      <c r="AB8" s="79" t="n">
        <v>8</v>
      </c>
    </row>
    <row r="9" ht="16" customHeight="1">
      <c r="A9" s="43" t="inlineStr">
        <is>
          <t>Göpfrich</t>
        </is>
      </c>
      <c r="B9" s="81">
        <f>COUNTIF(Dienstplan!B11:AF11,"FI")</f>
        <v/>
      </c>
      <c r="C9" s="81">
        <f>COUNTIF(Dienstplan!B11:AF11,"FII")</f>
        <v/>
      </c>
      <c r="D9" s="81">
        <f>COUNTIF(Dienstplan!B11:AF11,"SI")</f>
        <v/>
      </c>
      <c r="E9" s="81">
        <f>COUNTIF(Dienstplan!B11:AF11,"SII")</f>
        <v/>
      </c>
      <c r="F9" s="81">
        <f>COUNTIF(Dienstplan!B11:AF11,"NI")</f>
        <v/>
      </c>
      <c r="G9" s="81">
        <f>COUNTIF(Dienstplan!B11:AF11,"DI")</f>
        <v/>
      </c>
      <c r="H9" s="81">
        <f>COUNTIF(Dienstplan!B11:AF11,"DII")</f>
        <v/>
      </c>
      <c r="I9" s="81">
        <f>COUNTIF(Dienstplan!B11:AF11,"KU")</f>
        <v/>
      </c>
      <c r="J9" s="81">
        <f>COUNTIF(Dienstplan!B11:AF11,"EH")</f>
        <v/>
      </c>
      <c r="K9" s="81">
        <f>COUNTIF(Dienstplan!B11:AF11,"SD")</f>
        <v/>
      </c>
      <c r="L9" s="81">
        <f>COUNTIF(Dienstplan!B11:AF11,"GT")</f>
        <v/>
      </c>
      <c r="M9" s="81">
        <f>COUNTIF(Dienstplan!B11:AF11,"NST")</f>
        <v/>
      </c>
      <c r="N9" s="81">
        <f>COUNTIF(Dienstplan!B11:AF11,"KT")</f>
        <v/>
      </c>
      <c r="O9" s="81">
        <f>COUNTIF(Dienstplan!B11:AF11,"Fobi")</f>
        <v/>
      </c>
      <c r="P9" s="81">
        <f>COUNTIF(Dienstplan!B11:AF11,"U")</f>
        <v/>
      </c>
      <c r="Q9" s="81">
        <f>COUNTIF(Dienstplan!B11:AF11,"A")</f>
        <v/>
      </c>
      <c r="R9" s="81">
        <f>COUNTIF(Dienstplan!B11:AF11,"T-ZUG")</f>
        <v/>
      </c>
      <c r="S9" s="81">
        <f>19*$Y$7</f>
        <v/>
      </c>
      <c r="T9" s="81">
        <f>IF(ISNUMBER($AB$3),B9*$AB$3,B9*$Y$7)+IF(ISNUMBER($AB$4),C9*$AB$4,C9*$Y$7)+IF(ISNUMBER($AB$5),D9*$AB$5,D9*$Y$7)+IF(ISNUMBER($AB$6),E9*$AB$6,E9*$Y$7)+IF(ISNUMBER($AB$7),F9*$AB$7,F9*$Y$7)+IF(ISNUMBER($AB$8),G9*$AB$8,G9*$Y$7)+IF(ISNUMBER($AB$9),H9*$AB$9,H9*$Y$7)+IF(ISNUMBER($AB$10),I9*$AB$10,I9*$Y$7)+IF(ISNUMBER($AB$11),J9*$AB$11,J9*$Y$7)+IF(ISNUMBER($AB$12),K9*$AB$12,K9*$Y$7)+IF(ISNUMBER($AB$13),L9*$AB$13,L9*$Y$7)+IF(ISNUMBER($AB$14),M9*$AB$14,M9*$Y$7)+IF(ISNUMBER($AB$15),N9*$AB$15,N9*$Y$7)+IF(ISNUMBER($AB$16),O9*$AB$16,O9*$Y$7)+IF(ISNUMBER($AB$17),P9*$AB$17,P9*$Y$7)+IF(ISNUMBER($AB$18),Q9*$AB$18,Q9*$Y$7)+IF(ISNUMBER($AB$19),R9*$AB$19,R9*$Y$7)</f>
        <v/>
      </c>
      <c r="U9" s="82">
        <f>T9-S9</f>
        <v/>
      </c>
      <c r="X9" s="43" t="inlineStr">
        <is>
          <t>Behrendt</t>
        </is>
      </c>
      <c r="Y9" s="79" t="n">
        <v>7</v>
      </c>
      <c r="AA9" s="80" t="inlineStr">
        <is>
          <t>DII</t>
        </is>
      </c>
      <c r="AB9" s="79" t="n">
        <v>8</v>
      </c>
    </row>
    <row r="10" ht="16" customHeight="1">
      <c r="A10" s="43" t="inlineStr">
        <is>
          <t>Zeller</t>
        </is>
      </c>
      <c r="B10" s="83">
        <f>COUNTIF(Dienstplan!B12:AF12,"FI")</f>
        <v/>
      </c>
      <c r="C10" s="83">
        <f>COUNTIF(Dienstplan!B12:AF12,"FII")</f>
        <v/>
      </c>
      <c r="D10" s="83">
        <f>COUNTIF(Dienstplan!B12:AF12,"SI")</f>
        <v/>
      </c>
      <c r="E10" s="83">
        <f>COUNTIF(Dienstplan!B12:AF12,"SII")</f>
        <v/>
      </c>
      <c r="F10" s="83">
        <f>COUNTIF(Dienstplan!B12:AF12,"NI")</f>
        <v/>
      </c>
      <c r="G10" s="83">
        <f>COUNTIF(Dienstplan!B12:AF12,"DI")</f>
        <v/>
      </c>
      <c r="H10" s="83">
        <f>COUNTIF(Dienstplan!B12:AF12,"DII")</f>
        <v/>
      </c>
      <c r="I10" s="83">
        <f>COUNTIF(Dienstplan!B12:AF12,"KU")</f>
        <v/>
      </c>
      <c r="J10" s="83">
        <f>COUNTIF(Dienstplan!B12:AF12,"EH")</f>
        <v/>
      </c>
      <c r="K10" s="83">
        <f>COUNTIF(Dienstplan!B12:AF12,"SD")</f>
        <v/>
      </c>
      <c r="L10" s="83">
        <f>COUNTIF(Dienstplan!B12:AF12,"GT")</f>
        <v/>
      </c>
      <c r="M10" s="83">
        <f>COUNTIF(Dienstplan!B12:AF12,"NST")</f>
        <v/>
      </c>
      <c r="N10" s="83">
        <f>COUNTIF(Dienstplan!B12:AF12,"KT")</f>
        <v/>
      </c>
      <c r="O10" s="83">
        <f>COUNTIF(Dienstplan!B12:AF12,"Fobi")</f>
        <v/>
      </c>
      <c r="P10" s="83">
        <f>COUNTIF(Dienstplan!B12:AF12,"U")</f>
        <v/>
      </c>
      <c r="Q10" s="83">
        <f>COUNTIF(Dienstplan!B12:AF12,"A")</f>
        <v/>
      </c>
      <c r="R10" s="83">
        <f>COUNTIF(Dienstplan!B12:AF12,"T-ZUG")</f>
        <v/>
      </c>
      <c r="S10" s="83">
        <f>19*$Y$8</f>
        <v/>
      </c>
      <c r="T10" s="83">
        <f>IF(ISNUMBER($AB$3),B10*$AB$3,B10*$Y$8)+IF(ISNUMBER($AB$4),C10*$AB$4,C10*$Y$8)+IF(ISNUMBER($AB$5),D10*$AB$5,D10*$Y$8)+IF(ISNUMBER($AB$6),E10*$AB$6,E10*$Y$8)+IF(ISNUMBER($AB$7),F10*$AB$7,F10*$Y$8)+IF(ISNUMBER($AB$8),G10*$AB$8,G10*$Y$8)+IF(ISNUMBER($AB$9),H10*$AB$9,H10*$Y$8)+IF(ISNUMBER($AB$10),I10*$AB$10,I10*$Y$8)+IF(ISNUMBER($AB$11),J10*$AB$11,J10*$Y$8)+IF(ISNUMBER($AB$12),K10*$AB$12,K10*$Y$8)+IF(ISNUMBER($AB$13),L10*$AB$13,L10*$Y$8)+IF(ISNUMBER($AB$14),M10*$AB$14,M10*$Y$8)+IF(ISNUMBER($AB$15),N10*$AB$15,N10*$Y$8)+IF(ISNUMBER($AB$16),O10*$AB$16,O10*$Y$8)+IF(ISNUMBER($AB$17),P10*$AB$17,P10*$Y$8)+IF(ISNUMBER($AB$18),Q10*$AB$18,Q10*$Y$8)+IF(ISNUMBER($AB$19),R10*$AB$19,R10*$Y$8)</f>
        <v/>
      </c>
      <c r="U10" s="84">
        <f>T10-S10</f>
        <v/>
      </c>
      <c r="X10" s="43" t="inlineStr">
        <is>
          <t>Krempl</t>
        </is>
      </c>
      <c r="Y10" s="79" t="n">
        <v>3.2</v>
      </c>
      <c r="AA10" s="80" t="inlineStr">
        <is>
          <t>KU</t>
        </is>
      </c>
      <c r="AB10" s="79" t="n">
        <v>8</v>
      </c>
    </row>
    <row r="11" ht="16" customHeight="1">
      <c r="A11" s="43" t="inlineStr">
        <is>
          <t>Behrendt</t>
        </is>
      </c>
      <c r="B11" s="81">
        <f>COUNTIF(Dienstplan!B13:AF13,"FI")</f>
        <v/>
      </c>
      <c r="C11" s="81">
        <f>COUNTIF(Dienstplan!B13:AF13,"FII")</f>
        <v/>
      </c>
      <c r="D11" s="81">
        <f>COUNTIF(Dienstplan!B13:AF13,"SI")</f>
        <v/>
      </c>
      <c r="E11" s="81">
        <f>COUNTIF(Dienstplan!B13:AF13,"SII")</f>
        <v/>
      </c>
      <c r="F11" s="81">
        <f>COUNTIF(Dienstplan!B13:AF13,"NI")</f>
        <v/>
      </c>
      <c r="G11" s="81">
        <f>COUNTIF(Dienstplan!B13:AF13,"DI")</f>
        <v/>
      </c>
      <c r="H11" s="81">
        <f>COUNTIF(Dienstplan!B13:AF13,"DII")</f>
        <v/>
      </c>
      <c r="I11" s="81">
        <f>COUNTIF(Dienstplan!B13:AF13,"KU")</f>
        <v/>
      </c>
      <c r="J11" s="81">
        <f>COUNTIF(Dienstplan!B13:AF13,"EH")</f>
        <v/>
      </c>
      <c r="K11" s="81">
        <f>COUNTIF(Dienstplan!B13:AF13,"SD")</f>
        <v/>
      </c>
      <c r="L11" s="81">
        <f>COUNTIF(Dienstplan!B13:AF13,"GT")</f>
        <v/>
      </c>
      <c r="M11" s="81">
        <f>COUNTIF(Dienstplan!B13:AF13,"NST")</f>
        <v/>
      </c>
      <c r="N11" s="81">
        <f>COUNTIF(Dienstplan!B13:AF13,"KT")</f>
        <v/>
      </c>
      <c r="O11" s="81">
        <f>COUNTIF(Dienstplan!B13:AF13,"Fobi")</f>
        <v/>
      </c>
      <c r="P11" s="81">
        <f>COUNTIF(Dienstplan!B13:AF13,"U")</f>
        <v/>
      </c>
      <c r="Q11" s="81">
        <f>COUNTIF(Dienstplan!B13:AF13,"A")</f>
        <v/>
      </c>
      <c r="R11" s="81">
        <f>COUNTIF(Dienstplan!B13:AF13,"T-ZUG")</f>
        <v/>
      </c>
      <c r="S11" s="81">
        <f>19*$Y$9</f>
        <v/>
      </c>
      <c r="T11" s="81">
        <f>IF(ISNUMBER($AB$3),B11*$AB$3,B11*$Y$9)+IF(ISNUMBER($AB$4),C11*$AB$4,C11*$Y$9)+IF(ISNUMBER($AB$5),D11*$AB$5,D11*$Y$9)+IF(ISNUMBER($AB$6),E11*$AB$6,E11*$Y$9)+IF(ISNUMBER($AB$7),F11*$AB$7,F11*$Y$9)+IF(ISNUMBER($AB$8),G11*$AB$8,G11*$Y$9)+IF(ISNUMBER($AB$9),H11*$AB$9,H11*$Y$9)+IF(ISNUMBER($AB$10),I11*$AB$10,I11*$Y$9)+IF(ISNUMBER($AB$11),J11*$AB$11,J11*$Y$9)+IF(ISNUMBER($AB$12),K11*$AB$12,K11*$Y$9)+IF(ISNUMBER($AB$13),L11*$AB$13,L11*$Y$9)+IF(ISNUMBER($AB$14),M11*$AB$14,M11*$Y$9)+IF(ISNUMBER($AB$15),N11*$AB$15,N11*$Y$9)+IF(ISNUMBER($AB$16),O11*$AB$16,O11*$Y$9)+IF(ISNUMBER($AB$17),P11*$AB$17,P11*$Y$9)+IF(ISNUMBER($AB$18),Q11*$AB$18,Q11*$Y$9)+IF(ISNUMBER($AB$19),R11*$AB$19,R11*$Y$9)</f>
        <v/>
      </c>
      <c r="U11" s="82">
        <f>T11-S11</f>
        <v/>
      </c>
      <c r="X11" s="43" t="inlineStr">
        <is>
          <t>Putschler</t>
        </is>
      </c>
      <c r="Y11" s="79" t="n">
        <v>8</v>
      </c>
      <c r="AA11" s="80" t="inlineStr">
        <is>
          <t>EH</t>
        </is>
      </c>
      <c r="AB11" s="79" t="n">
        <v>8</v>
      </c>
    </row>
    <row r="12" ht="16" customHeight="1">
      <c r="A12" s="43" t="inlineStr">
        <is>
          <t>Krempl</t>
        </is>
      </c>
      <c r="B12" s="83">
        <f>COUNTIF(Dienstplan!B14:AF14,"FI")</f>
        <v/>
      </c>
      <c r="C12" s="83">
        <f>COUNTIF(Dienstplan!B14:AF14,"FII")</f>
        <v/>
      </c>
      <c r="D12" s="83">
        <f>COUNTIF(Dienstplan!B14:AF14,"SI")</f>
        <v/>
      </c>
      <c r="E12" s="83">
        <f>COUNTIF(Dienstplan!B14:AF14,"SII")</f>
        <v/>
      </c>
      <c r="F12" s="83">
        <f>COUNTIF(Dienstplan!B14:AF14,"NI")</f>
        <v/>
      </c>
      <c r="G12" s="83">
        <f>COUNTIF(Dienstplan!B14:AF14,"DI")</f>
        <v/>
      </c>
      <c r="H12" s="83">
        <f>COUNTIF(Dienstplan!B14:AF14,"DII")</f>
        <v/>
      </c>
      <c r="I12" s="83">
        <f>COUNTIF(Dienstplan!B14:AF14,"KU")</f>
        <v/>
      </c>
      <c r="J12" s="83">
        <f>COUNTIF(Dienstplan!B14:AF14,"EH")</f>
        <v/>
      </c>
      <c r="K12" s="83">
        <f>COUNTIF(Dienstplan!B14:AF14,"SD")</f>
        <v/>
      </c>
      <c r="L12" s="83">
        <f>COUNTIF(Dienstplan!B14:AF14,"GT")</f>
        <v/>
      </c>
      <c r="M12" s="83">
        <f>COUNTIF(Dienstplan!B14:AF14,"NST")</f>
        <v/>
      </c>
      <c r="N12" s="83">
        <f>COUNTIF(Dienstplan!B14:AF14,"KT")</f>
        <v/>
      </c>
      <c r="O12" s="83">
        <f>COUNTIF(Dienstplan!B14:AF14,"Fobi")</f>
        <v/>
      </c>
      <c r="P12" s="83">
        <f>COUNTIF(Dienstplan!B14:AF14,"U")</f>
        <v/>
      </c>
      <c r="Q12" s="83">
        <f>COUNTIF(Dienstplan!B14:AF14,"A")</f>
        <v/>
      </c>
      <c r="R12" s="83">
        <f>COUNTIF(Dienstplan!B14:AF14,"T-ZUG")</f>
        <v/>
      </c>
      <c r="S12" s="83">
        <f>19*$Y$10</f>
        <v/>
      </c>
      <c r="T12" s="83">
        <f>IF(ISNUMBER($AB$3),B12*$AB$3,B12*$Y$10)+IF(ISNUMBER($AB$4),C12*$AB$4,C12*$Y$10)+IF(ISNUMBER($AB$5),D12*$AB$5,D12*$Y$10)+IF(ISNUMBER($AB$6),E12*$AB$6,E12*$Y$10)+IF(ISNUMBER($AB$7),F12*$AB$7,F12*$Y$10)+IF(ISNUMBER($AB$8),G12*$AB$8,G12*$Y$10)+IF(ISNUMBER($AB$9),H12*$AB$9,H12*$Y$10)+IF(ISNUMBER($AB$10),I12*$AB$10,I12*$Y$10)+IF(ISNUMBER($AB$11),J12*$AB$11,J12*$Y$10)+IF(ISNUMBER($AB$12),K12*$AB$12,K12*$Y$10)+IF(ISNUMBER($AB$13),L12*$AB$13,L12*$Y$10)+IF(ISNUMBER($AB$14),M12*$AB$14,M12*$Y$10)+IF(ISNUMBER($AB$15),N12*$AB$15,N12*$Y$10)+IF(ISNUMBER($AB$16),O12*$AB$16,O12*$Y$10)+IF(ISNUMBER($AB$17),P12*$AB$17,P12*$Y$10)+IF(ISNUMBER($AB$18),Q12*$AB$18,Q12*$Y$10)+IF(ISNUMBER($AB$19),R12*$AB$19,R12*$Y$10)</f>
        <v/>
      </c>
      <c r="U12" s="84">
        <f>T12-S12</f>
        <v/>
      </c>
      <c r="X12" s="43" t="inlineStr">
        <is>
          <t>Kunz</t>
        </is>
      </c>
      <c r="Y12" s="79" t="n">
        <v>7</v>
      </c>
      <c r="AA12" s="80" t="inlineStr">
        <is>
          <t>SD</t>
        </is>
      </c>
      <c r="AB12" s="79" t="n">
        <v>7</v>
      </c>
    </row>
    <row r="13" ht="16" customHeight="1">
      <c r="A13" s="43" t="inlineStr">
        <is>
          <t>Putschler</t>
        </is>
      </c>
      <c r="B13" s="81">
        <f>COUNTIF(Dienstplan!B15:AF15,"FI")</f>
        <v/>
      </c>
      <c r="C13" s="81">
        <f>COUNTIF(Dienstplan!B15:AF15,"FII")</f>
        <v/>
      </c>
      <c r="D13" s="81">
        <f>COUNTIF(Dienstplan!B15:AF15,"SI")</f>
        <v/>
      </c>
      <c r="E13" s="81">
        <f>COUNTIF(Dienstplan!B15:AF15,"SII")</f>
        <v/>
      </c>
      <c r="F13" s="81">
        <f>COUNTIF(Dienstplan!B15:AF15,"NI")</f>
        <v/>
      </c>
      <c r="G13" s="81">
        <f>COUNTIF(Dienstplan!B15:AF15,"DI")</f>
        <v/>
      </c>
      <c r="H13" s="81">
        <f>COUNTIF(Dienstplan!B15:AF15,"DII")</f>
        <v/>
      </c>
      <c r="I13" s="81">
        <f>COUNTIF(Dienstplan!B15:AF15,"KU")</f>
        <v/>
      </c>
      <c r="J13" s="81">
        <f>COUNTIF(Dienstplan!B15:AF15,"EH")</f>
        <v/>
      </c>
      <c r="K13" s="81">
        <f>COUNTIF(Dienstplan!B15:AF15,"SD")</f>
        <v/>
      </c>
      <c r="L13" s="81">
        <f>COUNTIF(Dienstplan!B15:AF15,"GT")</f>
        <v/>
      </c>
      <c r="M13" s="81">
        <f>COUNTIF(Dienstplan!B15:AF15,"NST")</f>
        <v/>
      </c>
      <c r="N13" s="81">
        <f>COUNTIF(Dienstplan!B15:AF15,"KT")</f>
        <v/>
      </c>
      <c r="O13" s="81">
        <f>COUNTIF(Dienstplan!B15:AF15,"Fobi")</f>
        <v/>
      </c>
      <c r="P13" s="81">
        <f>COUNTIF(Dienstplan!B15:AF15,"U")</f>
        <v/>
      </c>
      <c r="Q13" s="81">
        <f>COUNTIF(Dienstplan!B15:AF15,"A")</f>
        <v/>
      </c>
      <c r="R13" s="81">
        <f>COUNTIF(Dienstplan!B15:AF15,"T-ZUG")</f>
        <v/>
      </c>
      <c r="S13" s="81">
        <f>19*$Y$11</f>
        <v/>
      </c>
      <c r="T13" s="81">
        <f>IF(ISNUMBER($AB$3),B13*$AB$3,B13*$Y$11)+IF(ISNUMBER($AB$4),C13*$AB$4,C13*$Y$11)+IF(ISNUMBER($AB$5),D13*$AB$5,D13*$Y$11)+IF(ISNUMBER($AB$6),E13*$AB$6,E13*$Y$11)+IF(ISNUMBER($AB$7),F13*$AB$7,F13*$Y$11)+IF(ISNUMBER($AB$8),G13*$AB$8,G13*$Y$11)+IF(ISNUMBER($AB$9),H13*$AB$9,H13*$Y$11)+IF(ISNUMBER($AB$10),I13*$AB$10,I13*$Y$11)+IF(ISNUMBER($AB$11),J13*$AB$11,J13*$Y$11)+IF(ISNUMBER($AB$12),K13*$AB$12,K13*$Y$11)+IF(ISNUMBER($AB$13),L13*$AB$13,L13*$Y$11)+IF(ISNUMBER($AB$14),M13*$AB$14,M13*$Y$11)+IF(ISNUMBER($AB$15),N13*$AB$15,N13*$Y$11)+IF(ISNUMBER($AB$16),O13*$AB$16,O13*$Y$11)+IF(ISNUMBER($AB$17),P13*$AB$17,P13*$Y$11)+IF(ISNUMBER($AB$18),Q13*$AB$18,Q13*$Y$11)+IF(ISNUMBER($AB$19),R13*$AB$19,R13*$Y$11)</f>
        <v/>
      </c>
      <c r="U13" s="82">
        <f>T13-S13</f>
        <v/>
      </c>
      <c r="X13" s="43" t="inlineStr">
        <is>
          <t>Schmidt</t>
        </is>
      </c>
      <c r="Y13" s="79" t="n">
        <v>3</v>
      </c>
      <c r="AA13" s="80" t="inlineStr">
        <is>
          <t>GT</t>
        </is>
      </c>
      <c r="AB13" s="85" t="inlineStr">
        <is>
          <t>IRTAZ</t>
        </is>
      </c>
    </row>
    <row r="14" ht="16" customHeight="1">
      <c r="A14" s="43" t="inlineStr">
        <is>
          <t>Kunz</t>
        </is>
      </c>
      <c r="B14" s="83">
        <f>COUNTIF(Dienstplan!B16:AF16,"FI")</f>
        <v/>
      </c>
      <c r="C14" s="83">
        <f>COUNTIF(Dienstplan!B16:AF16,"FII")</f>
        <v/>
      </c>
      <c r="D14" s="83">
        <f>COUNTIF(Dienstplan!B16:AF16,"SI")</f>
        <v/>
      </c>
      <c r="E14" s="83">
        <f>COUNTIF(Dienstplan!B16:AF16,"SII")</f>
        <v/>
      </c>
      <c r="F14" s="83">
        <f>COUNTIF(Dienstplan!B16:AF16,"NI")</f>
        <v/>
      </c>
      <c r="G14" s="83">
        <f>COUNTIF(Dienstplan!B16:AF16,"DI")</f>
        <v/>
      </c>
      <c r="H14" s="83">
        <f>COUNTIF(Dienstplan!B16:AF16,"DII")</f>
        <v/>
      </c>
      <c r="I14" s="83">
        <f>COUNTIF(Dienstplan!B16:AF16,"KU")</f>
        <v/>
      </c>
      <c r="J14" s="83">
        <f>COUNTIF(Dienstplan!B16:AF16,"EH")</f>
        <v/>
      </c>
      <c r="K14" s="83">
        <f>COUNTIF(Dienstplan!B16:AF16,"SD")</f>
        <v/>
      </c>
      <c r="L14" s="83">
        <f>COUNTIF(Dienstplan!B16:AF16,"GT")</f>
        <v/>
      </c>
      <c r="M14" s="83">
        <f>COUNTIF(Dienstplan!B16:AF16,"NST")</f>
        <v/>
      </c>
      <c r="N14" s="83">
        <f>COUNTIF(Dienstplan!B16:AF16,"KT")</f>
        <v/>
      </c>
      <c r="O14" s="83">
        <f>COUNTIF(Dienstplan!B16:AF16,"Fobi")</f>
        <v/>
      </c>
      <c r="P14" s="83">
        <f>COUNTIF(Dienstplan!B16:AF16,"U")</f>
        <v/>
      </c>
      <c r="Q14" s="83">
        <f>COUNTIF(Dienstplan!B16:AF16,"A")</f>
        <v/>
      </c>
      <c r="R14" s="83">
        <f>COUNTIF(Dienstplan!B16:AF16,"T-ZUG")</f>
        <v/>
      </c>
      <c r="S14" s="83">
        <f>19*$Y$12</f>
        <v/>
      </c>
      <c r="T14" s="83">
        <f>IF(ISNUMBER($AB$3),B14*$AB$3,B14*$Y$12)+IF(ISNUMBER($AB$4),C14*$AB$4,C14*$Y$12)+IF(ISNUMBER($AB$5),D14*$AB$5,D14*$Y$12)+IF(ISNUMBER($AB$6),E14*$AB$6,E14*$Y$12)+IF(ISNUMBER($AB$7),F14*$AB$7,F14*$Y$12)+IF(ISNUMBER($AB$8),G14*$AB$8,G14*$Y$12)+IF(ISNUMBER($AB$9),H14*$AB$9,H14*$Y$12)+IF(ISNUMBER($AB$10),I14*$AB$10,I14*$Y$12)+IF(ISNUMBER($AB$11),J14*$AB$11,J14*$Y$12)+IF(ISNUMBER($AB$12),K14*$AB$12,K14*$Y$12)+IF(ISNUMBER($AB$13),L14*$AB$13,L14*$Y$12)+IF(ISNUMBER($AB$14),M14*$AB$14,M14*$Y$12)+IF(ISNUMBER($AB$15),N14*$AB$15,N14*$Y$12)+IF(ISNUMBER($AB$16),O14*$AB$16,O14*$Y$12)+IF(ISNUMBER($AB$17),P14*$AB$17,P14*$Y$12)+IF(ISNUMBER($AB$18),Q14*$AB$18,Q14*$Y$12)+IF(ISNUMBER($AB$19),R14*$AB$19,R14*$Y$12)</f>
        <v/>
      </c>
      <c r="U14" s="84">
        <f>T14-S14</f>
        <v/>
      </c>
      <c r="X14" s="86" t="inlineStr">
        <is>
          <t>Radimersky</t>
        </is>
      </c>
      <c r="Y14" s="87" t="n">
        <v>8</v>
      </c>
      <c r="AA14" s="80" t="inlineStr">
        <is>
          <t>NST</t>
        </is>
      </c>
      <c r="AB14" s="85" t="inlineStr">
        <is>
          <t>IRTAZ</t>
        </is>
      </c>
    </row>
    <row r="15" ht="16" customHeight="1">
      <c r="A15" s="43" t="inlineStr">
        <is>
          <t>Schmidt</t>
        </is>
      </c>
      <c r="B15" s="81">
        <f>COUNTIF(Dienstplan!B17:AF17,"FI")</f>
        <v/>
      </c>
      <c r="C15" s="81">
        <f>COUNTIF(Dienstplan!B17:AF17,"FII")</f>
        <v/>
      </c>
      <c r="D15" s="81">
        <f>COUNTIF(Dienstplan!B17:AF17,"SI")</f>
        <v/>
      </c>
      <c r="E15" s="81">
        <f>COUNTIF(Dienstplan!B17:AF17,"SII")</f>
        <v/>
      </c>
      <c r="F15" s="81">
        <f>COUNTIF(Dienstplan!B17:AF17,"NI")</f>
        <v/>
      </c>
      <c r="G15" s="81">
        <f>COUNTIF(Dienstplan!B17:AF17,"DI")</f>
        <v/>
      </c>
      <c r="H15" s="81">
        <f>COUNTIF(Dienstplan!B17:AF17,"DII")</f>
        <v/>
      </c>
      <c r="I15" s="81">
        <f>COUNTIF(Dienstplan!B17:AF17,"KU")</f>
        <v/>
      </c>
      <c r="J15" s="81">
        <f>COUNTIF(Dienstplan!B17:AF17,"EH")</f>
        <v/>
      </c>
      <c r="K15" s="81">
        <f>COUNTIF(Dienstplan!B17:AF17,"SD")</f>
        <v/>
      </c>
      <c r="L15" s="81">
        <f>COUNTIF(Dienstplan!B17:AF17,"GT")</f>
        <v/>
      </c>
      <c r="M15" s="81">
        <f>COUNTIF(Dienstplan!B17:AF17,"NST")</f>
        <v/>
      </c>
      <c r="N15" s="81">
        <f>COUNTIF(Dienstplan!B17:AF17,"KT")</f>
        <v/>
      </c>
      <c r="O15" s="81">
        <f>COUNTIF(Dienstplan!B17:AF17,"Fobi")</f>
        <v/>
      </c>
      <c r="P15" s="81">
        <f>COUNTIF(Dienstplan!B17:AF17,"U")</f>
        <v/>
      </c>
      <c r="Q15" s="81">
        <f>COUNTIF(Dienstplan!B17:AF17,"A")</f>
        <v/>
      </c>
      <c r="R15" s="81">
        <f>COUNTIF(Dienstplan!B17:AF17,"T-ZUG")</f>
        <v/>
      </c>
      <c r="S15" s="81">
        <f>19*$Y$13</f>
        <v/>
      </c>
      <c r="T15" s="81">
        <f>IF(ISNUMBER($AB$3),B15*$AB$3,B15*$Y$13)+IF(ISNUMBER($AB$4),C15*$AB$4,C15*$Y$13)+IF(ISNUMBER($AB$5),D15*$AB$5,D15*$Y$13)+IF(ISNUMBER($AB$6),E15*$AB$6,E15*$Y$13)+IF(ISNUMBER($AB$7),F15*$AB$7,F15*$Y$13)+IF(ISNUMBER($AB$8),G15*$AB$8,G15*$Y$13)+IF(ISNUMBER($AB$9),H15*$AB$9,H15*$Y$13)+IF(ISNUMBER($AB$10),I15*$AB$10,I15*$Y$13)+IF(ISNUMBER($AB$11),J15*$AB$11,J15*$Y$13)+IF(ISNUMBER($AB$12),K15*$AB$12,K15*$Y$13)+IF(ISNUMBER($AB$13),L15*$AB$13,L15*$Y$13)+IF(ISNUMBER($AB$14),M15*$AB$14,M15*$Y$13)+IF(ISNUMBER($AB$15),N15*$AB$15,N15*$Y$13)+IF(ISNUMBER($AB$16),O15*$AB$16,O15*$Y$13)+IF(ISNUMBER($AB$17),P15*$AB$17,P15*$Y$13)+IF(ISNUMBER($AB$18),Q15*$AB$18,Q15*$Y$13)+IF(ISNUMBER($AB$19),R15*$AB$19,R15*$Y$13)</f>
        <v/>
      </c>
      <c r="U15" s="82">
        <f>T15-S15</f>
        <v/>
      </c>
      <c r="AA15" s="80" t="inlineStr">
        <is>
          <t>KT</t>
        </is>
      </c>
      <c r="AB15" s="79" t="n">
        <v>8</v>
      </c>
    </row>
    <row r="16" ht="16" customHeight="1">
      <c r="A16" s="43" t="inlineStr">
        <is>
          <t>Radimersky</t>
        </is>
      </c>
      <c r="B16" s="83">
        <f>COUNTIF(Dienstplan!B18:AF18,"FI")</f>
        <v/>
      </c>
      <c r="C16" s="83">
        <f>COUNTIF(Dienstplan!B18:AF18,"FII")</f>
        <v/>
      </c>
      <c r="D16" s="83">
        <f>COUNTIF(Dienstplan!B18:AF18,"SI")</f>
        <v/>
      </c>
      <c r="E16" s="83">
        <f>COUNTIF(Dienstplan!B18:AF18,"SII")</f>
        <v/>
      </c>
      <c r="F16" s="83">
        <f>COUNTIF(Dienstplan!B18:AF18,"NI")</f>
        <v/>
      </c>
      <c r="G16" s="83">
        <f>COUNTIF(Dienstplan!B18:AF18,"DI")</f>
        <v/>
      </c>
      <c r="H16" s="83">
        <f>COUNTIF(Dienstplan!B18:AF18,"DII")</f>
        <v/>
      </c>
      <c r="I16" s="83">
        <f>COUNTIF(Dienstplan!B18:AF18,"KU")</f>
        <v/>
      </c>
      <c r="J16" s="83">
        <f>COUNTIF(Dienstplan!B18:AF18,"EH")</f>
        <v/>
      </c>
      <c r="K16" s="83">
        <f>COUNTIF(Dienstplan!B18:AF18,"SD")</f>
        <v/>
      </c>
      <c r="L16" s="83">
        <f>COUNTIF(Dienstplan!B18:AF18,"GT")</f>
        <v/>
      </c>
      <c r="M16" s="83">
        <f>COUNTIF(Dienstplan!B18:AF18,"NST")</f>
        <v/>
      </c>
      <c r="N16" s="83">
        <f>COUNTIF(Dienstplan!B18:AF18,"KT")</f>
        <v/>
      </c>
      <c r="O16" s="83">
        <f>COUNTIF(Dienstplan!B18:AF18,"Fobi")</f>
        <v/>
      </c>
      <c r="P16" s="83">
        <f>COUNTIF(Dienstplan!B18:AF18,"U")</f>
        <v/>
      </c>
      <c r="Q16" s="83">
        <f>COUNTIF(Dienstplan!B18:AF18,"A")</f>
        <v/>
      </c>
      <c r="R16" s="83">
        <f>COUNTIF(Dienstplan!B18:AF18,"T-ZUG")</f>
        <v/>
      </c>
      <c r="S16" s="83">
        <f>19*$Y$14</f>
        <v/>
      </c>
      <c r="T16" s="83">
        <f>IF(ISNUMBER($AB$3),B16*$AB$3,B16*$Y$14)+IF(ISNUMBER($AB$4),C16*$AB$4,C16*$Y$14)+IF(ISNUMBER($AB$5),D16*$AB$5,D16*$Y$14)+IF(ISNUMBER($AB$6),E16*$AB$6,E16*$Y$14)+IF(ISNUMBER($AB$7),F16*$AB$7,F16*$Y$14)+IF(ISNUMBER($AB$8),G16*$AB$8,G16*$Y$14)+IF(ISNUMBER($AB$9),H16*$AB$9,H16*$Y$14)+IF(ISNUMBER($AB$10),I16*$AB$10,I16*$Y$14)+IF(ISNUMBER($AB$11),J16*$AB$11,J16*$Y$14)+IF(ISNUMBER($AB$12),K16*$AB$12,K16*$Y$14)+IF(ISNUMBER($AB$13),L16*$AB$13,L16*$Y$14)+IF(ISNUMBER($AB$14),M16*$AB$14,M16*$Y$14)+IF(ISNUMBER($AB$15),N16*$AB$15,N16*$Y$14)+IF(ISNUMBER($AB$16),O16*$AB$16,O16*$Y$14)+IF(ISNUMBER($AB$17),P16*$AB$17,P16*$Y$14)+IF(ISNUMBER($AB$18),Q16*$AB$18,Q16*$Y$14)+IF(ISNUMBER($AB$19),R16*$AB$19,R16*$Y$14)</f>
        <v/>
      </c>
      <c r="U16" s="84">
        <f>T16-S16</f>
        <v/>
      </c>
      <c r="AA16" s="80" t="inlineStr">
        <is>
          <t>Fobi</t>
        </is>
      </c>
      <c r="AB16" s="85" t="inlineStr">
        <is>
          <t>IRTAZ</t>
        </is>
      </c>
    </row>
    <row r="17" ht="18" customHeight="1">
      <c r="A17" s="88" t="inlineStr">
        <is>
          <t>Summe</t>
        </is>
      </c>
      <c r="B17" s="89">
        <f>SUM(B5:B16)</f>
        <v/>
      </c>
      <c r="C17" s="89">
        <f>SUM(C5:C16)</f>
        <v/>
      </c>
      <c r="D17" s="89">
        <f>SUM(D5:D16)</f>
        <v/>
      </c>
      <c r="E17" s="89">
        <f>SUM(E5:E16)</f>
        <v/>
      </c>
      <c r="F17" s="89">
        <f>SUM(F5:F16)</f>
        <v/>
      </c>
      <c r="G17" s="89">
        <f>SUM(G5:G16)</f>
        <v/>
      </c>
      <c r="H17" s="89">
        <f>SUM(H5:H16)</f>
        <v/>
      </c>
      <c r="I17" s="89">
        <f>SUM(I5:I16)</f>
        <v/>
      </c>
      <c r="J17" s="89">
        <f>SUM(J5:J16)</f>
        <v/>
      </c>
      <c r="K17" s="89">
        <f>SUM(K5:K16)</f>
        <v/>
      </c>
      <c r="L17" s="89">
        <f>SUM(L5:L16)</f>
        <v/>
      </c>
      <c r="M17" s="89">
        <f>SUM(M5:M16)</f>
        <v/>
      </c>
      <c r="N17" s="89">
        <f>SUM(N5:N16)</f>
        <v/>
      </c>
      <c r="O17" s="89">
        <f>SUM(O5:O16)</f>
        <v/>
      </c>
      <c r="P17" s="89">
        <f>SUM(P5:P16)</f>
        <v/>
      </c>
      <c r="Q17" s="89">
        <f>SUM(Q5:Q16)</f>
        <v/>
      </c>
      <c r="R17" s="89">
        <f>SUM(R5:R16)</f>
        <v/>
      </c>
      <c r="S17" s="89">
        <f>SUM(S5:S16)</f>
        <v/>
      </c>
      <c r="T17" s="89">
        <f>SUM(T5:T16)</f>
        <v/>
      </c>
      <c r="U17" s="90">
        <f>SUM(U5:U16)</f>
        <v/>
      </c>
      <c r="AA17" s="80" t="inlineStr">
        <is>
          <t>U</t>
        </is>
      </c>
      <c r="AB17" s="85" t="inlineStr">
        <is>
          <t>IRTAZ</t>
        </is>
      </c>
    </row>
    <row r="18">
      <c r="AA18" s="80" t="inlineStr">
        <is>
          <t>A</t>
        </is>
      </c>
      <c r="AB18" s="85" t="inlineStr">
        <is>
          <t>IRTAZ</t>
        </is>
      </c>
    </row>
    <row r="19">
      <c r="A19" s="2" t="inlineStr">
        <is>
          <t>Februar</t>
        </is>
      </c>
      <c r="C19" t="inlineStr">
        <is>
          <t>AT:</t>
        </is>
      </c>
      <c r="D19" s="78" t="n">
        <v>20</v>
      </c>
      <c r="F19" t="inlineStr">
        <is>
          <t>Sa:</t>
        </is>
      </c>
      <c r="G19" s="78" t="n">
        <v>4</v>
      </c>
      <c r="AA19" s="91" t="inlineStr">
        <is>
          <t>T-ZUG</t>
        </is>
      </c>
      <c r="AB19" s="92" t="inlineStr">
        <is>
          <t>IRTAZ</t>
        </is>
      </c>
    </row>
    <row r="20" ht="18" customHeight="1">
      <c r="A20" s="34" t="inlineStr">
        <is>
          <t>MA</t>
        </is>
      </c>
      <c r="B20" s="36" t="inlineStr">
        <is>
          <t>FI</t>
        </is>
      </c>
      <c r="C20" s="36" t="inlineStr">
        <is>
          <t>FII</t>
        </is>
      </c>
      <c r="D20" s="36" t="inlineStr">
        <is>
          <t>SI</t>
        </is>
      </c>
      <c r="E20" s="36" t="inlineStr">
        <is>
          <t>SII</t>
        </is>
      </c>
      <c r="F20" s="36" t="inlineStr">
        <is>
          <t>NI</t>
        </is>
      </c>
      <c r="G20" s="36" t="inlineStr">
        <is>
          <t>DI</t>
        </is>
      </c>
      <c r="H20" s="36" t="inlineStr">
        <is>
          <t>DII</t>
        </is>
      </c>
      <c r="I20" s="36" t="inlineStr">
        <is>
          <t>KU</t>
        </is>
      </c>
      <c r="J20" s="36" t="inlineStr">
        <is>
          <t>EH</t>
        </is>
      </c>
      <c r="K20" s="36" t="inlineStr">
        <is>
          <t>SD</t>
        </is>
      </c>
      <c r="L20" s="36" t="inlineStr">
        <is>
          <t>GT</t>
        </is>
      </c>
      <c r="M20" s="36" t="inlineStr">
        <is>
          <t>NST</t>
        </is>
      </c>
      <c r="N20" s="36" t="inlineStr">
        <is>
          <t>KT</t>
        </is>
      </c>
      <c r="O20" s="36" t="inlineStr">
        <is>
          <t>Fobi</t>
        </is>
      </c>
      <c r="P20" s="36" t="inlineStr">
        <is>
          <t>U</t>
        </is>
      </c>
      <c r="Q20" s="36" t="inlineStr">
        <is>
          <t>A</t>
        </is>
      </c>
      <c r="R20" s="36" t="inlineStr">
        <is>
          <t>T-ZUG</t>
        </is>
      </c>
      <c r="S20" s="36" t="inlineStr">
        <is>
          <t>Soll</t>
        </is>
      </c>
      <c r="T20" s="36" t="inlineStr">
        <is>
          <t>Ist</t>
        </is>
      </c>
      <c r="U20" s="65" t="inlineStr">
        <is>
          <t>Diff</t>
        </is>
      </c>
    </row>
    <row r="21" ht="16" customHeight="1">
      <c r="A21" s="43" t="inlineStr">
        <is>
          <t>Breig</t>
        </is>
      </c>
      <c r="B21" s="81">
        <f>COUNTIF(Dienstplan!B26:AC26,"FI")</f>
        <v/>
      </c>
      <c r="C21" s="81">
        <f>COUNTIF(Dienstplan!B26:AC26,"FII")</f>
        <v/>
      </c>
      <c r="D21" s="81">
        <f>COUNTIF(Dienstplan!B26:AC26,"SI")</f>
        <v/>
      </c>
      <c r="E21" s="81">
        <f>COUNTIF(Dienstplan!B26:AC26,"SII")</f>
        <v/>
      </c>
      <c r="F21" s="81">
        <f>COUNTIF(Dienstplan!B26:AC26,"NI")</f>
        <v/>
      </c>
      <c r="G21" s="81">
        <f>COUNTIF(Dienstplan!B26:AC26,"DI")</f>
        <v/>
      </c>
      <c r="H21" s="81">
        <f>COUNTIF(Dienstplan!B26:AC26,"DII")</f>
        <v/>
      </c>
      <c r="I21" s="81">
        <f>COUNTIF(Dienstplan!B26:AC26,"KU")</f>
        <v/>
      </c>
      <c r="J21" s="81">
        <f>COUNTIF(Dienstplan!B26:AC26,"EH")</f>
        <v/>
      </c>
      <c r="K21" s="81">
        <f>COUNTIF(Dienstplan!B26:AC26,"SD")</f>
        <v/>
      </c>
      <c r="L21" s="81">
        <f>COUNTIF(Dienstplan!B26:AC26,"GT")</f>
        <v/>
      </c>
      <c r="M21" s="81">
        <f>COUNTIF(Dienstplan!B26:AC26,"NST")</f>
        <v/>
      </c>
      <c r="N21" s="81">
        <f>COUNTIF(Dienstplan!B26:AC26,"KT")</f>
        <v/>
      </c>
      <c r="O21" s="81">
        <f>COUNTIF(Dienstplan!B26:AC26,"Fobi")</f>
        <v/>
      </c>
      <c r="P21" s="81">
        <f>COUNTIF(Dienstplan!B26:AC26,"U")</f>
        <v/>
      </c>
      <c r="Q21" s="81">
        <f>COUNTIF(Dienstplan!B26:AC26,"A")</f>
        <v/>
      </c>
      <c r="R21" s="81">
        <f>COUNTIF(Dienstplan!B26:AC26,"T-ZUG")</f>
        <v/>
      </c>
      <c r="S21" s="81">
        <f>20*$Y$3</f>
        <v/>
      </c>
      <c r="T21" s="81">
        <f>IF(ISNUMBER($AB$3),B21*$AB$3,B21*$Y$3)+IF(ISNUMBER($AB$4),C21*$AB$4,C21*$Y$3)+IF(ISNUMBER($AB$5),D21*$AB$5,D21*$Y$3)+IF(ISNUMBER($AB$6),E21*$AB$6,E21*$Y$3)+IF(ISNUMBER($AB$7),F21*$AB$7,F21*$Y$3)+IF(ISNUMBER($AB$8),G21*$AB$8,G21*$Y$3)+IF(ISNUMBER($AB$9),H21*$AB$9,H21*$Y$3)+IF(ISNUMBER($AB$10),I21*$AB$10,I21*$Y$3)+IF(ISNUMBER($AB$11),J21*$AB$11,J21*$Y$3)+IF(ISNUMBER($AB$12),K21*$AB$12,K21*$Y$3)+IF(ISNUMBER($AB$13),L21*$AB$13,L21*$Y$3)+IF(ISNUMBER($AB$14),M21*$AB$14,M21*$Y$3)+IF(ISNUMBER($AB$15),N21*$AB$15,N21*$Y$3)+IF(ISNUMBER($AB$16),O21*$AB$16,O21*$Y$3)+IF(ISNUMBER($AB$17),P21*$AB$17,P21*$Y$3)+IF(ISNUMBER($AB$18),Q21*$AB$18,Q21*$Y$3)+IF(ISNUMBER($AB$19),R21*$AB$19,R21*$Y$3)</f>
        <v/>
      </c>
      <c r="U21" s="82">
        <f>T21-S21</f>
        <v/>
      </c>
      <c r="X21" s="93" t="inlineStr">
        <is>
          <t>Soll AZ = IRTAZ × Arbeitstage</t>
        </is>
      </c>
    </row>
    <row r="22" ht="16" customHeight="1">
      <c r="A22" s="43" t="inlineStr">
        <is>
          <t>Siebert</t>
        </is>
      </c>
      <c r="B22" s="83">
        <f>COUNTIF(Dienstplan!B27:AC27,"FI")</f>
        <v/>
      </c>
      <c r="C22" s="83">
        <f>COUNTIF(Dienstplan!B27:AC27,"FII")</f>
        <v/>
      </c>
      <c r="D22" s="83">
        <f>COUNTIF(Dienstplan!B27:AC27,"SI")</f>
        <v/>
      </c>
      <c r="E22" s="83">
        <f>COUNTIF(Dienstplan!B27:AC27,"SII")</f>
        <v/>
      </c>
      <c r="F22" s="83">
        <f>COUNTIF(Dienstplan!B27:AC27,"NI")</f>
        <v/>
      </c>
      <c r="G22" s="83">
        <f>COUNTIF(Dienstplan!B27:AC27,"DI")</f>
        <v/>
      </c>
      <c r="H22" s="83">
        <f>COUNTIF(Dienstplan!B27:AC27,"DII")</f>
        <v/>
      </c>
      <c r="I22" s="83">
        <f>COUNTIF(Dienstplan!B27:AC27,"KU")</f>
        <v/>
      </c>
      <c r="J22" s="83">
        <f>COUNTIF(Dienstplan!B27:AC27,"EH")</f>
        <v/>
      </c>
      <c r="K22" s="83">
        <f>COUNTIF(Dienstplan!B27:AC27,"SD")</f>
        <v/>
      </c>
      <c r="L22" s="83">
        <f>COUNTIF(Dienstplan!B27:AC27,"GT")</f>
        <v/>
      </c>
      <c r="M22" s="83">
        <f>COUNTIF(Dienstplan!B27:AC27,"NST")</f>
        <v/>
      </c>
      <c r="N22" s="83">
        <f>COUNTIF(Dienstplan!B27:AC27,"KT")</f>
        <v/>
      </c>
      <c r="O22" s="83">
        <f>COUNTIF(Dienstplan!B27:AC27,"Fobi")</f>
        <v/>
      </c>
      <c r="P22" s="83">
        <f>COUNTIF(Dienstplan!B27:AC27,"U")</f>
        <v/>
      </c>
      <c r="Q22" s="83">
        <f>COUNTIF(Dienstplan!B27:AC27,"A")</f>
        <v/>
      </c>
      <c r="R22" s="83">
        <f>COUNTIF(Dienstplan!B27:AC27,"T-ZUG")</f>
        <v/>
      </c>
      <c r="S22" s="83">
        <f>20*$Y$4</f>
        <v/>
      </c>
      <c r="T22" s="83">
        <f>IF(ISNUMBER($AB$3),B22*$AB$3,B22*$Y$4)+IF(ISNUMBER($AB$4),C22*$AB$4,C22*$Y$4)+IF(ISNUMBER($AB$5),D22*$AB$5,D22*$Y$4)+IF(ISNUMBER($AB$6),E22*$AB$6,E22*$Y$4)+IF(ISNUMBER($AB$7),F22*$AB$7,F22*$Y$4)+IF(ISNUMBER($AB$8),G22*$AB$8,G22*$Y$4)+IF(ISNUMBER($AB$9),H22*$AB$9,H22*$Y$4)+IF(ISNUMBER($AB$10),I22*$AB$10,I22*$Y$4)+IF(ISNUMBER($AB$11),J22*$AB$11,J22*$Y$4)+IF(ISNUMBER($AB$12),K22*$AB$12,K22*$Y$4)+IF(ISNUMBER($AB$13),L22*$AB$13,L22*$Y$4)+IF(ISNUMBER($AB$14),M22*$AB$14,M22*$Y$4)+IF(ISNUMBER($AB$15),N22*$AB$15,N22*$Y$4)+IF(ISNUMBER($AB$16),O22*$AB$16,O22*$Y$4)+IF(ISNUMBER($AB$17),P22*$AB$17,P22*$Y$4)+IF(ISNUMBER($AB$18),Q22*$AB$18,Q22*$Y$4)+IF(ISNUMBER($AB$19),R22*$AB$19,R22*$Y$4)</f>
        <v/>
      </c>
      <c r="U22" s="84">
        <f>T22-S22</f>
        <v/>
      </c>
      <c r="X22" s="93" t="inlineStr">
        <is>
          <t>"IRTAZ" = individuelle Tagesarbeitszeit</t>
        </is>
      </c>
    </row>
    <row r="23" ht="16" customHeight="1">
      <c r="A23" s="43" t="inlineStr">
        <is>
          <t>Jochim</t>
        </is>
      </c>
      <c r="B23" s="81">
        <f>COUNTIF(Dienstplan!B28:AC28,"FI")</f>
        <v/>
      </c>
      <c r="C23" s="81">
        <f>COUNTIF(Dienstplan!B28:AC28,"FII")</f>
        <v/>
      </c>
      <c r="D23" s="81">
        <f>COUNTIF(Dienstplan!B28:AC28,"SI")</f>
        <v/>
      </c>
      <c r="E23" s="81">
        <f>COUNTIF(Dienstplan!B28:AC28,"SII")</f>
        <v/>
      </c>
      <c r="F23" s="81">
        <f>COUNTIF(Dienstplan!B28:AC28,"NI")</f>
        <v/>
      </c>
      <c r="G23" s="81">
        <f>COUNTIF(Dienstplan!B28:AC28,"DI")</f>
        <v/>
      </c>
      <c r="H23" s="81">
        <f>COUNTIF(Dienstplan!B28:AC28,"DII")</f>
        <v/>
      </c>
      <c r="I23" s="81">
        <f>COUNTIF(Dienstplan!B28:AC28,"KU")</f>
        <v/>
      </c>
      <c r="J23" s="81">
        <f>COUNTIF(Dienstplan!B28:AC28,"EH")</f>
        <v/>
      </c>
      <c r="K23" s="81">
        <f>COUNTIF(Dienstplan!B28:AC28,"SD")</f>
        <v/>
      </c>
      <c r="L23" s="81">
        <f>COUNTIF(Dienstplan!B28:AC28,"GT")</f>
        <v/>
      </c>
      <c r="M23" s="81">
        <f>COUNTIF(Dienstplan!B28:AC28,"NST")</f>
        <v/>
      </c>
      <c r="N23" s="81">
        <f>COUNTIF(Dienstplan!B28:AC28,"KT")</f>
        <v/>
      </c>
      <c r="O23" s="81">
        <f>COUNTIF(Dienstplan!B28:AC28,"Fobi")</f>
        <v/>
      </c>
      <c r="P23" s="81">
        <f>COUNTIF(Dienstplan!B28:AC28,"U")</f>
        <v/>
      </c>
      <c r="Q23" s="81">
        <f>COUNTIF(Dienstplan!B28:AC28,"A")</f>
        <v/>
      </c>
      <c r="R23" s="81">
        <f>COUNTIF(Dienstplan!B28:AC28,"T-ZUG")</f>
        <v/>
      </c>
      <c r="S23" s="81">
        <f>20*$Y$5</f>
        <v/>
      </c>
      <c r="T23" s="81">
        <f>IF(ISNUMBER($AB$3),B23*$AB$3,B23*$Y$5)+IF(ISNUMBER($AB$4),C23*$AB$4,C23*$Y$5)+IF(ISNUMBER($AB$5),D23*$AB$5,D23*$Y$5)+IF(ISNUMBER($AB$6),E23*$AB$6,E23*$Y$5)+IF(ISNUMBER($AB$7),F23*$AB$7,F23*$Y$5)+IF(ISNUMBER($AB$8),G23*$AB$8,G23*$Y$5)+IF(ISNUMBER($AB$9),H23*$AB$9,H23*$Y$5)+IF(ISNUMBER($AB$10),I23*$AB$10,I23*$Y$5)+IF(ISNUMBER($AB$11),J23*$AB$11,J23*$Y$5)+IF(ISNUMBER($AB$12),K23*$AB$12,K23*$Y$5)+IF(ISNUMBER($AB$13),L23*$AB$13,L23*$Y$5)+IF(ISNUMBER($AB$14),M23*$AB$14,M23*$Y$5)+IF(ISNUMBER($AB$15),N23*$AB$15,N23*$Y$5)+IF(ISNUMBER($AB$16),O23*$AB$16,O23*$Y$5)+IF(ISNUMBER($AB$17),P23*$AB$17,P23*$Y$5)+IF(ISNUMBER($AB$18),Q23*$AB$18,Q23*$Y$5)+IF(ISNUMBER($AB$19),R23*$AB$19,R23*$Y$5)</f>
        <v/>
      </c>
      <c r="U23" s="82">
        <f>T23-S23</f>
        <v/>
      </c>
      <c r="X23" s="93" t="inlineStr">
        <is>
          <t>Stunden/IRTAZ hier ändern → Formeln aktualisieren sich</t>
        </is>
      </c>
    </row>
    <row r="24" ht="16" customHeight="1">
      <c r="A24" s="43" t="inlineStr">
        <is>
          <t>Wunsch</t>
        </is>
      </c>
      <c r="B24" s="83">
        <f>COUNTIF(Dienstplan!B29:AC29,"FI")</f>
        <v/>
      </c>
      <c r="C24" s="83">
        <f>COUNTIF(Dienstplan!B29:AC29,"FII")</f>
        <v/>
      </c>
      <c r="D24" s="83">
        <f>COUNTIF(Dienstplan!B29:AC29,"SI")</f>
        <v/>
      </c>
      <c r="E24" s="83">
        <f>COUNTIF(Dienstplan!B29:AC29,"SII")</f>
        <v/>
      </c>
      <c r="F24" s="83">
        <f>COUNTIF(Dienstplan!B29:AC29,"NI")</f>
        <v/>
      </c>
      <c r="G24" s="83">
        <f>COUNTIF(Dienstplan!B29:AC29,"DI")</f>
        <v/>
      </c>
      <c r="H24" s="83">
        <f>COUNTIF(Dienstplan!B29:AC29,"DII")</f>
        <v/>
      </c>
      <c r="I24" s="83">
        <f>COUNTIF(Dienstplan!B29:AC29,"KU")</f>
        <v/>
      </c>
      <c r="J24" s="83">
        <f>COUNTIF(Dienstplan!B29:AC29,"EH")</f>
        <v/>
      </c>
      <c r="K24" s="83">
        <f>COUNTIF(Dienstplan!B29:AC29,"SD")</f>
        <v/>
      </c>
      <c r="L24" s="83">
        <f>COUNTIF(Dienstplan!B29:AC29,"GT")</f>
        <v/>
      </c>
      <c r="M24" s="83">
        <f>COUNTIF(Dienstplan!B29:AC29,"NST")</f>
        <v/>
      </c>
      <c r="N24" s="83">
        <f>COUNTIF(Dienstplan!B29:AC29,"KT")</f>
        <v/>
      </c>
      <c r="O24" s="83">
        <f>COUNTIF(Dienstplan!B29:AC29,"Fobi")</f>
        <v/>
      </c>
      <c r="P24" s="83">
        <f>COUNTIF(Dienstplan!B29:AC29,"U")</f>
        <v/>
      </c>
      <c r="Q24" s="83">
        <f>COUNTIF(Dienstplan!B29:AC29,"A")</f>
        <v/>
      </c>
      <c r="R24" s="83">
        <f>COUNTIF(Dienstplan!B29:AC29,"T-ZUG")</f>
        <v/>
      </c>
      <c r="S24" s="83">
        <f>20*$Y$6</f>
        <v/>
      </c>
      <c r="T24" s="83">
        <f>IF(ISNUMBER($AB$3),B24*$AB$3,B24*$Y$6)+IF(ISNUMBER($AB$4),C24*$AB$4,C24*$Y$6)+IF(ISNUMBER($AB$5),D24*$AB$5,D24*$Y$6)+IF(ISNUMBER($AB$6),E24*$AB$6,E24*$Y$6)+IF(ISNUMBER($AB$7),F24*$AB$7,F24*$Y$6)+IF(ISNUMBER($AB$8),G24*$AB$8,G24*$Y$6)+IF(ISNUMBER($AB$9),H24*$AB$9,H24*$Y$6)+IF(ISNUMBER($AB$10),I24*$AB$10,I24*$Y$6)+IF(ISNUMBER($AB$11),J24*$AB$11,J24*$Y$6)+IF(ISNUMBER($AB$12),K24*$AB$12,K24*$Y$6)+IF(ISNUMBER($AB$13),L24*$AB$13,L24*$Y$6)+IF(ISNUMBER($AB$14),M24*$AB$14,M24*$Y$6)+IF(ISNUMBER($AB$15),N24*$AB$15,N24*$Y$6)+IF(ISNUMBER($AB$16),O24*$AB$16,O24*$Y$6)+IF(ISNUMBER($AB$17),P24*$AB$17,P24*$Y$6)+IF(ISNUMBER($AB$18),Q24*$AB$18,Q24*$Y$6)+IF(ISNUMBER($AB$19),R24*$AB$19,R24*$Y$6)</f>
        <v/>
      </c>
      <c r="U24" s="84">
        <f>T24-S24</f>
        <v/>
      </c>
    </row>
    <row r="25" ht="16" customHeight="1">
      <c r="A25" s="43" t="inlineStr">
        <is>
          <t>Göpfrich</t>
        </is>
      </c>
      <c r="B25" s="81">
        <f>COUNTIF(Dienstplan!B30:AC30,"FI")</f>
        <v/>
      </c>
      <c r="C25" s="81">
        <f>COUNTIF(Dienstplan!B30:AC30,"FII")</f>
        <v/>
      </c>
      <c r="D25" s="81">
        <f>COUNTIF(Dienstplan!B30:AC30,"SI")</f>
        <v/>
      </c>
      <c r="E25" s="81">
        <f>COUNTIF(Dienstplan!B30:AC30,"SII")</f>
        <v/>
      </c>
      <c r="F25" s="81">
        <f>COUNTIF(Dienstplan!B30:AC30,"NI")</f>
        <v/>
      </c>
      <c r="G25" s="81">
        <f>COUNTIF(Dienstplan!B30:AC30,"DI")</f>
        <v/>
      </c>
      <c r="H25" s="81">
        <f>COUNTIF(Dienstplan!B30:AC30,"DII")</f>
        <v/>
      </c>
      <c r="I25" s="81">
        <f>COUNTIF(Dienstplan!B30:AC30,"KU")</f>
        <v/>
      </c>
      <c r="J25" s="81">
        <f>COUNTIF(Dienstplan!B30:AC30,"EH")</f>
        <v/>
      </c>
      <c r="K25" s="81">
        <f>COUNTIF(Dienstplan!B30:AC30,"SD")</f>
        <v/>
      </c>
      <c r="L25" s="81">
        <f>COUNTIF(Dienstplan!B30:AC30,"GT")</f>
        <v/>
      </c>
      <c r="M25" s="81">
        <f>COUNTIF(Dienstplan!B30:AC30,"NST")</f>
        <v/>
      </c>
      <c r="N25" s="81">
        <f>COUNTIF(Dienstplan!B30:AC30,"KT")</f>
        <v/>
      </c>
      <c r="O25" s="81">
        <f>COUNTIF(Dienstplan!B30:AC30,"Fobi")</f>
        <v/>
      </c>
      <c r="P25" s="81">
        <f>COUNTIF(Dienstplan!B30:AC30,"U")</f>
        <v/>
      </c>
      <c r="Q25" s="81">
        <f>COUNTIF(Dienstplan!B30:AC30,"A")</f>
        <v/>
      </c>
      <c r="R25" s="81">
        <f>COUNTIF(Dienstplan!B30:AC30,"T-ZUG")</f>
        <v/>
      </c>
      <c r="S25" s="81">
        <f>20*$Y$7</f>
        <v/>
      </c>
      <c r="T25" s="81">
        <f>IF(ISNUMBER($AB$3),B25*$AB$3,B25*$Y$7)+IF(ISNUMBER($AB$4),C25*$AB$4,C25*$Y$7)+IF(ISNUMBER($AB$5),D25*$AB$5,D25*$Y$7)+IF(ISNUMBER($AB$6),E25*$AB$6,E25*$Y$7)+IF(ISNUMBER($AB$7),F25*$AB$7,F25*$Y$7)+IF(ISNUMBER($AB$8),G25*$AB$8,G25*$Y$7)+IF(ISNUMBER($AB$9),H25*$AB$9,H25*$Y$7)+IF(ISNUMBER($AB$10),I25*$AB$10,I25*$Y$7)+IF(ISNUMBER($AB$11),J25*$AB$11,J25*$Y$7)+IF(ISNUMBER($AB$12),K25*$AB$12,K25*$Y$7)+IF(ISNUMBER($AB$13),L25*$AB$13,L25*$Y$7)+IF(ISNUMBER($AB$14),M25*$AB$14,M25*$Y$7)+IF(ISNUMBER($AB$15),N25*$AB$15,N25*$Y$7)+IF(ISNUMBER($AB$16),O25*$AB$16,O25*$Y$7)+IF(ISNUMBER($AB$17),P25*$AB$17,P25*$Y$7)+IF(ISNUMBER($AB$18),Q25*$AB$18,Q25*$Y$7)+IF(ISNUMBER($AB$19),R25*$AB$19,R25*$Y$7)</f>
        <v/>
      </c>
      <c r="U25" s="82">
        <f>T25-S25</f>
        <v/>
      </c>
    </row>
    <row r="26" ht="16" customHeight="1">
      <c r="A26" s="43" t="inlineStr">
        <is>
          <t>Zeller</t>
        </is>
      </c>
      <c r="B26" s="83">
        <f>COUNTIF(Dienstplan!B31:AC31,"FI")</f>
        <v/>
      </c>
      <c r="C26" s="83">
        <f>COUNTIF(Dienstplan!B31:AC31,"FII")</f>
        <v/>
      </c>
      <c r="D26" s="83">
        <f>COUNTIF(Dienstplan!B31:AC31,"SI")</f>
        <v/>
      </c>
      <c r="E26" s="83">
        <f>COUNTIF(Dienstplan!B31:AC31,"SII")</f>
        <v/>
      </c>
      <c r="F26" s="83">
        <f>COUNTIF(Dienstplan!B31:AC31,"NI")</f>
        <v/>
      </c>
      <c r="G26" s="83">
        <f>COUNTIF(Dienstplan!B31:AC31,"DI")</f>
        <v/>
      </c>
      <c r="H26" s="83">
        <f>COUNTIF(Dienstplan!B31:AC31,"DII")</f>
        <v/>
      </c>
      <c r="I26" s="83">
        <f>COUNTIF(Dienstplan!B31:AC31,"KU")</f>
        <v/>
      </c>
      <c r="J26" s="83">
        <f>COUNTIF(Dienstplan!B31:AC31,"EH")</f>
        <v/>
      </c>
      <c r="K26" s="83">
        <f>COUNTIF(Dienstplan!B31:AC31,"SD")</f>
        <v/>
      </c>
      <c r="L26" s="83">
        <f>COUNTIF(Dienstplan!B31:AC31,"GT")</f>
        <v/>
      </c>
      <c r="M26" s="83">
        <f>COUNTIF(Dienstplan!B31:AC31,"NST")</f>
        <v/>
      </c>
      <c r="N26" s="83">
        <f>COUNTIF(Dienstplan!B31:AC31,"KT")</f>
        <v/>
      </c>
      <c r="O26" s="83">
        <f>COUNTIF(Dienstplan!B31:AC31,"Fobi")</f>
        <v/>
      </c>
      <c r="P26" s="83">
        <f>COUNTIF(Dienstplan!B31:AC31,"U")</f>
        <v/>
      </c>
      <c r="Q26" s="83">
        <f>COUNTIF(Dienstplan!B31:AC31,"A")</f>
        <v/>
      </c>
      <c r="R26" s="83">
        <f>COUNTIF(Dienstplan!B31:AC31,"T-ZUG")</f>
        <v/>
      </c>
      <c r="S26" s="83">
        <f>20*$Y$8</f>
        <v/>
      </c>
      <c r="T26" s="83">
        <f>IF(ISNUMBER($AB$3),B26*$AB$3,B26*$Y$8)+IF(ISNUMBER($AB$4),C26*$AB$4,C26*$Y$8)+IF(ISNUMBER($AB$5),D26*$AB$5,D26*$Y$8)+IF(ISNUMBER($AB$6),E26*$AB$6,E26*$Y$8)+IF(ISNUMBER($AB$7),F26*$AB$7,F26*$Y$8)+IF(ISNUMBER($AB$8),G26*$AB$8,G26*$Y$8)+IF(ISNUMBER($AB$9),H26*$AB$9,H26*$Y$8)+IF(ISNUMBER($AB$10),I26*$AB$10,I26*$Y$8)+IF(ISNUMBER($AB$11),J26*$AB$11,J26*$Y$8)+IF(ISNUMBER($AB$12),K26*$AB$12,K26*$Y$8)+IF(ISNUMBER($AB$13),L26*$AB$13,L26*$Y$8)+IF(ISNUMBER($AB$14),M26*$AB$14,M26*$Y$8)+IF(ISNUMBER($AB$15),N26*$AB$15,N26*$Y$8)+IF(ISNUMBER($AB$16),O26*$AB$16,O26*$Y$8)+IF(ISNUMBER($AB$17),P26*$AB$17,P26*$Y$8)+IF(ISNUMBER($AB$18),Q26*$AB$18,Q26*$Y$8)+IF(ISNUMBER($AB$19),R26*$AB$19,R26*$Y$8)</f>
        <v/>
      </c>
      <c r="U26" s="84">
        <f>T26-S26</f>
        <v/>
      </c>
    </row>
    <row r="27" ht="16" customHeight="1">
      <c r="A27" s="43" t="inlineStr">
        <is>
          <t>Behrendt</t>
        </is>
      </c>
      <c r="B27" s="81">
        <f>COUNTIF(Dienstplan!B32:AC32,"FI")</f>
        <v/>
      </c>
      <c r="C27" s="81">
        <f>COUNTIF(Dienstplan!B32:AC32,"FII")</f>
        <v/>
      </c>
      <c r="D27" s="81">
        <f>COUNTIF(Dienstplan!B32:AC32,"SI")</f>
        <v/>
      </c>
      <c r="E27" s="81">
        <f>COUNTIF(Dienstplan!B32:AC32,"SII")</f>
        <v/>
      </c>
      <c r="F27" s="81">
        <f>COUNTIF(Dienstplan!B32:AC32,"NI")</f>
        <v/>
      </c>
      <c r="G27" s="81">
        <f>COUNTIF(Dienstplan!B32:AC32,"DI")</f>
        <v/>
      </c>
      <c r="H27" s="81">
        <f>COUNTIF(Dienstplan!B32:AC32,"DII")</f>
        <v/>
      </c>
      <c r="I27" s="81">
        <f>COUNTIF(Dienstplan!B32:AC32,"KU")</f>
        <v/>
      </c>
      <c r="J27" s="81">
        <f>COUNTIF(Dienstplan!B32:AC32,"EH")</f>
        <v/>
      </c>
      <c r="K27" s="81">
        <f>COUNTIF(Dienstplan!B32:AC32,"SD")</f>
        <v/>
      </c>
      <c r="L27" s="81">
        <f>COUNTIF(Dienstplan!B32:AC32,"GT")</f>
        <v/>
      </c>
      <c r="M27" s="81">
        <f>COUNTIF(Dienstplan!B32:AC32,"NST")</f>
        <v/>
      </c>
      <c r="N27" s="81">
        <f>COUNTIF(Dienstplan!B32:AC32,"KT")</f>
        <v/>
      </c>
      <c r="O27" s="81">
        <f>COUNTIF(Dienstplan!B32:AC32,"Fobi")</f>
        <v/>
      </c>
      <c r="P27" s="81">
        <f>COUNTIF(Dienstplan!B32:AC32,"U")</f>
        <v/>
      </c>
      <c r="Q27" s="81">
        <f>COUNTIF(Dienstplan!B32:AC32,"A")</f>
        <v/>
      </c>
      <c r="R27" s="81">
        <f>COUNTIF(Dienstplan!B32:AC32,"T-ZUG")</f>
        <v/>
      </c>
      <c r="S27" s="81">
        <f>20*$Y$9</f>
        <v/>
      </c>
      <c r="T27" s="81">
        <f>IF(ISNUMBER($AB$3),B27*$AB$3,B27*$Y$9)+IF(ISNUMBER($AB$4),C27*$AB$4,C27*$Y$9)+IF(ISNUMBER($AB$5),D27*$AB$5,D27*$Y$9)+IF(ISNUMBER($AB$6),E27*$AB$6,E27*$Y$9)+IF(ISNUMBER($AB$7),F27*$AB$7,F27*$Y$9)+IF(ISNUMBER($AB$8),G27*$AB$8,G27*$Y$9)+IF(ISNUMBER($AB$9),H27*$AB$9,H27*$Y$9)+IF(ISNUMBER($AB$10),I27*$AB$10,I27*$Y$9)+IF(ISNUMBER($AB$11),J27*$AB$11,J27*$Y$9)+IF(ISNUMBER($AB$12),K27*$AB$12,K27*$Y$9)+IF(ISNUMBER($AB$13),L27*$AB$13,L27*$Y$9)+IF(ISNUMBER($AB$14),M27*$AB$14,M27*$Y$9)+IF(ISNUMBER($AB$15),N27*$AB$15,N27*$Y$9)+IF(ISNUMBER($AB$16),O27*$AB$16,O27*$Y$9)+IF(ISNUMBER($AB$17),P27*$AB$17,P27*$Y$9)+IF(ISNUMBER($AB$18),Q27*$AB$18,Q27*$Y$9)+IF(ISNUMBER($AB$19),R27*$AB$19,R27*$Y$9)</f>
        <v/>
      </c>
      <c r="U27" s="82">
        <f>T27-S27</f>
        <v/>
      </c>
    </row>
    <row r="28" ht="16" customHeight="1">
      <c r="A28" s="43" t="inlineStr">
        <is>
          <t>Krempl</t>
        </is>
      </c>
      <c r="B28" s="83">
        <f>COUNTIF(Dienstplan!B33:AC33,"FI")</f>
        <v/>
      </c>
      <c r="C28" s="83">
        <f>COUNTIF(Dienstplan!B33:AC33,"FII")</f>
        <v/>
      </c>
      <c r="D28" s="83">
        <f>COUNTIF(Dienstplan!B33:AC33,"SI")</f>
        <v/>
      </c>
      <c r="E28" s="83">
        <f>COUNTIF(Dienstplan!B33:AC33,"SII")</f>
        <v/>
      </c>
      <c r="F28" s="83">
        <f>COUNTIF(Dienstplan!B33:AC33,"NI")</f>
        <v/>
      </c>
      <c r="G28" s="83">
        <f>COUNTIF(Dienstplan!B33:AC33,"DI")</f>
        <v/>
      </c>
      <c r="H28" s="83">
        <f>COUNTIF(Dienstplan!B33:AC33,"DII")</f>
        <v/>
      </c>
      <c r="I28" s="83">
        <f>COUNTIF(Dienstplan!B33:AC33,"KU")</f>
        <v/>
      </c>
      <c r="J28" s="83">
        <f>COUNTIF(Dienstplan!B33:AC33,"EH")</f>
        <v/>
      </c>
      <c r="K28" s="83">
        <f>COUNTIF(Dienstplan!B33:AC33,"SD")</f>
        <v/>
      </c>
      <c r="L28" s="83">
        <f>COUNTIF(Dienstplan!B33:AC33,"GT")</f>
        <v/>
      </c>
      <c r="M28" s="83">
        <f>COUNTIF(Dienstplan!B33:AC33,"NST")</f>
        <v/>
      </c>
      <c r="N28" s="83">
        <f>COUNTIF(Dienstplan!B33:AC33,"KT")</f>
        <v/>
      </c>
      <c r="O28" s="83">
        <f>COUNTIF(Dienstplan!B33:AC33,"Fobi")</f>
        <v/>
      </c>
      <c r="P28" s="83">
        <f>COUNTIF(Dienstplan!B33:AC33,"U")</f>
        <v/>
      </c>
      <c r="Q28" s="83">
        <f>COUNTIF(Dienstplan!B33:AC33,"A")</f>
        <v/>
      </c>
      <c r="R28" s="83">
        <f>COUNTIF(Dienstplan!B33:AC33,"T-ZUG")</f>
        <v/>
      </c>
      <c r="S28" s="83">
        <f>20*$Y$10</f>
        <v/>
      </c>
      <c r="T28" s="83">
        <f>IF(ISNUMBER($AB$3),B28*$AB$3,B28*$Y$10)+IF(ISNUMBER($AB$4),C28*$AB$4,C28*$Y$10)+IF(ISNUMBER($AB$5),D28*$AB$5,D28*$Y$10)+IF(ISNUMBER($AB$6),E28*$AB$6,E28*$Y$10)+IF(ISNUMBER($AB$7),F28*$AB$7,F28*$Y$10)+IF(ISNUMBER($AB$8),G28*$AB$8,G28*$Y$10)+IF(ISNUMBER($AB$9),H28*$AB$9,H28*$Y$10)+IF(ISNUMBER($AB$10),I28*$AB$10,I28*$Y$10)+IF(ISNUMBER($AB$11),J28*$AB$11,J28*$Y$10)+IF(ISNUMBER($AB$12),K28*$AB$12,K28*$Y$10)+IF(ISNUMBER($AB$13),L28*$AB$13,L28*$Y$10)+IF(ISNUMBER($AB$14),M28*$AB$14,M28*$Y$10)+IF(ISNUMBER($AB$15),N28*$AB$15,N28*$Y$10)+IF(ISNUMBER($AB$16),O28*$AB$16,O28*$Y$10)+IF(ISNUMBER($AB$17),P28*$AB$17,P28*$Y$10)+IF(ISNUMBER($AB$18),Q28*$AB$18,Q28*$Y$10)+IF(ISNUMBER($AB$19),R28*$AB$19,R28*$Y$10)</f>
        <v/>
      </c>
      <c r="U28" s="84">
        <f>T28-S28</f>
        <v/>
      </c>
    </row>
    <row r="29" ht="16" customHeight="1">
      <c r="A29" s="43" t="inlineStr">
        <is>
          <t>Putschler</t>
        </is>
      </c>
      <c r="B29" s="81">
        <f>COUNTIF(Dienstplan!B34:AC34,"FI")</f>
        <v/>
      </c>
      <c r="C29" s="81">
        <f>COUNTIF(Dienstplan!B34:AC34,"FII")</f>
        <v/>
      </c>
      <c r="D29" s="81">
        <f>COUNTIF(Dienstplan!B34:AC34,"SI")</f>
        <v/>
      </c>
      <c r="E29" s="81">
        <f>COUNTIF(Dienstplan!B34:AC34,"SII")</f>
        <v/>
      </c>
      <c r="F29" s="81">
        <f>COUNTIF(Dienstplan!B34:AC34,"NI")</f>
        <v/>
      </c>
      <c r="G29" s="81">
        <f>COUNTIF(Dienstplan!B34:AC34,"DI")</f>
        <v/>
      </c>
      <c r="H29" s="81">
        <f>COUNTIF(Dienstplan!B34:AC34,"DII")</f>
        <v/>
      </c>
      <c r="I29" s="81">
        <f>COUNTIF(Dienstplan!B34:AC34,"KU")</f>
        <v/>
      </c>
      <c r="J29" s="81">
        <f>COUNTIF(Dienstplan!B34:AC34,"EH")</f>
        <v/>
      </c>
      <c r="K29" s="81">
        <f>COUNTIF(Dienstplan!B34:AC34,"SD")</f>
        <v/>
      </c>
      <c r="L29" s="81">
        <f>COUNTIF(Dienstplan!B34:AC34,"GT")</f>
        <v/>
      </c>
      <c r="M29" s="81">
        <f>COUNTIF(Dienstplan!B34:AC34,"NST")</f>
        <v/>
      </c>
      <c r="N29" s="81">
        <f>COUNTIF(Dienstplan!B34:AC34,"KT")</f>
        <v/>
      </c>
      <c r="O29" s="81">
        <f>COUNTIF(Dienstplan!B34:AC34,"Fobi")</f>
        <v/>
      </c>
      <c r="P29" s="81">
        <f>COUNTIF(Dienstplan!B34:AC34,"U")</f>
        <v/>
      </c>
      <c r="Q29" s="81">
        <f>COUNTIF(Dienstplan!B34:AC34,"A")</f>
        <v/>
      </c>
      <c r="R29" s="81">
        <f>COUNTIF(Dienstplan!B34:AC34,"T-ZUG")</f>
        <v/>
      </c>
      <c r="S29" s="81">
        <f>20*$Y$11</f>
        <v/>
      </c>
      <c r="T29" s="81">
        <f>IF(ISNUMBER($AB$3),B29*$AB$3,B29*$Y$11)+IF(ISNUMBER($AB$4),C29*$AB$4,C29*$Y$11)+IF(ISNUMBER($AB$5),D29*$AB$5,D29*$Y$11)+IF(ISNUMBER($AB$6),E29*$AB$6,E29*$Y$11)+IF(ISNUMBER($AB$7),F29*$AB$7,F29*$Y$11)+IF(ISNUMBER($AB$8),G29*$AB$8,G29*$Y$11)+IF(ISNUMBER($AB$9),H29*$AB$9,H29*$Y$11)+IF(ISNUMBER($AB$10),I29*$AB$10,I29*$Y$11)+IF(ISNUMBER($AB$11),J29*$AB$11,J29*$Y$11)+IF(ISNUMBER($AB$12),K29*$AB$12,K29*$Y$11)+IF(ISNUMBER($AB$13),L29*$AB$13,L29*$Y$11)+IF(ISNUMBER($AB$14),M29*$AB$14,M29*$Y$11)+IF(ISNUMBER($AB$15),N29*$AB$15,N29*$Y$11)+IF(ISNUMBER($AB$16),O29*$AB$16,O29*$Y$11)+IF(ISNUMBER($AB$17),P29*$AB$17,P29*$Y$11)+IF(ISNUMBER($AB$18),Q29*$AB$18,Q29*$Y$11)+IF(ISNUMBER($AB$19),R29*$AB$19,R29*$Y$11)</f>
        <v/>
      </c>
      <c r="U29" s="82">
        <f>T29-S29</f>
        <v/>
      </c>
    </row>
    <row r="30" ht="16" customHeight="1">
      <c r="A30" s="43" t="inlineStr">
        <is>
          <t>Kunz</t>
        </is>
      </c>
      <c r="B30" s="83">
        <f>COUNTIF(Dienstplan!B35:AC35,"FI")</f>
        <v/>
      </c>
      <c r="C30" s="83">
        <f>COUNTIF(Dienstplan!B35:AC35,"FII")</f>
        <v/>
      </c>
      <c r="D30" s="83">
        <f>COUNTIF(Dienstplan!B35:AC35,"SI")</f>
        <v/>
      </c>
      <c r="E30" s="83">
        <f>COUNTIF(Dienstplan!B35:AC35,"SII")</f>
        <v/>
      </c>
      <c r="F30" s="83">
        <f>COUNTIF(Dienstplan!B35:AC35,"NI")</f>
        <v/>
      </c>
      <c r="G30" s="83">
        <f>COUNTIF(Dienstplan!B35:AC35,"DI")</f>
        <v/>
      </c>
      <c r="H30" s="83">
        <f>COUNTIF(Dienstplan!B35:AC35,"DII")</f>
        <v/>
      </c>
      <c r="I30" s="83">
        <f>COUNTIF(Dienstplan!B35:AC35,"KU")</f>
        <v/>
      </c>
      <c r="J30" s="83">
        <f>COUNTIF(Dienstplan!B35:AC35,"EH")</f>
        <v/>
      </c>
      <c r="K30" s="83">
        <f>COUNTIF(Dienstplan!B35:AC35,"SD")</f>
        <v/>
      </c>
      <c r="L30" s="83">
        <f>COUNTIF(Dienstplan!B35:AC35,"GT")</f>
        <v/>
      </c>
      <c r="M30" s="83">
        <f>COUNTIF(Dienstplan!B35:AC35,"NST")</f>
        <v/>
      </c>
      <c r="N30" s="83">
        <f>COUNTIF(Dienstplan!B35:AC35,"KT")</f>
        <v/>
      </c>
      <c r="O30" s="83">
        <f>COUNTIF(Dienstplan!B35:AC35,"Fobi")</f>
        <v/>
      </c>
      <c r="P30" s="83">
        <f>COUNTIF(Dienstplan!B35:AC35,"U")</f>
        <v/>
      </c>
      <c r="Q30" s="83">
        <f>COUNTIF(Dienstplan!B35:AC35,"A")</f>
        <v/>
      </c>
      <c r="R30" s="83">
        <f>COUNTIF(Dienstplan!B35:AC35,"T-ZUG")</f>
        <v/>
      </c>
      <c r="S30" s="83">
        <f>20*$Y$12</f>
        <v/>
      </c>
      <c r="T30" s="83">
        <f>IF(ISNUMBER($AB$3),B30*$AB$3,B30*$Y$12)+IF(ISNUMBER($AB$4),C30*$AB$4,C30*$Y$12)+IF(ISNUMBER($AB$5),D30*$AB$5,D30*$Y$12)+IF(ISNUMBER($AB$6),E30*$AB$6,E30*$Y$12)+IF(ISNUMBER($AB$7),F30*$AB$7,F30*$Y$12)+IF(ISNUMBER($AB$8),G30*$AB$8,G30*$Y$12)+IF(ISNUMBER($AB$9),H30*$AB$9,H30*$Y$12)+IF(ISNUMBER($AB$10),I30*$AB$10,I30*$Y$12)+IF(ISNUMBER($AB$11),J30*$AB$11,J30*$Y$12)+IF(ISNUMBER($AB$12),K30*$AB$12,K30*$Y$12)+IF(ISNUMBER($AB$13),L30*$AB$13,L30*$Y$12)+IF(ISNUMBER($AB$14),M30*$AB$14,M30*$Y$12)+IF(ISNUMBER($AB$15),N30*$AB$15,N30*$Y$12)+IF(ISNUMBER($AB$16),O30*$AB$16,O30*$Y$12)+IF(ISNUMBER($AB$17),P30*$AB$17,P30*$Y$12)+IF(ISNUMBER($AB$18),Q30*$AB$18,Q30*$Y$12)+IF(ISNUMBER($AB$19),R30*$AB$19,R30*$Y$12)</f>
        <v/>
      </c>
      <c r="U30" s="84">
        <f>T30-S30</f>
        <v/>
      </c>
    </row>
    <row r="31" ht="16" customHeight="1">
      <c r="A31" s="43" t="inlineStr">
        <is>
          <t>Schmidt</t>
        </is>
      </c>
      <c r="B31" s="81">
        <f>COUNTIF(Dienstplan!B36:AC36,"FI")</f>
        <v/>
      </c>
      <c r="C31" s="81">
        <f>COUNTIF(Dienstplan!B36:AC36,"FII")</f>
        <v/>
      </c>
      <c r="D31" s="81">
        <f>COUNTIF(Dienstplan!B36:AC36,"SI")</f>
        <v/>
      </c>
      <c r="E31" s="81">
        <f>COUNTIF(Dienstplan!B36:AC36,"SII")</f>
        <v/>
      </c>
      <c r="F31" s="81">
        <f>COUNTIF(Dienstplan!B36:AC36,"NI")</f>
        <v/>
      </c>
      <c r="G31" s="81">
        <f>COUNTIF(Dienstplan!B36:AC36,"DI")</f>
        <v/>
      </c>
      <c r="H31" s="81">
        <f>COUNTIF(Dienstplan!B36:AC36,"DII")</f>
        <v/>
      </c>
      <c r="I31" s="81">
        <f>COUNTIF(Dienstplan!B36:AC36,"KU")</f>
        <v/>
      </c>
      <c r="J31" s="81">
        <f>COUNTIF(Dienstplan!B36:AC36,"EH")</f>
        <v/>
      </c>
      <c r="K31" s="81">
        <f>COUNTIF(Dienstplan!B36:AC36,"SD")</f>
        <v/>
      </c>
      <c r="L31" s="81">
        <f>COUNTIF(Dienstplan!B36:AC36,"GT")</f>
        <v/>
      </c>
      <c r="M31" s="81">
        <f>COUNTIF(Dienstplan!B36:AC36,"NST")</f>
        <v/>
      </c>
      <c r="N31" s="81">
        <f>COUNTIF(Dienstplan!B36:AC36,"KT")</f>
        <v/>
      </c>
      <c r="O31" s="81">
        <f>COUNTIF(Dienstplan!B36:AC36,"Fobi")</f>
        <v/>
      </c>
      <c r="P31" s="81">
        <f>COUNTIF(Dienstplan!B36:AC36,"U")</f>
        <v/>
      </c>
      <c r="Q31" s="81">
        <f>COUNTIF(Dienstplan!B36:AC36,"A")</f>
        <v/>
      </c>
      <c r="R31" s="81">
        <f>COUNTIF(Dienstplan!B36:AC36,"T-ZUG")</f>
        <v/>
      </c>
      <c r="S31" s="81">
        <f>20*$Y$13</f>
        <v/>
      </c>
      <c r="T31" s="81">
        <f>IF(ISNUMBER($AB$3),B31*$AB$3,B31*$Y$13)+IF(ISNUMBER($AB$4),C31*$AB$4,C31*$Y$13)+IF(ISNUMBER($AB$5),D31*$AB$5,D31*$Y$13)+IF(ISNUMBER($AB$6),E31*$AB$6,E31*$Y$13)+IF(ISNUMBER($AB$7),F31*$AB$7,F31*$Y$13)+IF(ISNUMBER($AB$8),G31*$AB$8,G31*$Y$13)+IF(ISNUMBER($AB$9),H31*$AB$9,H31*$Y$13)+IF(ISNUMBER($AB$10),I31*$AB$10,I31*$Y$13)+IF(ISNUMBER($AB$11),J31*$AB$11,J31*$Y$13)+IF(ISNUMBER($AB$12),K31*$AB$12,K31*$Y$13)+IF(ISNUMBER($AB$13),L31*$AB$13,L31*$Y$13)+IF(ISNUMBER($AB$14),M31*$AB$14,M31*$Y$13)+IF(ISNUMBER($AB$15),N31*$AB$15,N31*$Y$13)+IF(ISNUMBER($AB$16),O31*$AB$16,O31*$Y$13)+IF(ISNUMBER($AB$17),P31*$AB$17,P31*$Y$13)+IF(ISNUMBER($AB$18),Q31*$AB$18,Q31*$Y$13)+IF(ISNUMBER($AB$19),R31*$AB$19,R31*$Y$13)</f>
        <v/>
      </c>
      <c r="U31" s="82">
        <f>T31-S31</f>
        <v/>
      </c>
    </row>
    <row r="32" ht="16" customHeight="1">
      <c r="A32" s="43" t="inlineStr">
        <is>
          <t>Radimersky</t>
        </is>
      </c>
      <c r="B32" s="83">
        <f>COUNTIF(Dienstplan!B37:AC37,"FI")</f>
        <v/>
      </c>
      <c r="C32" s="83">
        <f>COUNTIF(Dienstplan!B37:AC37,"FII")</f>
        <v/>
      </c>
      <c r="D32" s="83">
        <f>COUNTIF(Dienstplan!B37:AC37,"SI")</f>
        <v/>
      </c>
      <c r="E32" s="83">
        <f>COUNTIF(Dienstplan!B37:AC37,"SII")</f>
        <v/>
      </c>
      <c r="F32" s="83">
        <f>COUNTIF(Dienstplan!B37:AC37,"NI")</f>
        <v/>
      </c>
      <c r="G32" s="83">
        <f>COUNTIF(Dienstplan!B37:AC37,"DI")</f>
        <v/>
      </c>
      <c r="H32" s="83">
        <f>COUNTIF(Dienstplan!B37:AC37,"DII")</f>
        <v/>
      </c>
      <c r="I32" s="83">
        <f>COUNTIF(Dienstplan!B37:AC37,"KU")</f>
        <v/>
      </c>
      <c r="J32" s="83">
        <f>COUNTIF(Dienstplan!B37:AC37,"EH")</f>
        <v/>
      </c>
      <c r="K32" s="83">
        <f>COUNTIF(Dienstplan!B37:AC37,"SD")</f>
        <v/>
      </c>
      <c r="L32" s="83">
        <f>COUNTIF(Dienstplan!B37:AC37,"GT")</f>
        <v/>
      </c>
      <c r="M32" s="83">
        <f>COUNTIF(Dienstplan!B37:AC37,"NST")</f>
        <v/>
      </c>
      <c r="N32" s="83">
        <f>COUNTIF(Dienstplan!B37:AC37,"KT")</f>
        <v/>
      </c>
      <c r="O32" s="83">
        <f>COUNTIF(Dienstplan!B37:AC37,"Fobi")</f>
        <v/>
      </c>
      <c r="P32" s="83">
        <f>COUNTIF(Dienstplan!B37:AC37,"U")</f>
        <v/>
      </c>
      <c r="Q32" s="83">
        <f>COUNTIF(Dienstplan!B37:AC37,"A")</f>
        <v/>
      </c>
      <c r="R32" s="83">
        <f>COUNTIF(Dienstplan!B37:AC37,"T-ZUG")</f>
        <v/>
      </c>
      <c r="S32" s="83">
        <f>20*$Y$14</f>
        <v/>
      </c>
      <c r="T32" s="83">
        <f>IF(ISNUMBER($AB$3),B32*$AB$3,B32*$Y$14)+IF(ISNUMBER($AB$4),C32*$AB$4,C32*$Y$14)+IF(ISNUMBER($AB$5),D32*$AB$5,D32*$Y$14)+IF(ISNUMBER($AB$6),E32*$AB$6,E32*$Y$14)+IF(ISNUMBER($AB$7),F32*$AB$7,F32*$Y$14)+IF(ISNUMBER($AB$8),G32*$AB$8,G32*$Y$14)+IF(ISNUMBER($AB$9),H32*$AB$9,H32*$Y$14)+IF(ISNUMBER($AB$10),I32*$AB$10,I32*$Y$14)+IF(ISNUMBER($AB$11),J32*$AB$11,J32*$Y$14)+IF(ISNUMBER($AB$12),K32*$AB$12,K32*$Y$14)+IF(ISNUMBER($AB$13),L32*$AB$13,L32*$Y$14)+IF(ISNUMBER($AB$14),M32*$AB$14,M32*$Y$14)+IF(ISNUMBER($AB$15),N32*$AB$15,N32*$Y$14)+IF(ISNUMBER($AB$16),O32*$AB$16,O32*$Y$14)+IF(ISNUMBER($AB$17),P32*$AB$17,P32*$Y$14)+IF(ISNUMBER($AB$18),Q32*$AB$18,Q32*$Y$14)+IF(ISNUMBER($AB$19),R32*$AB$19,R32*$Y$14)</f>
        <v/>
      </c>
      <c r="U32" s="84">
        <f>T32-S32</f>
        <v/>
      </c>
    </row>
    <row r="33" ht="18" customHeight="1">
      <c r="A33" s="88" t="inlineStr">
        <is>
          <t>Summe</t>
        </is>
      </c>
      <c r="B33" s="89">
        <f>SUM(B21:B32)</f>
        <v/>
      </c>
      <c r="C33" s="89">
        <f>SUM(C21:C32)</f>
        <v/>
      </c>
      <c r="D33" s="89">
        <f>SUM(D21:D32)</f>
        <v/>
      </c>
      <c r="E33" s="89">
        <f>SUM(E21:E32)</f>
        <v/>
      </c>
      <c r="F33" s="89">
        <f>SUM(F21:F32)</f>
        <v/>
      </c>
      <c r="G33" s="89">
        <f>SUM(G21:G32)</f>
        <v/>
      </c>
      <c r="H33" s="89">
        <f>SUM(H21:H32)</f>
        <v/>
      </c>
      <c r="I33" s="89">
        <f>SUM(I21:I32)</f>
        <v/>
      </c>
      <c r="J33" s="89">
        <f>SUM(J21:J32)</f>
        <v/>
      </c>
      <c r="K33" s="89">
        <f>SUM(K21:K32)</f>
        <v/>
      </c>
      <c r="L33" s="89">
        <f>SUM(L21:L32)</f>
        <v/>
      </c>
      <c r="M33" s="89">
        <f>SUM(M21:M32)</f>
        <v/>
      </c>
      <c r="N33" s="89">
        <f>SUM(N21:N32)</f>
        <v/>
      </c>
      <c r="O33" s="89">
        <f>SUM(O21:O32)</f>
        <v/>
      </c>
      <c r="P33" s="89">
        <f>SUM(P21:P32)</f>
        <v/>
      </c>
      <c r="Q33" s="89">
        <f>SUM(Q21:Q32)</f>
        <v/>
      </c>
      <c r="R33" s="89">
        <f>SUM(R21:R32)</f>
        <v/>
      </c>
      <c r="S33" s="89">
        <f>SUM(S21:S32)</f>
        <v/>
      </c>
      <c r="T33" s="89">
        <f>SUM(T21:T32)</f>
        <v/>
      </c>
      <c r="U33" s="90">
        <f>SUM(U21:U32)</f>
        <v/>
      </c>
    </row>
    <row r="35">
      <c r="A35" s="2" t="inlineStr">
        <is>
          <t>März</t>
        </is>
      </c>
      <c r="C35" t="inlineStr">
        <is>
          <t>AT:</t>
        </is>
      </c>
      <c r="D35" s="78" t="n">
        <v>21</v>
      </c>
      <c r="F35" t="inlineStr">
        <is>
          <t>Sa:</t>
        </is>
      </c>
      <c r="G35" s="78" t="n">
        <v>4</v>
      </c>
    </row>
    <row r="36" ht="18" customHeight="1">
      <c r="A36" s="34" t="inlineStr">
        <is>
          <t>MA</t>
        </is>
      </c>
      <c r="B36" s="36" t="inlineStr">
        <is>
          <t>FI</t>
        </is>
      </c>
      <c r="C36" s="36" t="inlineStr">
        <is>
          <t>FII</t>
        </is>
      </c>
      <c r="D36" s="36" t="inlineStr">
        <is>
          <t>SI</t>
        </is>
      </c>
      <c r="E36" s="36" t="inlineStr">
        <is>
          <t>SII</t>
        </is>
      </c>
      <c r="F36" s="36" t="inlineStr">
        <is>
          <t>NI</t>
        </is>
      </c>
      <c r="G36" s="36" t="inlineStr">
        <is>
          <t>DI</t>
        </is>
      </c>
      <c r="H36" s="36" t="inlineStr">
        <is>
          <t>DII</t>
        </is>
      </c>
      <c r="I36" s="36" t="inlineStr">
        <is>
          <t>KU</t>
        </is>
      </c>
      <c r="J36" s="36" t="inlineStr">
        <is>
          <t>EH</t>
        </is>
      </c>
      <c r="K36" s="36" t="inlineStr">
        <is>
          <t>SD</t>
        </is>
      </c>
      <c r="L36" s="36" t="inlineStr">
        <is>
          <t>GT</t>
        </is>
      </c>
      <c r="M36" s="36" t="inlineStr">
        <is>
          <t>NST</t>
        </is>
      </c>
      <c r="N36" s="36" t="inlineStr">
        <is>
          <t>KT</t>
        </is>
      </c>
      <c r="O36" s="36" t="inlineStr">
        <is>
          <t>Fobi</t>
        </is>
      </c>
      <c r="P36" s="36" t="inlineStr">
        <is>
          <t>U</t>
        </is>
      </c>
      <c r="Q36" s="36" t="inlineStr">
        <is>
          <t>A</t>
        </is>
      </c>
      <c r="R36" s="36" t="inlineStr">
        <is>
          <t>T-ZUG</t>
        </is>
      </c>
      <c r="S36" s="36" t="inlineStr">
        <is>
          <t>Soll</t>
        </is>
      </c>
      <c r="T36" s="36" t="inlineStr">
        <is>
          <t>Ist</t>
        </is>
      </c>
      <c r="U36" s="65" t="inlineStr">
        <is>
          <t>Diff</t>
        </is>
      </c>
    </row>
    <row r="37" ht="16" customHeight="1">
      <c r="A37" s="43" t="inlineStr">
        <is>
          <t>Breig</t>
        </is>
      </c>
      <c r="B37" s="81">
        <f>COUNTIF(Dienstplan!B45:AF45,"FI")</f>
        <v/>
      </c>
      <c r="C37" s="81">
        <f>COUNTIF(Dienstplan!B45:AF45,"FII")</f>
        <v/>
      </c>
      <c r="D37" s="81">
        <f>COUNTIF(Dienstplan!B45:AF45,"SI")</f>
        <v/>
      </c>
      <c r="E37" s="81">
        <f>COUNTIF(Dienstplan!B45:AF45,"SII")</f>
        <v/>
      </c>
      <c r="F37" s="81">
        <f>COUNTIF(Dienstplan!B45:AF45,"NI")</f>
        <v/>
      </c>
      <c r="G37" s="81">
        <f>COUNTIF(Dienstplan!B45:AF45,"DI")</f>
        <v/>
      </c>
      <c r="H37" s="81">
        <f>COUNTIF(Dienstplan!B45:AF45,"DII")</f>
        <v/>
      </c>
      <c r="I37" s="81">
        <f>COUNTIF(Dienstplan!B45:AF45,"KU")</f>
        <v/>
      </c>
      <c r="J37" s="81">
        <f>COUNTIF(Dienstplan!B45:AF45,"EH")</f>
        <v/>
      </c>
      <c r="K37" s="81">
        <f>COUNTIF(Dienstplan!B45:AF45,"SD")</f>
        <v/>
      </c>
      <c r="L37" s="81">
        <f>COUNTIF(Dienstplan!B45:AF45,"GT")</f>
        <v/>
      </c>
      <c r="M37" s="81">
        <f>COUNTIF(Dienstplan!B45:AF45,"NST")</f>
        <v/>
      </c>
      <c r="N37" s="81">
        <f>COUNTIF(Dienstplan!B45:AF45,"KT")</f>
        <v/>
      </c>
      <c r="O37" s="81">
        <f>COUNTIF(Dienstplan!B45:AF45,"Fobi")</f>
        <v/>
      </c>
      <c r="P37" s="81">
        <f>COUNTIF(Dienstplan!B45:AF45,"U")</f>
        <v/>
      </c>
      <c r="Q37" s="81">
        <f>COUNTIF(Dienstplan!B45:AF45,"A")</f>
        <v/>
      </c>
      <c r="R37" s="81">
        <f>COUNTIF(Dienstplan!B45:AF45,"T-ZUG")</f>
        <v/>
      </c>
      <c r="S37" s="81">
        <f>21*$Y$3</f>
        <v/>
      </c>
      <c r="T37" s="81">
        <f>IF(ISNUMBER($AB$3),B37*$AB$3,B37*$Y$3)+IF(ISNUMBER($AB$4),C37*$AB$4,C37*$Y$3)+IF(ISNUMBER($AB$5),D37*$AB$5,D37*$Y$3)+IF(ISNUMBER($AB$6),E37*$AB$6,E37*$Y$3)+IF(ISNUMBER($AB$7),F37*$AB$7,F37*$Y$3)+IF(ISNUMBER($AB$8),G37*$AB$8,G37*$Y$3)+IF(ISNUMBER($AB$9),H37*$AB$9,H37*$Y$3)+IF(ISNUMBER($AB$10),I37*$AB$10,I37*$Y$3)+IF(ISNUMBER($AB$11),J37*$AB$11,J37*$Y$3)+IF(ISNUMBER($AB$12),K37*$AB$12,K37*$Y$3)+IF(ISNUMBER($AB$13),L37*$AB$13,L37*$Y$3)+IF(ISNUMBER($AB$14),M37*$AB$14,M37*$Y$3)+IF(ISNUMBER($AB$15),N37*$AB$15,N37*$Y$3)+IF(ISNUMBER($AB$16),O37*$AB$16,O37*$Y$3)+IF(ISNUMBER($AB$17),P37*$AB$17,P37*$Y$3)+IF(ISNUMBER($AB$18),Q37*$AB$18,Q37*$Y$3)+IF(ISNUMBER($AB$19),R37*$AB$19,R37*$Y$3)</f>
        <v/>
      </c>
      <c r="U37" s="82">
        <f>T37-S37</f>
        <v/>
      </c>
    </row>
    <row r="38" ht="16" customHeight="1">
      <c r="A38" s="43" t="inlineStr">
        <is>
          <t>Siebert</t>
        </is>
      </c>
      <c r="B38" s="83">
        <f>COUNTIF(Dienstplan!B46:AF46,"FI")</f>
        <v/>
      </c>
      <c r="C38" s="83">
        <f>COUNTIF(Dienstplan!B46:AF46,"FII")</f>
        <v/>
      </c>
      <c r="D38" s="83">
        <f>COUNTIF(Dienstplan!B46:AF46,"SI")</f>
        <v/>
      </c>
      <c r="E38" s="83">
        <f>COUNTIF(Dienstplan!B46:AF46,"SII")</f>
        <v/>
      </c>
      <c r="F38" s="83">
        <f>COUNTIF(Dienstplan!B46:AF46,"NI")</f>
        <v/>
      </c>
      <c r="G38" s="83">
        <f>COUNTIF(Dienstplan!B46:AF46,"DI")</f>
        <v/>
      </c>
      <c r="H38" s="83">
        <f>COUNTIF(Dienstplan!B46:AF46,"DII")</f>
        <v/>
      </c>
      <c r="I38" s="83">
        <f>COUNTIF(Dienstplan!B46:AF46,"KU")</f>
        <v/>
      </c>
      <c r="J38" s="83">
        <f>COUNTIF(Dienstplan!B46:AF46,"EH")</f>
        <v/>
      </c>
      <c r="K38" s="83">
        <f>COUNTIF(Dienstplan!B46:AF46,"SD")</f>
        <v/>
      </c>
      <c r="L38" s="83">
        <f>COUNTIF(Dienstplan!B46:AF46,"GT")</f>
        <v/>
      </c>
      <c r="M38" s="83">
        <f>COUNTIF(Dienstplan!B46:AF46,"NST")</f>
        <v/>
      </c>
      <c r="N38" s="83">
        <f>COUNTIF(Dienstplan!B46:AF46,"KT")</f>
        <v/>
      </c>
      <c r="O38" s="83">
        <f>COUNTIF(Dienstplan!B46:AF46,"Fobi")</f>
        <v/>
      </c>
      <c r="P38" s="83">
        <f>COUNTIF(Dienstplan!B46:AF46,"U")</f>
        <v/>
      </c>
      <c r="Q38" s="83">
        <f>COUNTIF(Dienstplan!B46:AF46,"A")</f>
        <v/>
      </c>
      <c r="R38" s="83">
        <f>COUNTIF(Dienstplan!B46:AF46,"T-ZUG")</f>
        <v/>
      </c>
      <c r="S38" s="83">
        <f>21*$Y$4</f>
        <v/>
      </c>
      <c r="T38" s="83">
        <f>IF(ISNUMBER($AB$3),B38*$AB$3,B38*$Y$4)+IF(ISNUMBER($AB$4),C38*$AB$4,C38*$Y$4)+IF(ISNUMBER($AB$5),D38*$AB$5,D38*$Y$4)+IF(ISNUMBER($AB$6),E38*$AB$6,E38*$Y$4)+IF(ISNUMBER($AB$7),F38*$AB$7,F38*$Y$4)+IF(ISNUMBER($AB$8),G38*$AB$8,G38*$Y$4)+IF(ISNUMBER($AB$9),H38*$AB$9,H38*$Y$4)+IF(ISNUMBER($AB$10),I38*$AB$10,I38*$Y$4)+IF(ISNUMBER($AB$11),J38*$AB$11,J38*$Y$4)+IF(ISNUMBER($AB$12),K38*$AB$12,K38*$Y$4)+IF(ISNUMBER($AB$13),L38*$AB$13,L38*$Y$4)+IF(ISNUMBER($AB$14),M38*$AB$14,M38*$Y$4)+IF(ISNUMBER($AB$15),N38*$AB$15,N38*$Y$4)+IF(ISNUMBER($AB$16),O38*$AB$16,O38*$Y$4)+IF(ISNUMBER($AB$17),P38*$AB$17,P38*$Y$4)+IF(ISNUMBER($AB$18),Q38*$AB$18,Q38*$Y$4)+IF(ISNUMBER($AB$19),R38*$AB$19,R38*$Y$4)</f>
        <v/>
      </c>
      <c r="U38" s="84">
        <f>T38-S38</f>
        <v/>
      </c>
    </row>
    <row r="39" ht="16" customHeight="1">
      <c r="A39" s="43" t="inlineStr">
        <is>
          <t>Jochim</t>
        </is>
      </c>
      <c r="B39" s="81">
        <f>COUNTIF(Dienstplan!B47:AF47,"FI")</f>
        <v/>
      </c>
      <c r="C39" s="81">
        <f>COUNTIF(Dienstplan!B47:AF47,"FII")</f>
        <v/>
      </c>
      <c r="D39" s="81">
        <f>COUNTIF(Dienstplan!B47:AF47,"SI")</f>
        <v/>
      </c>
      <c r="E39" s="81">
        <f>COUNTIF(Dienstplan!B47:AF47,"SII")</f>
        <v/>
      </c>
      <c r="F39" s="81">
        <f>COUNTIF(Dienstplan!B47:AF47,"NI")</f>
        <v/>
      </c>
      <c r="G39" s="81">
        <f>COUNTIF(Dienstplan!B47:AF47,"DI")</f>
        <v/>
      </c>
      <c r="H39" s="81">
        <f>COUNTIF(Dienstplan!B47:AF47,"DII")</f>
        <v/>
      </c>
      <c r="I39" s="81">
        <f>COUNTIF(Dienstplan!B47:AF47,"KU")</f>
        <v/>
      </c>
      <c r="J39" s="81">
        <f>COUNTIF(Dienstplan!B47:AF47,"EH")</f>
        <v/>
      </c>
      <c r="K39" s="81">
        <f>COUNTIF(Dienstplan!B47:AF47,"SD")</f>
        <v/>
      </c>
      <c r="L39" s="81">
        <f>COUNTIF(Dienstplan!B47:AF47,"GT")</f>
        <v/>
      </c>
      <c r="M39" s="81">
        <f>COUNTIF(Dienstplan!B47:AF47,"NST")</f>
        <v/>
      </c>
      <c r="N39" s="81">
        <f>COUNTIF(Dienstplan!B47:AF47,"KT")</f>
        <v/>
      </c>
      <c r="O39" s="81">
        <f>COUNTIF(Dienstplan!B47:AF47,"Fobi")</f>
        <v/>
      </c>
      <c r="P39" s="81">
        <f>COUNTIF(Dienstplan!B47:AF47,"U")</f>
        <v/>
      </c>
      <c r="Q39" s="81">
        <f>COUNTIF(Dienstplan!B47:AF47,"A")</f>
        <v/>
      </c>
      <c r="R39" s="81">
        <f>COUNTIF(Dienstplan!B47:AF47,"T-ZUG")</f>
        <v/>
      </c>
      <c r="S39" s="81">
        <f>21*$Y$5</f>
        <v/>
      </c>
      <c r="T39" s="81">
        <f>IF(ISNUMBER($AB$3),B39*$AB$3,B39*$Y$5)+IF(ISNUMBER($AB$4),C39*$AB$4,C39*$Y$5)+IF(ISNUMBER($AB$5),D39*$AB$5,D39*$Y$5)+IF(ISNUMBER($AB$6),E39*$AB$6,E39*$Y$5)+IF(ISNUMBER($AB$7),F39*$AB$7,F39*$Y$5)+IF(ISNUMBER($AB$8),G39*$AB$8,G39*$Y$5)+IF(ISNUMBER($AB$9),H39*$AB$9,H39*$Y$5)+IF(ISNUMBER($AB$10),I39*$AB$10,I39*$Y$5)+IF(ISNUMBER($AB$11),J39*$AB$11,J39*$Y$5)+IF(ISNUMBER($AB$12),K39*$AB$12,K39*$Y$5)+IF(ISNUMBER($AB$13),L39*$AB$13,L39*$Y$5)+IF(ISNUMBER($AB$14),M39*$AB$14,M39*$Y$5)+IF(ISNUMBER($AB$15),N39*$AB$15,N39*$Y$5)+IF(ISNUMBER($AB$16),O39*$AB$16,O39*$Y$5)+IF(ISNUMBER($AB$17),P39*$AB$17,P39*$Y$5)+IF(ISNUMBER($AB$18),Q39*$AB$18,Q39*$Y$5)+IF(ISNUMBER($AB$19),R39*$AB$19,R39*$Y$5)</f>
        <v/>
      </c>
      <c r="U39" s="82">
        <f>T39-S39</f>
        <v/>
      </c>
    </row>
    <row r="40" ht="16" customHeight="1">
      <c r="A40" s="43" t="inlineStr">
        <is>
          <t>Wunsch</t>
        </is>
      </c>
      <c r="B40" s="83">
        <f>COUNTIF(Dienstplan!B48:AF48,"FI")</f>
        <v/>
      </c>
      <c r="C40" s="83">
        <f>COUNTIF(Dienstplan!B48:AF48,"FII")</f>
        <v/>
      </c>
      <c r="D40" s="83">
        <f>COUNTIF(Dienstplan!B48:AF48,"SI")</f>
        <v/>
      </c>
      <c r="E40" s="83">
        <f>COUNTIF(Dienstplan!B48:AF48,"SII")</f>
        <v/>
      </c>
      <c r="F40" s="83">
        <f>COUNTIF(Dienstplan!B48:AF48,"NI")</f>
        <v/>
      </c>
      <c r="G40" s="83">
        <f>COUNTIF(Dienstplan!B48:AF48,"DI")</f>
        <v/>
      </c>
      <c r="H40" s="83">
        <f>COUNTIF(Dienstplan!B48:AF48,"DII")</f>
        <v/>
      </c>
      <c r="I40" s="83">
        <f>COUNTIF(Dienstplan!B48:AF48,"KU")</f>
        <v/>
      </c>
      <c r="J40" s="83">
        <f>COUNTIF(Dienstplan!B48:AF48,"EH")</f>
        <v/>
      </c>
      <c r="K40" s="83">
        <f>COUNTIF(Dienstplan!B48:AF48,"SD")</f>
        <v/>
      </c>
      <c r="L40" s="83">
        <f>COUNTIF(Dienstplan!B48:AF48,"GT")</f>
        <v/>
      </c>
      <c r="M40" s="83">
        <f>COUNTIF(Dienstplan!B48:AF48,"NST")</f>
        <v/>
      </c>
      <c r="N40" s="83">
        <f>COUNTIF(Dienstplan!B48:AF48,"KT")</f>
        <v/>
      </c>
      <c r="O40" s="83">
        <f>COUNTIF(Dienstplan!B48:AF48,"Fobi")</f>
        <v/>
      </c>
      <c r="P40" s="83">
        <f>COUNTIF(Dienstplan!B48:AF48,"U")</f>
        <v/>
      </c>
      <c r="Q40" s="83">
        <f>COUNTIF(Dienstplan!B48:AF48,"A")</f>
        <v/>
      </c>
      <c r="R40" s="83">
        <f>COUNTIF(Dienstplan!B48:AF48,"T-ZUG")</f>
        <v/>
      </c>
      <c r="S40" s="83">
        <f>21*$Y$6</f>
        <v/>
      </c>
      <c r="T40" s="83">
        <f>IF(ISNUMBER($AB$3),B40*$AB$3,B40*$Y$6)+IF(ISNUMBER($AB$4),C40*$AB$4,C40*$Y$6)+IF(ISNUMBER($AB$5),D40*$AB$5,D40*$Y$6)+IF(ISNUMBER($AB$6),E40*$AB$6,E40*$Y$6)+IF(ISNUMBER($AB$7),F40*$AB$7,F40*$Y$6)+IF(ISNUMBER($AB$8),G40*$AB$8,G40*$Y$6)+IF(ISNUMBER($AB$9),H40*$AB$9,H40*$Y$6)+IF(ISNUMBER($AB$10),I40*$AB$10,I40*$Y$6)+IF(ISNUMBER($AB$11),J40*$AB$11,J40*$Y$6)+IF(ISNUMBER($AB$12),K40*$AB$12,K40*$Y$6)+IF(ISNUMBER($AB$13),L40*$AB$13,L40*$Y$6)+IF(ISNUMBER($AB$14),M40*$AB$14,M40*$Y$6)+IF(ISNUMBER($AB$15),N40*$AB$15,N40*$Y$6)+IF(ISNUMBER($AB$16),O40*$AB$16,O40*$Y$6)+IF(ISNUMBER($AB$17),P40*$AB$17,P40*$Y$6)+IF(ISNUMBER($AB$18),Q40*$AB$18,Q40*$Y$6)+IF(ISNUMBER($AB$19),R40*$AB$19,R40*$Y$6)</f>
        <v/>
      </c>
      <c r="U40" s="84">
        <f>T40-S40</f>
        <v/>
      </c>
    </row>
    <row r="41" ht="16" customHeight="1">
      <c r="A41" s="43" t="inlineStr">
        <is>
          <t>Göpfrich</t>
        </is>
      </c>
      <c r="B41" s="81">
        <f>COUNTIF(Dienstplan!B49:AF49,"FI")</f>
        <v/>
      </c>
      <c r="C41" s="81">
        <f>COUNTIF(Dienstplan!B49:AF49,"FII")</f>
        <v/>
      </c>
      <c r="D41" s="81">
        <f>COUNTIF(Dienstplan!B49:AF49,"SI")</f>
        <v/>
      </c>
      <c r="E41" s="81">
        <f>COUNTIF(Dienstplan!B49:AF49,"SII")</f>
        <v/>
      </c>
      <c r="F41" s="81">
        <f>COUNTIF(Dienstplan!B49:AF49,"NI")</f>
        <v/>
      </c>
      <c r="G41" s="81">
        <f>COUNTIF(Dienstplan!B49:AF49,"DI")</f>
        <v/>
      </c>
      <c r="H41" s="81">
        <f>COUNTIF(Dienstplan!B49:AF49,"DII")</f>
        <v/>
      </c>
      <c r="I41" s="81">
        <f>COUNTIF(Dienstplan!B49:AF49,"KU")</f>
        <v/>
      </c>
      <c r="J41" s="81">
        <f>COUNTIF(Dienstplan!B49:AF49,"EH")</f>
        <v/>
      </c>
      <c r="K41" s="81">
        <f>COUNTIF(Dienstplan!B49:AF49,"SD")</f>
        <v/>
      </c>
      <c r="L41" s="81">
        <f>COUNTIF(Dienstplan!B49:AF49,"GT")</f>
        <v/>
      </c>
      <c r="M41" s="81">
        <f>COUNTIF(Dienstplan!B49:AF49,"NST")</f>
        <v/>
      </c>
      <c r="N41" s="81">
        <f>COUNTIF(Dienstplan!B49:AF49,"KT")</f>
        <v/>
      </c>
      <c r="O41" s="81">
        <f>COUNTIF(Dienstplan!B49:AF49,"Fobi")</f>
        <v/>
      </c>
      <c r="P41" s="81">
        <f>COUNTIF(Dienstplan!B49:AF49,"U")</f>
        <v/>
      </c>
      <c r="Q41" s="81">
        <f>COUNTIF(Dienstplan!B49:AF49,"A")</f>
        <v/>
      </c>
      <c r="R41" s="81">
        <f>COUNTIF(Dienstplan!B49:AF49,"T-ZUG")</f>
        <v/>
      </c>
      <c r="S41" s="81">
        <f>21*$Y$7</f>
        <v/>
      </c>
      <c r="T41" s="81">
        <f>IF(ISNUMBER($AB$3),B41*$AB$3,B41*$Y$7)+IF(ISNUMBER($AB$4),C41*$AB$4,C41*$Y$7)+IF(ISNUMBER($AB$5),D41*$AB$5,D41*$Y$7)+IF(ISNUMBER($AB$6),E41*$AB$6,E41*$Y$7)+IF(ISNUMBER($AB$7),F41*$AB$7,F41*$Y$7)+IF(ISNUMBER($AB$8),G41*$AB$8,G41*$Y$7)+IF(ISNUMBER($AB$9),H41*$AB$9,H41*$Y$7)+IF(ISNUMBER($AB$10),I41*$AB$10,I41*$Y$7)+IF(ISNUMBER($AB$11),J41*$AB$11,J41*$Y$7)+IF(ISNUMBER($AB$12),K41*$AB$12,K41*$Y$7)+IF(ISNUMBER($AB$13),L41*$AB$13,L41*$Y$7)+IF(ISNUMBER($AB$14),M41*$AB$14,M41*$Y$7)+IF(ISNUMBER($AB$15),N41*$AB$15,N41*$Y$7)+IF(ISNUMBER($AB$16),O41*$AB$16,O41*$Y$7)+IF(ISNUMBER($AB$17),P41*$AB$17,P41*$Y$7)+IF(ISNUMBER($AB$18),Q41*$AB$18,Q41*$Y$7)+IF(ISNUMBER($AB$19),R41*$AB$19,R41*$Y$7)</f>
        <v/>
      </c>
      <c r="U41" s="82">
        <f>T41-S41</f>
        <v/>
      </c>
    </row>
    <row r="42" ht="16" customHeight="1">
      <c r="A42" s="43" t="inlineStr">
        <is>
          <t>Zeller</t>
        </is>
      </c>
      <c r="B42" s="83">
        <f>COUNTIF(Dienstplan!B50:AF50,"FI")</f>
        <v/>
      </c>
      <c r="C42" s="83">
        <f>COUNTIF(Dienstplan!B50:AF50,"FII")</f>
        <v/>
      </c>
      <c r="D42" s="83">
        <f>COUNTIF(Dienstplan!B50:AF50,"SI")</f>
        <v/>
      </c>
      <c r="E42" s="83">
        <f>COUNTIF(Dienstplan!B50:AF50,"SII")</f>
        <v/>
      </c>
      <c r="F42" s="83">
        <f>COUNTIF(Dienstplan!B50:AF50,"NI")</f>
        <v/>
      </c>
      <c r="G42" s="83">
        <f>COUNTIF(Dienstplan!B50:AF50,"DI")</f>
        <v/>
      </c>
      <c r="H42" s="83">
        <f>COUNTIF(Dienstplan!B50:AF50,"DII")</f>
        <v/>
      </c>
      <c r="I42" s="83">
        <f>COUNTIF(Dienstplan!B50:AF50,"KU")</f>
        <v/>
      </c>
      <c r="J42" s="83">
        <f>COUNTIF(Dienstplan!B50:AF50,"EH")</f>
        <v/>
      </c>
      <c r="K42" s="83">
        <f>COUNTIF(Dienstplan!B50:AF50,"SD")</f>
        <v/>
      </c>
      <c r="L42" s="83">
        <f>COUNTIF(Dienstplan!B50:AF50,"GT")</f>
        <v/>
      </c>
      <c r="M42" s="83">
        <f>COUNTIF(Dienstplan!B50:AF50,"NST")</f>
        <v/>
      </c>
      <c r="N42" s="83">
        <f>COUNTIF(Dienstplan!B50:AF50,"KT")</f>
        <v/>
      </c>
      <c r="O42" s="83">
        <f>COUNTIF(Dienstplan!B50:AF50,"Fobi")</f>
        <v/>
      </c>
      <c r="P42" s="83">
        <f>COUNTIF(Dienstplan!B50:AF50,"U")</f>
        <v/>
      </c>
      <c r="Q42" s="83">
        <f>COUNTIF(Dienstplan!B50:AF50,"A")</f>
        <v/>
      </c>
      <c r="R42" s="83">
        <f>COUNTIF(Dienstplan!B50:AF50,"T-ZUG")</f>
        <v/>
      </c>
      <c r="S42" s="83">
        <f>21*$Y$8</f>
        <v/>
      </c>
      <c r="T42" s="83">
        <f>IF(ISNUMBER($AB$3),B42*$AB$3,B42*$Y$8)+IF(ISNUMBER($AB$4),C42*$AB$4,C42*$Y$8)+IF(ISNUMBER($AB$5),D42*$AB$5,D42*$Y$8)+IF(ISNUMBER($AB$6),E42*$AB$6,E42*$Y$8)+IF(ISNUMBER($AB$7),F42*$AB$7,F42*$Y$8)+IF(ISNUMBER($AB$8),G42*$AB$8,G42*$Y$8)+IF(ISNUMBER($AB$9),H42*$AB$9,H42*$Y$8)+IF(ISNUMBER($AB$10),I42*$AB$10,I42*$Y$8)+IF(ISNUMBER($AB$11),J42*$AB$11,J42*$Y$8)+IF(ISNUMBER($AB$12),K42*$AB$12,K42*$Y$8)+IF(ISNUMBER($AB$13),L42*$AB$13,L42*$Y$8)+IF(ISNUMBER($AB$14),M42*$AB$14,M42*$Y$8)+IF(ISNUMBER($AB$15),N42*$AB$15,N42*$Y$8)+IF(ISNUMBER($AB$16),O42*$AB$16,O42*$Y$8)+IF(ISNUMBER($AB$17),P42*$AB$17,P42*$Y$8)+IF(ISNUMBER($AB$18),Q42*$AB$18,Q42*$Y$8)+IF(ISNUMBER($AB$19),R42*$AB$19,R42*$Y$8)</f>
        <v/>
      </c>
      <c r="U42" s="84">
        <f>T42-S42</f>
        <v/>
      </c>
    </row>
    <row r="43" ht="16" customHeight="1">
      <c r="A43" s="43" t="inlineStr">
        <is>
          <t>Behrendt</t>
        </is>
      </c>
      <c r="B43" s="81">
        <f>COUNTIF(Dienstplan!B51:AF51,"FI")</f>
        <v/>
      </c>
      <c r="C43" s="81">
        <f>COUNTIF(Dienstplan!B51:AF51,"FII")</f>
        <v/>
      </c>
      <c r="D43" s="81">
        <f>COUNTIF(Dienstplan!B51:AF51,"SI")</f>
        <v/>
      </c>
      <c r="E43" s="81">
        <f>COUNTIF(Dienstplan!B51:AF51,"SII")</f>
        <v/>
      </c>
      <c r="F43" s="81">
        <f>COUNTIF(Dienstplan!B51:AF51,"NI")</f>
        <v/>
      </c>
      <c r="G43" s="81">
        <f>COUNTIF(Dienstplan!B51:AF51,"DI")</f>
        <v/>
      </c>
      <c r="H43" s="81">
        <f>COUNTIF(Dienstplan!B51:AF51,"DII")</f>
        <v/>
      </c>
      <c r="I43" s="81">
        <f>COUNTIF(Dienstplan!B51:AF51,"KU")</f>
        <v/>
      </c>
      <c r="J43" s="81">
        <f>COUNTIF(Dienstplan!B51:AF51,"EH")</f>
        <v/>
      </c>
      <c r="K43" s="81">
        <f>COUNTIF(Dienstplan!B51:AF51,"SD")</f>
        <v/>
      </c>
      <c r="L43" s="81">
        <f>COUNTIF(Dienstplan!B51:AF51,"GT")</f>
        <v/>
      </c>
      <c r="M43" s="81">
        <f>COUNTIF(Dienstplan!B51:AF51,"NST")</f>
        <v/>
      </c>
      <c r="N43" s="81">
        <f>COUNTIF(Dienstplan!B51:AF51,"KT")</f>
        <v/>
      </c>
      <c r="O43" s="81">
        <f>COUNTIF(Dienstplan!B51:AF51,"Fobi")</f>
        <v/>
      </c>
      <c r="P43" s="81">
        <f>COUNTIF(Dienstplan!B51:AF51,"U")</f>
        <v/>
      </c>
      <c r="Q43" s="81">
        <f>COUNTIF(Dienstplan!B51:AF51,"A")</f>
        <v/>
      </c>
      <c r="R43" s="81">
        <f>COUNTIF(Dienstplan!B51:AF51,"T-ZUG")</f>
        <v/>
      </c>
      <c r="S43" s="81">
        <f>21*$Y$9</f>
        <v/>
      </c>
      <c r="T43" s="81">
        <f>IF(ISNUMBER($AB$3),B43*$AB$3,B43*$Y$9)+IF(ISNUMBER($AB$4),C43*$AB$4,C43*$Y$9)+IF(ISNUMBER($AB$5),D43*$AB$5,D43*$Y$9)+IF(ISNUMBER($AB$6),E43*$AB$6,E43*$Y$9)+IF(ISNUMBER($AB$7),F43*$AB$7,F43*$Y$9)+IF(ISNUMBER($AB$8),G43*$AB$8,G43*$Y$9)+IF(ISNUMBER($AB$9),H43*$AB$9,H43*$Y$9)+IF(ISNUMBER($AB$10),I43*$AB$10,I43*$Y$9)+IF(ISNUMBER($AB$11),J43*$AB$11,J43*$Y$9)+IF(ISNUMBER($AB$12),K43*$AB$12,K43*$Y$9)+IF(ISNUMBER($AB$13),L43*$AB$13,L43*$Y$9)+IF(ISNUMBER($AB$14),M43*$AB$14,M43*$Y$9)+IF(ISNUMBER($AB$15),N43*$AB$15,N43*$Y$9)+IF(ISNUMBER($AB$16),O43*$AB$16,O43*$Y$9)+IF(ISNUMBER($AB$17),P43*$AB$17,P43*$Y$9)+IF(ISNUMBER($AB$18),Q43*$AB$18,Q43*$Y$9)+IF(ISNUMBER($AB$19),R43*$AB$19,R43*$Y$9)</f>
        <v/>
      </c>
      <c r="U43" s="82">
        <f>T43-S43</f>
        <v/>
      </c>
    </row>
    <row r="44" ht="16" customHeight="1">
      <c r="A44" s="43" t="inlineStr">
        <is>
          <t>Krempl</t>
        </is>
      </c>
      <c r="B44" s="83">
        <f>COUNTIF(Dienstplan!B52:AF52,"FI")</f>
        <v/>
      </c>
      <c r="C44" s="83">
        <f>COUNTIF(Dienstplan!B52:AF52,"FII")</f>
        <v/>
      </c>
      <c r="D44" s="83">
        <f>COUNTIF(Dienstplan!B52:AF52,"SI")</f>
        <v/>
      </c>
      <c r="E44" s="83">
        <f>COUNTIF(Dienstplan!B52:AF52,"SII")</f>
        <v/>
      </c>
      <c r="F44" s="83">
        <f>COUNTIF(Dienstplan!B52:AF52,"NI")</f>
        <v/>
      </c>
      <c r="G44" s="83">
        <f>COUNTIF(Dienstplan!B52:AF52,"DI")</f>
        <v/>
      </c>
      <c r="H44" s="83">
        <f>COUNTIF(Dienstplan!B52:AF52,"DII")</f>
        <v/>
      </c>
      <c r="I44" s="83">
        <f>COUNTIF(Dienstplan!B52:AF52,"KU")</f>
        <v/>
      </c>
      <c r="J44" s="83">
        <f>COUNTIF(Dienstplan!B52:AF52,"EH")</f>
        <v/>
      </c>
      <c r="K44" s="83">
        <f>COUNTIF(Dienstplan!B52:AF52,"SD")</f>
        <v/>
      </c>
      <c r="L44" s="83">
        <f>COUNTIF(Dienstplan!B52:AF52,"GT")</f>
        <v/>
      </c>
      <c r="M44" s="83">
        <f>COUNTIF(Dienstplan!B52:AF52,"NST")</f>
        <v/>
      </c>
      <c r="N44" s="83">
        <f>COUNTIF(Dienstplan!B52:AF52,"KT")</f>
        <v/>
      </c>
      <c r="O44" s="83">
        <f>COUNTIF(Dienstplan!B52:AF52,"Fobi")</f>
        <v/>
      </c>
      <c r="P44" s="83">
        <f>COUNTIF(Dienstplan!B52:AF52,"U")</f>
        <v/>
      </c>
      <c r="Q44" s="83">
        <f>COUNTIF(Dienstplan!B52:AF52,"A")</f>
        <v/>
      </c>
      <c r="R44" s="83">
        <f>COUNTIF(Dienstplan!B52:AF52,"T-ZUG")</f>
        <v/>
      </c>
      <c r="S44" s="83">
        <f>21*$Y$10</f>
        <v/>
      </c>
      <c r="T44" s="83">
        <f>IF(ISNUMBER($AB$3),B44*$AB$3,B44*$Y$10)+IF(ISNUMBER($AB$4),C44*$AB$4,C44*$Y$10)+IF(ISNUMBER($AB$5),D44*$AB$5,D44*$Y$10)+IF(ISNUMBER($AB$6),E44*$AB$6,E44*$Y$10)+IF(ISNUMBER($AB$7),F44*$AB$7,F44*$Y$10)+IF(ISNUMBER($AB$8),G44*$AB$8,G44*$Y$10)+IF(ISNUMBER($AB$9),H44*$AB$9,H44*$Y$10)+IF(ISNUMBER($AB$10),I44*$AB$10,I44*$Y$10)+IF(ISNUMBER($AB$11),J44*$AB$11,J44*$Y$10)+IF(ISNUMBER($AB$12),K44*$AB$12,K44*$Y$10)+IF(ISNUMBER($AB$13),L44*$AB$13,L44*$Y$10)+IF(ISNUMBER($AB$14),M44*$AB$14,M44*$Y$10)+IF(ISNUMBER($AB$15),N44*$AB$15,N44*$Y$10)+IF(ISNUMBER($AB$16),O44*$AB$16,O44*$Y$10)+IF(ISNUMBER($AB$17),P44*$AB$17,P44*$Y$10)+IF(ISNUMBER($AB$18),Q44*$AB$18,Q44*$Y$10)+IF(ISNUMBER($AB$19),R44*$AB$19,R44*$Y$10)</f>
        <v/>
      </c>
      <c r="U44" s="84">
        <f>T44-S44</f>
        <v/>
      </c>
    </row>
    <row r="45" ht="16" customHeight="1">
      <c r="A45" s="43" t="inlineStr">
        <is>
          <t>Putschler</t>
        </is>
      </c>
      <c r="B45" s="81">
        <f>COUNTIF(Dienstplan!B53:AF53,"FI")</f>
        <v/>
      </c>
      <c r="C45" s="81">
        <f>COUNTIF(Dienstplan!B53:AF53,"FII")</f>
        <v/>
      </c>
      <c r="D45" s="81">
        <f>COUNTIF(Dienstplan!B53:AF53,"SI")</f>
        <v/>
      </c>
      <c r="E45" s="81">
        <f>COUNTIF(Dienstplan!B53:AF53,"SII")</f>
        <v/>
      </c>
      <c r="F45" s="81">
        <f>COUNTIF(Dienstplan!B53:AF53,"NI")</f>
        <v/>
      </c>
      <c r="G45" s="81">
        <f>COUNTIF(Dienstplan!B53:AF53,"DI")</f>
        <v/>
      </c>
      <c r="H45" s="81">
        <f>COUNTIF(Dienstplan!B53:AF53,"DII")</f>
        <v/>
      </c>
      <c r="I45" s="81">
        <f>COUNTIF(Dienstplan!B53:AF53,"KU")</f>
        <v/>
      </c>
      <c r="J45" s="81">
        <f>COUNTIF(Dienstplan!B53:AF53,"EH")</f>
        <v/>
      </c>
      <c r="K45" s="81">
        <f>COUNTIF(Dienstplan!B53:AF53,"SD")</f>
        <v/>
      </c>
      <c r="L45" s="81">
        <f>COUNTIF(Dienstplan!B53:AF53,"GT")</f>
        <v/>
      </c>
      <c r="M45" s="81">
        <f>COUNTIF(Dienstplan!B53:AF53,"NST")</f>
        <v/>
      </c>
      <c r="N45" s="81">
        <f>COUNTIF(Dienstplan!B53:AF53,"KT")</f>
        <v/>
      </c>
      <c r="O45" s="81">
        <f>COUNTIF(Dienstplan!B53:AF53,"Fobi")</f>
        <v/>
      </c>
      <c r="P45" s="81">
        <f>COUNTIF(Dienstplan!B53:AF53,"U")</f>
        <v/>
      </c>
      <c r="Q45" s="81">
        <f>COUNTIF(Dienstplan!B53:AF53,"A")</f>
        <v/>
      </c>
      <c r="R45" s="81">
        <f>COUNTIF(Dienstplan!B53:AF53,"T-ZUG")</f>
        <v/>
      </c>
      <c r="S45" s="81">
        <f>21*$Y$11</f>
        <v/>
      </c>
      <c r="T45" s="81">
        <f>IF(ISNUMBER($AB$3),B45*$AB$3,B45*$Y$11)+IF(ISNUMBER($AB$4),C45*$AB$4,C45*$Y$11)+IF(ISNUMBER($AB$5),D45*$AB$5,D45*$Y$11)+IF(ISNUMBER($AB$6),E45*$AB$6,E45*$Y$11)+IF(ISNUMBER($AB$7),F45*$AB$7,F45*$Y$11)+IF(ISNUMBER($AB$8),G45*$AB$8,G45*$Y$11)+IF(ISNUMBER($AB$9),H45*$AB$9,H45*$Y$11)+IF(ISNUMBER($AB$10),I45*$AB$10,I45*$Y$11)+IF(ISNUMBER($AB$11),J45*$AB$11,J45*$Y$11)+IF(ISNUMBER($AB$12),K45*$AB$12,K45*$Y$11)+IF(ISNUMBER($AB$13),L45*$AB$13,L45*$Y$11)+IF(ISNUMBER($AB$14),M45*$AB$14,M45*$Y$11)+IF(ISNUMBER($AB$15),N45*$AB$15,N45*$Y$11)+IF(ISNUMBER($AB$16),O45*$AB$16,O45*$Y$11)+IF(ISNUMBER($AB$17),P45*$AB$17,P45*$Y$11)+IF(ISNUMBER($AB$18),Q45*$AB$18,Q45*$Y$11)+IF(ISNUMBER($AB$19),R45*$AB$19,R45*$Y$11)</f>
        <v/>
      </c>
      <c r="U45" s="82">
        <f>T45-S45</f>
        <v/>
      </c>
    </row>
    <row r="46" ht="16" customHeight="1">
      <c r="A46" s="43" t="inlineStr">
        <is>
          <t>Kunz</t>
        </is>
      </c>
      <c r="B46" s="83">
        <f>COUNTIF(Dienstplan!B54:AF54,"FI")</f>
        <v/>
      </c>
      <c r="C46" s="83">
        <f>COUNTIF(Dienstplan!B54:AF54,"FII")</f>
        <v/>
      </c>
      <c r="D46" s="83">
        <f>COUNTIF(Dienstplan!B54:AF54,"SI")</f>
        <v/>
      </c>
      <c r="E46" s="83">
        <f>COUNTIF(Dienstplan!B54:AF54,"SII")</f>
        <v/>
      </c>
      <c r="F46" s="83">
        <f>COUNTIF(Dienstplan!B54:AF54,"NI")</f>
        <v/>
      </c>
      <c r="G46" s="83">
        <f>COUNTIF(Dienstplan!B54:AF54,"DI")</f>
        <v/>
      </c>
      <c r="H46" s="83">
        <f>COUNTIF(Dienstplan!B54:AF54,"DII")</f>
        <v/>
      </c>
      <c r="I46" s="83">
        <f>COUNTIF(Dienstplan!B54:AF54,"KU")</f>
        <v/>
      </c>
      <c r="J46" s="83">
        <f>COUNTIF(Dienstplan!B54:AF54,"EH")</f>
        <v/>
      </c>
      <c r="K46" s="83">
        <f>COUNTIF(Dienstplan!B54:AF54,"SD")</f>
        <v/>
      </c>
      <c r="L46" s="83">
        <f>COUNTIF(Dienstplan!B54:AF54,"GT")</f>
        <v/>
      </c>
      <c r="M46" s="83">
        <f>COUNTIF(Dienstplan!B54:AF54,"NST")</f>
        <v/>
      </c>
      <c r="N46" s="83">
        <f>COUNTIF(Dienstplan!B54:AF54,"KT")</f>
        <v/>
      </c>
      <c r="O46" s="83">
        <f>COUNTIF(Dienstplan!B54:AF54,"Fobi")</f>
        <v/>
      </c>
      <c r="P46" s="83">
        <f>COUNTIF(Dienstplan!B54:AF54,"U")</f>
        <v/>
      </c>
      <c r="Q46" s="83">
        <f>COUNTIF(Dienstplan!B54:AF54,"A")</f>
        <v/>
      </c>
      <c r="R46" s="83">
        <f>COUNTIF(Dienstplan!B54:AF54,"T-ZUG")</f>
        <v/>
      </c>
      <c r="S46" s="83">
        <f>21*$Y$12</f>
        <v/>
      </c>
      <c r="T46" s="83">
        <f>IF(ISNUMBER($AB$3),B46*$AB$3,B46*$Y$12)+IF(ISNUMBER($AB$4),C46*$AB$4,C46*$Y$12)+IF(ISNUMBER($AB$5),D46*$AB$5,D46*$Y$12)+IF(ISNUMBER($AB$6),E46*$AB$6,E46*$Y$12)+IF(ISNUMBER($AB$7),F46*$AB$7,F46*$Y$12)+IF(ISNUMBER($AB$8),G46*$AB$8,G46*$Y$12)+IF(ISNUMBER($AB$9),H46*$AB$9,H46*$Y$12)+IF(ISNUMBER($AB$10),I46*$AB$10,I46*$Y$12)+IF(ISNUMBER($AB$11),J46*$AB$11,J46*$Y$12)+IF(ISNUMBER($AB$12),K46*$AB$12,K46*$Y$12)+IF(ISNUMBER($AB$13),L46*$AB$13,L46*$Y$12)+IF(ISNUMBER($AB$14),M46*$AB$14,M46*$Y$12)+IF(ISNUMBER($AB$15),N46*$AB$15,N46*$Y$12)+IF(ISNUMBER($AB$16),O46*$AB$16,O46*$Y$12)+IF(ISNUMBER($AB$17),P46*$AB$17,P46*$Y$12)+IF(ISNUMBER($AB$18),Q46*$AB$18,Q46*$Y$12)+IF(ISNUMBER($AB$19),R46*$AB$19,R46*$Y$12)</f>
        <v/>
      </c>
      <c r="U46" s="84">
        <f>T46-S46</f>
        <v/>
      </c>
    </row>
    <row r="47" ht="16" customHeight="1">
      <c r="A47" s="43" t="inlineStr">
        <is>
          <t>Schmidt</t>
        </is>
      </c>
      <c r="B47" s="81">
        <f>COUNTIF(Dienstplan!B55:AF55,"FI")</f>
        <v/>
      </c>
      <c r="C47" s="81">
        <f>COUNTIF(Dienstplan!B55:AF55,"FII")</f>
        <v/>
      </c>
      <c r="D47" s="81">
        <f>COUNTIF(Dienstplan!B55:AF55,"SI")</f>
        <v/>
      </c>
      <c r="E47" s="81">
        <f>COUNTIF(Dienstplan!B55:AF55,"SII")</f>
        <v/>
      </c>
      <c r="F47" s="81">
        <f>COUNTIF(Dienstplan!B55:AF55,"NI")</f>
        <v/>
      </c>
      <c r="G47" s="81">
        <f>COUNTIF(Dienstplan!B55:AF55,"DI")</f>
        <v/>
      </c>
      <c r="H47" s="81">
        <f>COUNTIF(Dienstplan!B55:AF55,"DII")</f>
        <v/>
      </c>
      <c r="I47" s="81">
        <f>COUNTIF(Dienstplan!B55:AF55,"KU")</f>
        <v/>
      </c>
      <c r="J47" s="81">
        <f>COUNTIF(Dienstplan!B55:AF55,"EH")</f>
        <v/>
      </c>
      <c r="K47" s="81">
        <f>COUNTIF(Dienstplan!B55:AF55,"SD")</f>
        <v/>
      </c>
      <c r="L47" s="81">
        <f>COUNTIF(Dienstplan!B55:AF55,"GT")</f>
        <v/>
      </c>
      <c r="M47" s="81">
        <f>COUNTIF(Dienstplan!B55:AF55,"NST")</f>
        <v/>
      </c>
      <c r="N47" s="81">
        <f>COUNTIF(Dienstplan!B55:AF55,"KT")</f>
        <v/>
      </c>
      <c r="O47" s="81">
        <f>COUNTIF(Dienstplan!B55:AF55,"Fobi")</f>
        <v/>
      </c>
      <c r="P47" s="81">
        <f>COUNTIF(Dienstplan!B55:AF55,"U")</f>
        <v/>
      </c>
      <c r="Q47" s="81">
        <f>COUNTIF(Dienstplan!B55:AF55,"A")</f>
        <v/>
      </c>
      <c r="R47" s="81">
        <f>COUNTIF(Dienstplan!B55:AF55,"T-ZUG")</f>
        <v/>
      </c>
      <c r="S47" s="81">
        <f>21*$Y$13</f>
        <v/>
      </c>
      <c r="T47" s="81">
        <f>IF(ISNUMBER($AB$3),B47*$AB$3,B47*$Y$13)+IF(ISNUMBER($AB$4),C47*$AB$4,C47*$Y$13)+IF(ISNUMBER($AB$5),D47*$AB$5,D47*$Y$13)+IF(ISNUMBER($AB$6),E47*$AB$6,E47*$Y$13)+IF(ISNUMBER($AB$7),F47*$AB$7,F47*$Y$13)+IF(ISNUMBER($AB$8),G47*$AB$8,G47*$Y$13)+IF(ISNUMBER($AB$9),H47*$AB$9,H47*$Y$13)+IF(ISNUMBER($AB$10),I47*$AB$10,I47*$Y$13)+IF(ISNUMBER($AB$11),J47*$AB$11,J47*$Y$13)+IF(ISNUMBER($AB$12),K47*$AB$12,K47*$Y$13)+IF(ISNUMBER($AB$13),L47*$AB$13,L47*$Y$13)+IF(ISNUMBER($AB$14),M47*$AB$14,M47*$Y$13)+IF(ISNUMBER($AB$15),N47*$AB$15,N47*$Y$13)+IF(ISNUMBER($AB$16),O47*$AB$16,O47*$Y$13)+IF(ISNUMBER($AB$17),P47*$AB$17,P47*$Y$13)+IF(ISNUMBER($AB$18),Q47*$AB$18,Q47*$Y$13)+IF(ISNUMBER($AB$19),R47*$AB$19,R47*$Y$13)</f>
        <v/>
      </c>
      <c r="U47" s="82">
        <f>T47-S47</f>
        <v/>
      </c>
    </row>
    <row r="48" ht="16" customHeight="1">
      <c r="A48" s="43" t="inlineStr">
        <is>
          <t>Radimersky</t>
        </is>
      </c>
      <c r="B48" s="83">
        <f>COUNTIF(Dienstplan!B56:AF56,"FI")</f>
        <v/>
      </c>
      <c r="C48" s="83">
        <f>COUNTIF(Dienstplan!B56:AF56,"FII")</f>
        <v/>
      </c>
      <c r="D48" s="83">
        <f>COUNTIF(Dienstplan!B56:AF56,"SI")</f>
        <v/>
      </c>
      <c r="E48" s="83">
        <f>COUNTIF(Dienstplan!B56:AF56,"SII")</f>
        <v/>
      </c>
      <c r="F48" s="83">
        <f>COUNTIF(Dienstplan!B56:AF56,"NI")</f>
        <v/>
      </c>
      <c r="G48" s="83">
        <f>COUNTIF(Dienstplan!B56:AF56,"DI")</f>
        <v/>
      </c>
      <c r="H48" s="83">
        <f>COUNTIF(Dienstplan!B56:AF56,"DII")</f>
        <v/>
      </c>
      <c r="I48" s="83">
        <f>COUNTIF(Dienstplan!B56:AF56,"KU")</f>
        <v/>
      </c>
      <c r="J48" s="83">
        <f>COUNTIF(Dienstplan!B56:AF56,"EH")</f>
        <v/>
      </c>
      <c r="K48" s="83">
        <f>COUNTIF(Dienstplan!B56:AF56,"SD")</f>
        <v/>
      </c>
      <c r="L48" s="83">
        <f>COUNTIF(Dienstplan!B56:AF56,"GT")</f>
        <v/>
      </c>
      <c r="M48" s="83">
        <f>COUNTIF(Dienstplan!B56:AF56,"NST")</f>
        <v/>
      </c>
      <c r="N48" s="83">
        <f>COUNTIF(Dienstplan!B56:AF56,"KT")</f>
        <v/>
      </c>
      <c r="O48" s="83">
        <f>COUNTIF(Dienstplan!B56:AF56,"Fobi")</f>
        <v/>
      </c>
      <c r="P48" s="83">
        <f>COUNTIF(Dienstplan!B56:AF56,"U")</f>
        <v/>
      </c>
      <c r="Q48" s="83">
        <f>COUNTIF(Dienstplan!B56:AF56,"A")</f>
        <v/>
      </c>
      <c r="R48" s="83">
        <f>COUNTIF(Dienstplan!B56:AF56,"T-ZUG")</f>
        <v/>
      </c>
      <c r="S48" s="83">
        <f>21*$Y$14</f>
        <v/>
      </c>
      <c r="T48" s="83">
        <f>IF(ISNUMBER($AB$3),B48*$AB$3,B48*$Y$14)+IF(ISNUMBER($AB$4),C48*$AB$4,C48*$Y$14)+IF(ISNUMBER($AB$5),D48*$AB$5,D48*$Y$14)+IF(ISNUMBER($AB$6),E48*$AB$6,E48*$Y$14)+IF(ISNUMBER($AB$7),F48*$AB$7,F48*$Y$14)+IF(ISNUMBER($AB$8),G48*$AB$8,G48*$Y$14)+IF(ISNUMBER($AB$9),H48*$AB$9,H48*$Y$14)+IF(ISNUMBER($AB$10),I48*$AB$10,I48*$Y$14)+IF(ISNUMBER($AB$11),J48*$AB$11,J48*$Y$14)+IF(ISNUMBER($AB$12),K48*$AB$12,K48*$Y$14)+IF(ISNUMBER($AB$13),L48*$AB$13,L48*$Y$14)+IF(ISNUMBER($AB$14),M48*$AB$14,M48*$Y$14)+IF(ISNUMBER($AB$15),N48*$AB$15,N48*$Y$14)+IF(ISNUMBER($AB$16),O48*$AB$16,O48*$Y$14)+IF(ISNUMBER($AB$17),P48*$AB$17,P48*$Y$14)+IF(ISNUMBER($AB$18),Q48*$AB$18,Q48*$Y$14)+IF(ISNUMBER($AB$19),R48*$AB$19,R48*$Y$14)</f>
        <v/>
      </c>
      <c r="U48" s="84">
        <f>T48-S48</f>
        <v/>
      </c>
    </row>
    <row r="49" ht="18" customHeight="1">
      <c r="A49" s="88" t="inlineStr">
        <is>
          <t>Summe</t>
        </is>
      </c>
      <c r="B49" s="89">
        <f>SUM(B37:B48)</f>
        <v/>
      </c>
      <c r="C49" s="89">
        <f>SUM(C37:C48)</f>
        <v/>
      </c>
      <c r="D49" s="89">
        <f>SUM(D37:D48)</f>
        <v/>
      </c>
      <c r="E49" s="89">
        <f>SUM(E37:E48)</f>
        <v/>
      </c>
      <c r="F49" s="89">
        <f>SUM(F37:F48)</f>
        <v/>
      </c>
      <c r="G49" s="89">
        <f>SUM(G37:G48)</f>
        <v/>
      </c>
      <c r="H49" s="89">
        <f>SUM(H37:H48)</f>
        <v/>
      </c>
      <c r="I49" s="89">
        <f>SUM(I37:I48)</f>
        <v/>
      </c>
      <c r="J49" s="89">
        <f>SUM(J37:J48)</f>
        <v/>
      </c>
      <c r="K49" s="89">
        <f>SUM(K37:K48)</f>
        <v/>
      </c>
      <c r="L49" s="89">
        <f>SUM(L37:L48)</f>
        <v/>
      </c>
      <c r="M49" s="89">
        <f>SUM(M37:M48)</f>
        <v/>
      </c>
      <c r="N49" s="89">
        <f>SUM(N37:N48)</f>
        <v/>
      </c>
      <c r="O49" s="89">
        <f>SUM(O37:O48)</f>
        <v/>
      </c>
      <c r="P49" s="89">
        <f>SUM(P37:P48)</f>
        <v/>
      </c>
      <c r="Q49" s="89">
        <f>SUM(Q37:Q48)</f>
        <v/>
      </c>
      <c r="R49" s="89">
        <f>SUM(R37:R48)</f>
        <v/>
      </c>
      <c r="S49" s="89">
        <f>SUM(S37:S48)</f>
        <v/>
      </c>
      <c r="T49" s="89">
        <f>SUM(T37:T48)</f>
        <v/>
      </c>
      <c r="U49" s="90">
        <f>SUM(U37:U48)</f>
        <v/>
      </c>
    </row>
    <row r="51">
      <c r="A51" s="2" t="inlineStr">
        <is>
          <t>April</t>
        </is>
      </c>
      <c r="C51" t="inlineStr">
        <is>
          <t>AT:</t>
        </is>
      </c>
      <c r="D51" s="78" t="n">
        <v>22</v>
      </c>
      <c r="F51" t="inlineStr">
        <is>
          <t>Sa:</t>
        </is>
      </c>
      <c r="G51" s="78" t="n">
        <v>4</v>
      </c>
    </row>
    <row r="52" ht="18" customHeight="1">
      <c r="A52" s="34" t="inlineStr">
        <is>
          <t>MA</t>
        </is>
      </c>
      <c r="B52" s="36" t="inlineStr">
        <is>
          <t>FI</t>
        </is>
      </c>
      <c r="C52" s="36" t="inlineStr">
        <is>
          <t>FII</t>
        </is>
      </c>
      <c r="D52" s="36" t="inlineStr">
        <is>
          <t>SI</t>
        </is>
      </c>
      <c r="E52" s="36" t="inlineStr">
        <is>
          <t>SII</t>
        </is>
      </c>
      <c r="F52" s="36" t="inlineStr">
        <is>
          <t>NI</t>
        </is>
      </c>
      <c r="G52" s="36" t="inlineStr">
        <is>
          <t>DI</t>
        </is>
      </c>
      <c r="H52" s="36" t="inlineStr">
        <is>
          <t>DII</t>
        </is>
      </c>
      <c r="I52" s="36" t="inlineStr">
        <is>
          <t>KU</t>
        </is>
      </c>
      <c r="J52" s="36" t="inlineStr">
        <is>
          <t>EH</t>
        </is>
      </c>
      <c r="K52" s="36" t="inlineStr">
        <is>
          <t>SD</t>
        </is>
      </c>
      <c r="L52" s="36" t="inlineStr">
        <is>
          <t>GT</t>
        </is>
      </c>
      <c r="M52" s="36" t="inlineStr">
        <is>
          <t>NST</t>
        </is>
      </c>
      <c r="N52" s="36" t="inlineStr">
        <is>
          <t>KT</t>
        </is>
      </c>
      <c r="O52" s="36" t="inlineStr">
        <is>
          <t>Fobi</t>
        </is>
      </c>
      <c r="P52" s="36" t="inlineStr">
        <is>
          <t>U</t>
        </is>
      </c>
      <c r="Q52" s="36" t="inlineStr">
        <is>
          <t>A</t>
        </is>
      </c>
      <c r="R52" s="36" t="inlineStr">
        <is>
          <t>T-ZUG</t>
        </is>
      </c>
      <c r="S52" s="36" t="inlineStr">
        <is>
          <t>Soll</t>
        </is>
      </c>
      <c r="T52" s="36" t="inlineStr">
        <is>
          <t>Ist</t>
        </is>
      </c>
      <c r="U52" s="65" t="inlineStr">
        <is>
          <t>Diff</t>
        </is>
      </c>
    </row>
    <row r="53" ht="16" customHeight="1">
      <c r="A53" s="43" t="inlineStr">
        <is>
          <t>Breig</t>
        </is>
      </c>
      <c r="B53" s="81">
        <f>COUNTIF(Dienstplan!B64:AE64,"FI")</f>
        <v/>
      </c>
      <c r="C53" s="81">
        <f>COUNTIF(Dienstplan!B64:AE64,"FII")</f>
        <v/>
      </c>
      <c r="D53" s="81">
        <f>COUNTIF(Dienstplan!B64:AE64,"SI")</f>
        <v/>
      </c>
      <c r="E53" s="81">
        <f>COUNTIF(Dienstplan!B64:AE64,"SII")</f>
        <v/>
      </c>
      <c r="F53" s="81">
        <f>COUNTIF(Dienstplan!B64:AE64,"NI")</f>
        <v/>
      </c>
      <c r="G53" s="81">
        <f>COUNTIF(Dienstplan!B64:AE64,"DI")</f>
        <v/>
      </c>
      <c r="H53" s="81">
        <f>COUNTIF(Dienstplan!B64:AE64,"DII")</f>
        <v/>
      </c>
      <c r="I53" s="81">
        <f>COUNTIF(Dienstplan!B64:AE64,"KU")</f>
        <v/>
      </c>
      <c r="J53" s="81">
        <f>COUNTIF(Dienstplan!B64:AE64,"EH")</f>
        <v/>
      </c>
      <c r="K53" s="81">
        <f>COUNTIF(Dienstplan!B64:AE64,"SD")</f>
        <v/>
      </c>
      <c r="L53" s="81">
        <f>COUNTIF(Dienstplan!B64:AE64,"GT")</f>
        <v/>
      </c>
      <c r="M53" s="81">
        <f>COUNTIF(Dienstplan!B64:AE64,"NST")</f>
        <v/>
      </c>
      <c r="N53" s="81">
        <f>COUNTIF(Dienstplan!B64:AE64,"KT")</f>
        <v/>
      </c>
      <c r="O53" s="81">
        <f>COUNTIF(Dienstplan!B64:AE64,"Fobi")</f>
        <v/>
      </c>
      <c r="P53" s="81">
        <f>COUNTIF(Dienstplan!B64:AE64,"U")</f>
        <v/>
      </c>
      <c r="Q53" s="81">
        <f>COUNTIF(Dienstplan!B64:AE64,"A")</f>
        <v/>
      </c>
      <c r="R53" s="81">
        <f>COUNTIF(Dienstplan!B64:AE64,"T-ZUG")</f>
        <v/>
      </c>
      <c r="S53" s="81">
        <f>22*$Y$3</f>
        <v/>
      </c>
      <c r="T53" s="81">
        <f>IF(ISNUMBER($AB$3),B53*$AB$3,B53*$Y$3)+IF(ISNUMBER($AB$4),C53*$AB$4,C53*$Y$3)+IF(ISNUMBER($AB$5),D53*$AB$5,D53*$Y$3)+IF(ISNUMBER($AB$6),E53*$AB$6,E53*$Y$3)+IF(ISNUMBER($AB$7),F53*$AB$7,F53*$Y$3)+IF(ISNUMBER($AB$8),G53*$AB$8,G53*$Y$3)+IF(ISNUMBER($AB$9),H53*$AB$9,H53*$Y$3)+IF(ISNUMBER($AB$10),I53*$AB$10,I53*$Y$3)+IF(ISNUMBER($AB$11),J53*$AB$11,J53*$Y$3)+IF(ISNUMBER($AB$12),K53*$AB$12,K53*$Y$3)+IF(ISNUMBER($AB$13),L53*$AB$13,L53*$Y$3)+IF(ISNUMBER($AB$14),M53*$AB$14,M53*$Y$3)+IF(ISNUMBER($AB$15),N53*$AB$15,N53*$Y$3)+IF(ISNUMBER($AB$16),O53*$AB$16,O53*$Y$3)+IF(ISNUMBER($AB$17),P53*$AB$17,P53*$Y$3)+IF(ISNUMBER($AB$18),Q53*$AB$18,Q53*$Y$3)+IF(ISNUMBER($AB$19),R53*$AB$19,R53*$Y$3)</f>
        <v/>
      </c>
      <c r="U53" s="82">
        <f>T53-S53</f>
        <v/>
      </c>
    </row>
    <row r="54" ht="16" customHeight="1">
      <c r="A54" s="43" t="inlineStr">
        <is>
          <t>Siebert</t>
        </is>
      </c>
      <c r="B54" s="83">
        <f>COUNTIF(Dienstplan!B65:AE65,"FI")</f>
        <v/>
      </c>
      <c r="C54" s="83">
        <f>COUNTIF(Dienstplan!B65:AE65,"FII")</f>
        <v/>
      </c>
      <c r="D54" s="83">
        <f>COUNTIF(Dienstplan!B65:AE65,"SI")</f>
        <v/>
      </c>
      <c r="E54" s="83">
        <f>COUNTIF(Dienstplan!B65:AE65,"SII")</f>
        <v/>
      </c>
      <c r="F54" s="83">
        <f>COUNTIF(Dienstplan!B65:AE65,"NI")</f>
        <v/>
      </c>
      <c r="G54" s="83">
        <f>COUNTIF(Dienstplan!B65:AE65,"DI")</f>
        <v/>
      </c>
      <c r="H54" s="83">
        <f>COUNTIF(Dienstplan!B65:AE65,"DII")</f>
        <v/>
      </c>
      <c r="I54" s="83">
        <f>COUNTIF(Dienstplan!B65:AE65,"KU")</f>
        <v/>
      </c>
      <c r="J54" s="83">
        <f>COUNTIF(Dienstplan!B65:AE65,"EH")</f>
        <v/>
      </c>
      <c r="K54" s="83">
        <f>COUNTIF(Dienstplan!B65:AE65,"SD")</f>
        <v/>
      </c>
      <c r="L54" s="83">
        <f>COUNTIF(Dienstplan!B65:AE65,"GT")</f>
        <v/>
      </c>
      <c r="M54" s="83">
        <f>COUNTIF(Dienstplan!B65:AE65,"NST")</f>
        <v/>
      </c>
      <c r="N54" s="83">
        <f>COUNTIF(Dienstplan!B65:AE65,"KT")</f>
        <v/>
      </c>
      <c r="O54" s="83">
        <f>COUNTIF(Dienstplan!B65:AE65,"Fobi")</f>
        <v/>
      </c>
      <c r="P54" s="83">
        <f>COUNTIF(Dienstplan!B65:AE65,"U")</f>
        <v/>
      </c>
      <c r="Q54" s="83">
        <f>COUNTIF(Dienstplan!B65:AE65,"A")</f>
        <v/>
      </c>
      <c r="R54" s="83">
        <f>COUNTIF(Dienstplan!B65:AE65,"T-ZUG")</f>
        <v/>
      </c>
      <c r="S54" s="83">
        <f>22*$Y$4</f>
        <v/>
      </c>
      <c r="T54" s="83">
        <f>IF(ISNUMBER($AB$3),B54*$AB$3,B54*$Y$4)+IF(ISNUMBER($AB$4),C54*$AB$4,C54*$Y$4)+IF(ISNUMBER($AB$5),D54*$AB$5,D54*$Y$4)+IF(ISNUMBER($AB$6),E54*$AB$6,E54*$Y$4)+IF(ISNUMBER($AB$7),F54*$AB$7,F54*$Y$4)+IF(ISNUMBER($AB$8),G54*$AB$8,G54*$Y$4)+IF(ISNUMBER($AB$9),H54*$AB$9,H54*$Y$4)+IF(ISNUMBER($AB$10),I54*$AB$10,I54*$Y$4)+IF(ISNUMBER($AB$11),J54*$AB$11,J54*$Y$4)+IF(ISNUMBER($AB$12),K54*$AB$12,K54*$Y$4)+IF(ISNUMBER($AB$13),L54*$AB$13,L54*$Y$4)+IF(ISNUMBER($AB$14),M54*$AB$14,M54*$Y$4)+IF(ISNUMBER($AB$15),N54*$AB$15,N54*$Y$4)+IF(ISNUMBER($AB$16),O54*$AB$16,O54*$Y$4)+IF(ISNUMBER($AB$17),P54*$AB$17,P54*$Y$4)+IF(ISNUMBER($AB$18),Q54*$AB$18,Q54*$Y$4)+IF(ISNUMBER($AB$19),R54*$AB$19,R54*$Y$4)</f>
        <v/>
      </c>
      <c r="U54" s="84">
        <f>T54-S54</f>
        <v/>
      </c>
    </row>
    <row r="55" ht="16" customHeight="1">
      <c r="A55" s="43" t="inlineStr">
        <is>
          <t>Jochim</t>
        </is>
      </c>
      <c r="B55" s="81">
        <f>COUNTIF(Dienstplan!B66:AE66,"FI")</f>
        <v/>
      </c>
      <c r="C55" s="81">
        <f>COUNTIF(Dienstplan!B66:AE66,"FII")</f>
        <v/>
      </c>
      <c r="D55" s="81">
        <f>COUNTIF(Dienstplan!B66:AE66,"SI")</f>
        <v/>
      </c>
      <c r="E55" s="81">
        <f>COUNTIF(Dienstplan!B66:AE66,"SII")</f>
        <v/>
      </c>
      <c r="F55" s="81">
        <f>COUNTIF(Dienstplan!B66:AE66,"NI")</f>
        <v/>
      </c>
      <c r="G55" s="81">
        <f>COUNTIF(Dienstplan!B66:AE66,"DI")</f>
        <v/>
      </c>
      <c r="H55" s="81">
        <f>COUNTIF(Dienstplan!B66:AE66,"DII")</f>
        <v/>
      </c>
      <c r="I55" s="81">
        <f>COUNTIF(Dienstplan!B66:AE66,"KU")</f>
        <v/>
      </c>
      <c r="J55" s="81">
        <f>COUNTIF(Dienstplan!B66:AE66,"EH")</f>
        <v/>
      </c>
      <c r="K55" s="81">
        <f>COUNTIF(Dienstplan!B66:AE66,"SD")</f>
        <v/>
      </c>
      <c r="L55" s="81">
        <f>COUNTIF(Dienstplan!B66:AE66,"GT")</f>
        <v/>
      </c>
      <c r="M55" s="81">
        <f>COUNTIF(Dienstplan!B66:AE66,"NST")</f>
        <v/>
      </c>
      <c r="N55" s="81">
        <f>COUNTIF(Dienstplan!B66:AE66,"KT")</f>
        <v/>
      </c>
      <c r="O55" s="81">
        <f>COUNTIF(Dienstplan!B66:AE66,"Fobi")</f>
        <v/>
      </c>
      <c r="P55" s="81">
        <f>COUNTIF(Dienstplan!B66:AE66,"U")</f>
        <v/>
      </c>
      <c r="Q55" s="81">
        <f>COUNTIF(Dienstplan!B66:AE66,"A")</f>
        <v/>
      </c>
      <c r="R55" s="81">
        <f>COUNTIF(Dienstplan!B66:AE66,"T-ZUG")</f>
        <v/>
      </c>
      <c r="S55" s="81">
        <f>22*$Y$5</f>
        <v/>
      </c>
      <c r="T55" s="81">
        <f>IF(ISNUMBER($AB$3),B55*$AB$3,B55*$Y$5)+IF(ISNUMBER($AB$4),C55*$AB$4,C55*$Y$5)+IF(ISNUMBER($AB$5),D55*$AB$5,D55*$Y$5)+IF(ISNUMBER($AB$6),E55*$AB$6,E55*$Y$5)+IF(ISNUMBER($AB$7),F55*$AB$7,F55*$Y$5)+IF(ISNUMBER($AB$8),G55*$AB$8,G55*$Y$5)+IF(ISNUMBER($AB$9),H55*$AB$9,H55*$Y$5)+IF(ISNUMBER($AB$10),I55*$AB$10,I55*$Y$5)+IF(ISNUMBER($AB$11),J55*$AB$11,J55*$Y$5)+IF(ISNUMBER($AB$12),K55*$AB$12,K55*$Y$5)+IF(ISNUMBER($AB$13),L55*$AB$13,L55*$Y$5)+IF(ISNUMBER($AB$14),M55*$AB$14,M55*$Y$5)+IF(ISNUMBER($AB$15),N55*$AB$15,N55*$Y$5)+IF(ISNUMBER($AB$16),O55*$AB$16,O55*$Y$5)+IF(ISNUMBER($AB$17),P55*$AB$17,P55*$Y$5)+IF(ISNUMBER($AB$18),Q55*$AB$18,Q55*$Y$5)+IF(ISNUMBER($AB$19),R55*$AB$19,R55*$Y$5)</f>
        <v/>
      </c>
      <c r="U55" s="82">
        <f>T55-S55</f>
        <v/>
      </c>
    </row>
    <row r="56" ht="16" customHeight="1">
      <c r="A56" s="43" t="inlineStr">
        <is>
          <t>Wunsch</t>
        </is>
      </c>
      <c r="B56" s="83">
        <f>COUNTIF(Dienstplan!B67:AE67,"FI")</f>
        <v/>
      </c>
      <c r="C56" s="83">
        <f>COUNTIF(Dienstplan!B67:AE67,"FII")</f>
        <v/>
      </c>
      <c r="D56" s="83">
        <f>COUNTIF(Dienstplan!B67:AE67,"SI")</f>
        <v/>
      </c>
      <c r="E56" s="83">
        <f>COUNTIF(Dienstplan!B67:AE67,"SII")</f>
        <v/>
      </c>
      <c r="F56" s="83">
        <f>COUNTIF(Dienstplan!B67:AE67,"NI")</f>
        <v/>
      </c>
      <c r="G56" s="83">
        <f>COUNTIF(Dienstplan!B67:AE67,"DI")</f>
        <v/>
      </c>
      <c r="H56" s="83">
        <f>COUNTIF(Dienstplan!B67:AE67,"DII")</f>
        <v/>
      </c>
      <c r="I56" s="83">
        <f>COUNTIF(Dienstplan!B67:AE67,"KU")</f>
        <v/>
      </c>
      <c r="J56" s="83">
        <f>COUNTIF(Dienstplan!B67:AE67,"EH")</f>
        <v/>
      </c>
      <c r="K56" s="83">
        <f>COUNTIF(Dienstplan!B67:AE67,"SD")</f>
        <v/>
      </c>
      <c r="L56" s="83">
        <f>COUNTIF(Dienstplan!B67:AE67,"GT")</f>
        <v/>
      </c>
      <c r="M56" s="83">
        <f>COUNTIF(Dienstplan!B67:AE67,"NST")</f>
        <v/>
      </c>
      <c r="N56" s="83">
        <f>COUNTIF(Dienstplan!B67:AE67,"KT")</f>
        <v/>
      </c>
      <c r="O56" s="83">
        <f>COUNTIF(Dienstplan!B67:AE67,"Fobi")</f>
        <v/>
      </c>
      <c r="P56" s="83">
        <f>COUNTIF(Dienstplan!B67:AE67,"U")</f>
        <v/>
      </c>
      <c r="Q56" s="83">
        <f>COUNTIF(Dienstplan!B67:AE67,"A")</f>
        <v/>
      </c>
      <c r="R56" s="83">
        <f>COUNTIF(Dienstplan!B67:AE67,"T-ZUG")</f>
        <v/>
      </c>
      <c r="S56" s="83">
        <f>22*$Y$6</f>
        <v/>
      </c>
      <c r="T56" s="83">
        <f>IF(ISNUMBER($AB$3),B56*$AB$3,B56*$Y$6)+IF(ISNUMBER($AB$4),C56*$AB$4,C56*$Y$6)+IF(ISNUMBER($AB$5),D56*$AB$5,D56*$Y$6)+IF(ISNUMBER($AB$6),E56*$AB$6,E56*$Y$6)+IF(ISNUMBER($AB$7),F56*$AB$7,F56*$Y$6)+IF(ISNUMBER($AB$8),G56*$AB$8,G56*$Y$6)+IF(ISNUMBER($AB$9),H56*$AB$9,H56*$Y$6)+IF(ISNUMBER($AB$10),I56*$AB$10,I56*$Y$6)+IF(ISNUMBER($AB$11),J56*$AB$11,J56*$Y$6)+IF(ISNUMBER($AB$12),K56*$AB$12,K56*$Y$6)+IF(ISNUMBER($AB$13),L56*$AB$13,L56*$Y$6)+IF(ISNUMBER($AB$14),M56*$AB$14,M56*$Y$6)+IF(ISNUMBER($AB$15),N56*$AB$15,N56*$Y$6)+IF(ISNUMBER($AB$16),O56*$AB$16,O56*$Y$6)+IF(ISNUMBER($AB$17),P56*$AB$17,P56*$Y$6)+IF(ISNUMBER($AB$18),Q56*$AB$18,Q56*$Y$6)+IF(ISNUMBER($AB$19),R56*$AB$19,R56*$Y$6)</f>
        <v/>
      </c>
      <c r="U56" s="84">
        <f>T56-S56</f>
        <v/>
      </c>
    </row>
    <row r="57" ht="16" customHeight="1">
      <c r="A57" s="43" t="inlineStr">
        <is>
          <t>Göpfrich</t>
        </is>
      </c>
      <c r="B57" s="81">
        <f>COUNTIF(Dienstplan!B68:AE68,"FI")</f>
        <v/>
      </c>
      <c r="C57" s="81">
        <f>COUNTIF(Dienstplan!B68:AE68,"FII")</f>
        <v/>
      </c>
      <c r="D57" s="81">
        <f>COUNTIF(Dienstplan!B68:AE68,"SI")</f>
        <v/>
      </c>
      <c r="E57" s="81">
        <f>COUNTIF(Dienstplan!B68:AE68,"SII")</f>
        <v/>
      </c>
      <c r="F57" s="81">
        <f>COUNTIF(Dienstplan!B68:AE68,"NI")</f>
        <v/>
      </c>
      <c r="G57" s="81">
        <f>COUNTIF(Dienstplan!B68:AE68,"DI")</f>
        <v/>
      </c>
      <c r="H57" s="81">
        <f>COUNTIF(Dienstplan!B68:AE68,"DII")</f>
        <v/>
      </c>
      <c r="I57" s="81">
        <f>COUNTIF(Dienstplan!B68:AE68,"KU")</f>
        <v/>
      </c>
      <c r="J57" s="81">
        <f>COUNTIF(Dienstplan!B68:AE68,"EH")</f>
        <v/>
      </c>
      <c r="K57" s="81">
        <f>COUNTIF(Dienstplan!B68:AE68,"SD")</f>
        <v/>
      </c>
      <c r="L57" s="81">
        <f>COUNTIF(Dienstplan!B68:AE68,"GT")</f>
        <v/>
      </c>
      <c r="M57" s="81">
        <f>COUNTIF(Dienstplan!B68:AE68,"NST")</f>
        <v/>
      </c>
      <c r="N57" s="81">
        <f>COUNTIF(Dienstplan!B68:AE68,"KT")</f>
        <v/>
      </c>
      <c r="O57" s="81">
        <f>COUNTIF(Dienstplan!B68:AE68,"Fobi")</f>
        <v/>
      </c>
      <c r="P57" s="81">
        <f>COUNTIF(Dienstplan!B68:AE68,"U")</f>
        <v/>
      </c>
      <c r="Q57" s="81">
        <f>COUNTIF(Dienstplan!B68:AE68,"A")</f>
        <v/>
      </c>
      <c r="R57" s="81">
        <f>COUNTIF(Dienstplan!B68:AE68,"T-ZUG")</f>
        <v/>
      </c>
      <c r="S57" s="81">
        <f>22*$Y$7</f>
        <v/>
      </c>
      <c r="T57" s="81">
        <f>IF(ISNUMBER($AB$3),B57*$AB$3,B57*$Y$7)+IF(ISNUMBER($AB$4),C57*$AB$4,C57*$Y$7)+IF(ISNUMBER($AB$5),D57*$AB$5,D57*$Y$7)+IF(ISNUMBER($AB$6),E57*$AB$6,E57*$Y$7)+IF(ISNUMBER($AB$7),F57*$AB$7,F57*$Y$7)+IF(ISNUMBER($AB$8),G57*$AB$8,G57*$Y$7)+IF(ISNUMBER($AB$9),H57*$AB$9,H57*$Y$7)+IF(ISNUMBER($AB$10),I57*$AB$10,I57*$Y$7)+IF(ISNUMBER($AB$11),J57*$AB$11,J57*$Y$7)+IF(ISNUMBER($AB$12),K57*$AB$12,K57*$Y$7)+IF(ISNUMBER($AB$13),L57*$AB$13,L57*$Y$7)+IF(ISNUMBER($AB$14),M57*$AB$14,M57*$Y$7)+IF(ISNUMBER($AB$15),N57*$AB$15,N57*$Y$7)+IF(ISNUMBER($AB$16),O57*$AB$16,O57*$Y$7)+IF(ISNUMBER($AB$17),P57*$AB$17,P57*$Y$7)+IF(ISNUMBER($AB$18),Q57*$AB$18,Q57*$Y$7)+IF(ISNUMBER($AB$19),R57*$AB$19,R57*$Y$7)</f>
        <v/>
      </c>
      <c r="U57" s="82">
        <f>T57-S57</f>
        <v/>
      </c>
    </row>
    <row r="58" ht="16" customHeight="1">
      <c r="A58" s="43" t="inlineStr">
        <is>
          <t>Zeller</t>
        </is>
      </c>
      <c r="B58" s="83">
        <f>COUNTIF(Dienstplan!B69:AE69,"FI")</f>
        <v/>
      </c>
      <c r="C58" s="83">
        <f>COUNTIF(Dienstplan!B69:AE69,"FII")</f>
        <v/>
      </c>
      <c r="D58" s="83">
        <f>COUNTIF(Dienstplan!B69:AE69,"SI")</f>
        <v/>
      </c>
      <c r="E58" s="83">
        <f>COUNTIF(Dienstplan!B69:AE69,"SII")</f>
        <v/>
      </c>
      <c r="F58" s="83">
        <f>COUNTIF(Dienstplan!B69:AE69,"NI")</f>
        <v/>
      </c>
      <c r="G58" s="83">
        <f>COUNTIF(Dienstplan!B69:AE69,"DI")</f>
        <v/>
      </c>
      <c r="H58" s="83">
        <f>COUNTIF(Dienstplan!B69:AE69,"DII")</f>
        <v/>
      </c>
      <c r="I58" s="83">
        <f>COUNTIF(Dienstplan!B69:AE69,"KU")</f>
        <v/>
      </c>
      <c r="J58" s="83">
        <f>COUNTIF(Dienstplan!B69:AE69,"EH")</f>
        <v/>
      </c>
      <c r="K58" s="83">
        <f>COUNTIF(Dienstplan!B69:AE69,"SD")</f>
        <v/>
      </c>
      <c r="L58" s="83">
        <f>COUNTIF(Dienstplan!B69:AE69,"GT")</f>
        <v/>
      </c>
      <c r="M58" s="83">
        <f>COUNTIF(Dienstplan!B69:AE69,"NST")</f>
        <v/>
      </c>
      <c r="N58" s="83">
        <f>COUNTIF(Dienstplan!B69:AE69,"KT")</f>
        <v/>
      </c>
      <c r="O58" s="83">
        <f>COUNTIF(Dienstplan!B69:AE69,"Fobi")</f>
        <v/>
      </c>
      <c r="P58" s="83">
        <f>COUNTIF(Dienstplan!B69:AE69,"U")</f>
        <v/>
      </c>
      <c r="Q58" s="83">
        <f>COUNTIF(Dienstplan!B69:AE69,"A")</f>
        <v/>
      </c>
      <c r="R58" s="83">
        <f>COUNTIF(Dienstplan!B69:AE69,"T-ZUG")</f>
        <v/>
      </c>
      <c r="S58" s="83">
        <f>22*$Y$8</f>
        <v/>
      </c>
      <c r="T58" s="83">
        <f>IF(ISNUMBER($AB$3),B58*$AB$3,B58*$Y$8)+IF(ISNUMBER($AB$4),C58*$AB$4,C58*$Y$8)+IF(ISNUMBER($AB$5),D58*$AB$5,D58*$Y$8)+IF(ISNUMBER($AB$6),E58*$AB$6,E58*$Y$8)+IF(ISNUMBER($AB$7),F58*$AB$7,F58*$Y$8)+IF(ISNUMBER($AB$8),G58*$AB$8,G58*$Y$8)+IF(ISNUMBER($AB$9),H58*$AB$9,H58*$Y$8)+IF(ISNUMBER($AB$10),I58*$AB$10,I58*$Y$8)+IF(ISNUMBER($AB$11),J58*$AB$11,J58*$Y$8)+IF(ISNUMBER($AB$12),K58*$AB$12,K58*$Y$8)+IF(ISNUMBER($AB$13),L58*$AB$13,L58*$Y$8)+IF(ISNUMBER($AB$14),M58*$AB$14,M58*$Y$8)+IF(ISNUMBER($AB$15),N58*$AB$15,N58*$Y$8)+IF(ISNUMBER($AB$16),O58*$AB$16,O58*$Y$8)+IF(ISNUMBER($AB$17),P58*$AB$17,P58*$Y$8)+IF(ISNUMBER($AB$18),Q58*$AB$18,Q58*$Y$8)+IF(ISNUMBER($AB$19),R58*$AB$19,R58*$Y$8)</f>
        <v/>
      </c>
      <c r="U58" s="84">
        <f>T58-S58</f>
        <v/>
      </c>
    </row>
    <row r="59" ht="16" customHeight="1">
      <c r="A59" s="43" t="inlineStr">
        <is>
          <t>Behrendt</t>
        </is>
      </c>
      <c r="B59" s="81">
        <f>COUNTIF(Dienstplan!B70:AE70,"FI")</f>
        <v/>
      </c>
      <c r="C59" s="81">
        <f>COUNTIF(Dienstplan!B70:AE70,"FII")</f>
        <v/>
      </c>
      <c r="D59" s="81">
        <f>COUNTIF(Dienstplan!B70:AE70,"SI")</f>
        <v/>
      </c>
      <c r="E59" s="81">
        <f>COUNTIF(Dienstplan!B70:AE70,"SII")</f>
        <v/>
      </c>
      <c r="F59" s="81">
        <f>COUNTIF(Dienstplan!B70:AE70,"NI")</f>
        <v/>
      </c>
      <c r="G59" s="81">
        <f>COUNTIF(Dienstplan!B70:AE70,"DI")</f>
        <v/>
      </c>
      <c r="H59" s="81">
        <f>COUNTIF(Dienstplan!B70:AE70,"DII")</f>
        <v/>
      </c>
      <c r="I59" s="81">
        <f>COUNTIF(Dienstplan!B70:AE70,"KU")</f>
        <v/>
      </c>
      <c r="J59" s="81">
        <f>COUNTIF(Dienstplan!B70:AE70,"EH")</f>
        <v/>
      </c>
      <c r="K59" s="81">
        <f>COUNTIF(Dienstplan!B70:AE70,"SD")</f>
        <v/>
      </c>
      <c r="L59" s="81">
        <f>COUNTIF(Dienstplan!B70:AE70,"GT")</f>
        <v/>
      </c>
      <c r="M59" s="81">
        <f>COUNTIF(Dienstplan!B70:AE70,"NST")</f>
        <v/>
      </c>
      <c r="N59" s="81">
        <f>COUNTIF(Dienstplan!B70:AE70,"KT")</f>
        <v/>
      </c>
      <c r="O59" s="81">
        <f>COUNTIF(Dienstplan!B70:AE70,"Fobi")</f>
        <v/>
      </c>
      <c r="P59" s="81">
        <f>COUNTIF(Dienstplan!B70:AE70,"U")</f>
        <v/>
      </c>
      <c r="Q59" s="81">
        <f>COUNTIF(Dienstplan!B70:AE70,"A")</f>
        <v/>
      </c>
      <c r="R59" s="81">
        <f>COUNTIF(Dienstplan!B70:AE70,"T-ZUG")</f>
        <v/>
      </c>
      <c r="S59" s="81">
        <f>22*$Y$9</f>
        <v/>
      </c>
      <c r="T59" s="81">
        <f>IF(ISNUMBER($AB$3),B59*$AB$3,B59*$Y$9)+IF(ISNUMBER($AB$4),C59*$AB$4,C59*$Y$9)+IF(ISNUMBER($AB$5),D59*$AB$5,D59*$Y$9)+IF(ISNUMBER($AB$6),E59*$AB$6,E59*$Y$9)+IF(ISNUMBER($AB$7),F59*$AB$7,F59*$Y$9)+IF(ISNUMBER($AB$8),G59*$AB$8,G59*$Y$9)+IF(ISNUMBER($AB$9),H59*$AB$9,H59*$Y$9)+IF(ISNUMBER($AB$10),I59*$AB$10,I59*$Y$9)+IF(ISNUMBER($AB$11),J59*$AB$11,J59*$Y$9)+IF(ISNUMBER($AB$12),K59*$AB$12,K59*$Y$9)+IF(ISNUMBER($AB$13),L59*$AB$13,L59*$Y$9)+IF(ISNUMBER($AB$14),M59*$AB$14,M59*$Y$9)+IF(ISNUMBER($AB$15),N59*$AB$15,N59*$Y$9)+IF(ISNUMBER($AB$16),O59*$AB$16,O59*$Y$9)+IF(ISNUMBER($AB$17),P59*$AB$17,P59*$Y$9)+IF(ISNUMBER($AB$18),Q59*$AB$18,Q59*$Y$9)+IF(ISNUMBER($AB$19),R59*$AB$19,R59*$Y$9)</f>
        <v/>
      </c>
      <c r="U59" s="82">
        <f>T59-S59</f>
        <v/>
      </c>
    </row>
    <row r="60" ht="16" customHeight="1">
      <c r="A60" s="43" t="inlineStr">
        <is>
          <t>Krempl</t>
        </is>
      </c>
      <c r="B60" s="83">
        <f>COUNTIF(Dienstplan!B71:AE71,"FI")</f>
        <v/>
      </c>
      <c r="C60" s="83">
        <f>COUNTIF(Dienstplan!B71:AE71,"FII")</f>
        <v/>
      </c>
      <c r="D60" s="83">
        <f>COUNTIF(Dienstplan!B71:AE71,"SI")</f>
        <v/>
      </c>
      <c r="E60" s="83">
        <f>COUNTIF(Dienstplan!B71:AE71,"SII")</f>
        <v/>
      </c>
      <c r="F60" s="83">
        <f>COUNTIF(Dienstplan!B71:AE71,"NI")</f>
        <v/>
      </c>
      <c r="G60" s="83">
        <f>COUNTIF(Dienstplan!B71:AE71,"DI")</f>
        <v/>
      </c>
      <c r="H60" s="83">
        <f>COUNTIF(Dienstplan!B71:AE71,"DII")</f>
        <v/>
      </c>
      <c r="I60" s="83">
        <f>COUNTIF(Dienstplan!B71:AE71,"KU")</f>
        <v/>
      </c>
      <c r="J60" s="83">
        <f>COUNTIF(Dienstplan!B71:AE71,"EH")</f>
        <v/>
      </c>
      <c r="K60" s="83">
        <f>COUNTIF(Dienstplan!B71:AE71,"SD")</f>
        <v/>
      </c>
      <c r="L60" s="83">
        <f>COUNTIF(Dienstplan!B71:AE71,"GT")</f>
        <v/>
      </c>
      <c r="M60" s="83">
        <f>COUNTIF(Dienstplan!B71:AE71,"NST")</f>
        <v/>
      </c>
      <c r="N60" s="83">
        <f>COUNTIF(Dienstplan!B71:AE71,"KT")</f>
        <v/>
      </c>
      <c r="O60" s="83">
        <f>COUNTIF(Dienstplan!B71:AE71,"Fobi")</f>
        <v/>
      </c>
      <c r="P60" s="83">
        <f>COUNTIF(Dienstplan!B71:AE71,"U")</f>
        <v/>
      </c>
      <c r="Q60" s="83">
        <f>COUNTIF(Dienstplan!B71:AE71,"A")</f>
        <v/>
      </c>
      <c r="R60" s="83">
        <f>COUNTIF(Dienstplan!B71:AE71,"T-ZUG")</f>
        <v/>
      </c>
      <c r="S60" s="83">
        <f>22*$Y$10</f>
        <v/>
      </c>
      <c r="T60" s="83">
        <f>IF(ISNUMBER($AB$3),B60*$AB$3,B60*$Y$10)+IF(ISNUMBER($AB$4),C60*$AB$4,C60*$Y$10)+IF(ISNUMBER($AB$5),D60*$AB$5,D60*$Y$10)+IF(ISNUMBER($AB$6),E60*$AB$6,E60*$Y$10)+IF(ISNUMBER($AB$7),F60*$AB$7,F60*$Y$10)+IF(ISNUMBER($AB$8),G60*$AB$8,G60*$Y$10)+IF(ISNUMBER($AB$9),H60*$AB$9,H60*$Y$10)+IF(ISNUMBER($AB$10),I60*$AB$10,I60*$Y$10)+IF(ISNUMBER($AB$11),J60*$AB$11,J60*$Y$10)+IF(ISNUMBER($AB$12),K60*$AB$12,K60*$Y$10)+IF(ISNUMBER($AB$13),L60*$AB$13,L60*$Y$10)+IF(ISNUMBER($AB$14),M60*$AB$14,M60*$Y$10)+IF(ISNUMBER($AB$15),N60*$AB$15,N60*$Y$10)+IF(ISNUMBER($AB$16),O60*$AB$16,O60*$Y$10)+IF(ISNUMBER($AB$17),P60*$AB$17,P60*$Y$10)+IF(ISNUMBER($AB$18),Q60*$AB$18,Q60*$Y$10)+IF(ISNUMBER($AB$19),R60*$AB$19,R60*$Y$10)</f>
        <v/>
      </c>
      <c r="U60" s="84">
        <f>T60-S60</f>
        <v/>
      </c>
    </row>
    <row r="61" ht="16" customHeight="1">
      <c r="A61" s="43" t="inlineStr">
        <is>
          <t>Putschler</t>
        </is>
      </c>
      <c r="B61" s="81">
        <f>COUNTIF(Dienstplan!B72:AE72,"FI")</f>
        <v/>
      </c>
      <c r="C61" s="81">
        <f>COUNTIF(Dienstplan!B72:AE72,"FII")</f>
        <v/>
      </c>
      <c r="D61" s="81">
        <f>COUNTIF(Dienstplan!B72:AE72,"SI")</f>
        <v/>
      </c>
      <c r="E61" s="81">
        <f>COUNTIF(Dienstplan!B72:AE72,"SII")</f>
        <v/>
      </c>
      <c r="F61" s="81">
        <f>COUNTIF(Dienstplan!B72:AE72,"NI")</f>
        <v/>
      </c>
      <c r="G61" s="81">
        <f>COUNTIF(Dienstplan!B72:AE72,"DI")</f>
        <v/>
      </c>
      <c r="H61" s="81">
        <f>COUNTIF(Dienstplan!B72:AE72,"DII")</f>
        <v/>
      </c>
      <c r="I61" s="81">
        <f>COUNTIF(Dienstplan!B72:AE72,"KU")</f>
        <v/>
      </c>
      <c r="J61" s="81">
        <f>COUNTIF(Dienstplan!B72:AE72,"EH")</f>
        <v/>
      </c>
      <c r="K61" s="81">
        <f>COUNTIF(Dienstplan!B72:AE72,"SD")</f>
        <v/>
      </c>
      <c r="L61" s="81">
        <f>COUNTIF(Dienstplan!B72:AE72,"GT")</f>
        <v/>
      </c>
      <c r="M61" s="81">
        <f>COUNTIF(Dienstplan!B72:AE72,"NST")</f>
        <v/>
      </c>
      <c r="N61" s="81">
        <f>COUNTIF(Dienstplan!B72:AE72,"KT")</f>
        <v/>
      </c>
      <c r="O61" s="81">
        <f>COUNTIF(Dienstplan!B72:AE72,"Fobi")</f>
        <v/>
      </c>
      <c r="P61" s="81">
        <f>COUNTIF(Dienstplan!B72:AE72,"U")</f>
        <v/>
      </c>
      <c r="Q61" s="81">
        <f>COUNTIF(Dienstplan!B72:AE72,"A")</f>
        <v/>
      </c>
      <c r="R61" s="81">
        <f>COUNTIF(Dienstplan!B72:AE72,"T-ZUG")</f>
        <v/>
      </c>
      <c r="S61" s="81">
        <f>22*$Y$11</f>
        <v/>
      </c>
      <c r="T61" s="81">
        <f>IF(ISNUMBER($AB$3),B61*$AB$3,B61*$Y$11)+IF(ISNUMBER($AB$4),C61*$AB$4,C61*$Y$11)+IF(ISNUMBER($AB$5),D61*$AB$5,D61*$Y$11)+IF(ISNUMBER($AB$6),E61*$AB$6,E61*$Y$11)+IF(ISNUMBER($AB$7),F61*$AB$7,F61*$Y$11)+IF(ISNUMBER($AB$8),G61*$AB$8,G61*$Y$11)+IF(ISNUMBER($AB$9),H61*$AB$9,H61*$Y$11)+IF(ISNUMBER($AB$10),I61*$AB$10,I61*$Y$11)+IF(ISNUMBER($AB$11),J61*$AB$11,J61*$Y$11)+IF(ISNUMBER($AB$12),K61*$AB$12,K61*$Y$11)+IF(ISNUMBER($AB$13),L61*$AB$13,L61*$Y$11)+IF(ISNUMBER($AB$14),M61*$AB$14,M61*$Y$11)+IF(ISNUMBER($AB$15),N61*$AB$15,N61*$Y$11)+IF(ISNUMBER($AB$16),O61*$AB$16,O61*$Y$11)+IF(ISNUMBER($AB$17),P61*$AB$17,P61*$Y$11)+IF(ISNUMBER($AB$18),Q61*$AB$18,Q61*$Y$11)+IF(ISNUMBER($AB$19),R61*$AB$19,R61*$Y$11)</f>
        <v/>
      </c>
      <c r="U61" s="82">
        <f>T61-S61</f>
        <v/>
      </c>
    </row>
    <row r="62" ht="16" customHeight="1">
      <c r="A62" s="43" t="inlineStr">
        <is>
          <t>Kunz</t>
        </is>
      </c>
      <c r="B62" s="83">
        <f>COUNTIF(Dienstplan!B73:AE73,"FI")</f>
        <v/>
      </c>
      <c r="C62" s="83">
        <f>COUNTIF(Dienstplan!B73:AE73,"FII")</f>
        <v/>
      </c>
      <c r="D62" s="83">
        <f>COUNTIF(Dienstplan!B73:AE73,"SI")</f>
        <v/>
      </c>
      <c r="E62" s="83">
        <f>COUNTIF(Dienstplan!B73:AE73,"SII")</f>
        <v/>
      </c>
      <c r="F62" s="83">
        <f>COUNTIF(Dienstplan!B73:AE73,"NI")</f>
        <v/>
      </c>
      <c r="G62" s="83">
        <f>COUNTIF(Dienstplan!B73:AE73,"DI")</f>
        <v/>
      </c>
      <c r="H62" s="83">
        <f>COUNTIF(Dienstplan!B73:AE73,"DII")</f>
        <v/>
      </c>
      <c r="I62" s="83">
        <f>COUNTIF(Dienstplan!B73:AE73,"KU")</f>
        <v/>
      </c>
      <c r="J62" s="83">
        <f>COUNTIF(Dienstplan!B73:AE73,"EH")</f>
        <v/>
      </c>
      <c r="K62" s="83">
        <f>COUNTIF(Dienstplan!B73:AE73,"SD")</f>
        <v/>
      </c>
      <c r="L62" s="83">
        <f>COUNTIF(Dienstplan!B73:AE73,"GT")</f>
        <v/>
      </c>
      <c r="M62" s="83">
        <f>COUNTIF(Dienstplan!B73:AE73,"NST")</f>
        <v/>
      </c>
      <c r="N62" s="83">
        <f>COUNTIF(Dienstplan!B73:AE73,"KT")</f>
        <v/>
      </c>
      <c r="O62" s="83">
        <f>COUNTIF(Dienstplan!B73:AE73,"Fobi")</f>
        <v/>
      </c>
      <c r="P62" s="83">
        <f>COUNTIF(Dienstplan!B73:AE73,"U")</f>
        <v/>
      </c>
      <c r="Q62" s="83">
        <f>COUNTIF(Dienstplan!B73:AE73,"A")</f>
        <v/>
      </c>
      <c r="R62" s="83">
        <f>COUNTIF(Dienstplan!B73:AE73,"T-ZUG")</f>
        <v/>
      </c>
      <c r="S62" s="83">
        <f>22*$Y$12</f>
        <v/>
      </c>
      <c r="T62" s="83">
        <f>IF(ISNUMBER($AB$3),B62*$AB$3,B62*$Y$12)+IF(ISNUMBER($AB$4),C62*$AB$4,C62*$Y$12)+IF(ISNUMBER($AB$5),D62*$AB$5,D62*$Y$12)+IF(ISNUMBER($AB$6),E62*$AB$6,E62*$Y$12)+IF(ISNUMBER($AB$7),F62*$AB$7,F62*$Y$12)+IF(ISNUMBER($AB$8),G62*$AB$8,G62*$Y$12)+IF(ISNUMBER($AB$9),H62*$AB$9,H62*$Y$12)+IF(ISNUMBER($AB$10),I62*$AB$10,I62*$Y$12)+IF(ISNUMBER($AB$11),J62*$AB$11,J62*$Y$12)+IF(ISNUMBER($AB$12),K62*$AB$12,K62*$Y$12)+IF(ISNUMBER($AB$13),L62*$AB$13,L62*$Y$12)+IF(ISNUMBER($AB$14),M62*$AB$14,M62*$Y$12)+IF(ISNUMBER($AB$15),N62*$AB$15,N62*$Y$12)+IF(ISNUMBER($AB$16),O62*$AB$16,O62*$Y$12)+IF(ISNUMBER($AB$17),P62*$AB$17,P62*$Y$12)+IF(ISNUMBER($AB$18),Q62*$AB$18,Q62*$Y$12)+IF(ISNUMBER($AB$19),R62*$AB$19,R62*$Y$12)</f>
        <v/>
      </c>
      <c r="U62" s="84">
        <f>T62-S62</f>
        <v/>
      </c>
    </row>
    <row r="63" ht="16" customHeight="1">
      <c r="A63" s="43" t="inlineStr">
        <is>
          <t>Schmidt</t>
        </is>
      </c>
      <c r="B63" s="81">
        <f>COUNTIF(Dienstplan!B74:AE74,"FI")</f>
        <v/>
      </c>
      <c r="C63" s="81">
        <f>COUNTIF(Dienstplan!B74:AE74,"FII")</f>
        <v/>
      </c>
      <c r="D63" s="81">
        <f>COUNTIF(Dienstplan!B74:AE74,"SI")</f>
        <v/>
      </c>
      <c r="E63" s="81">
        <f>COUNTIF(Dienstplan!B74:AE74,"SII")</f>
        <v/>
      </c>
      <c r="F63" s="81">
        <f>COUNTIF(Dienstplan!B74:AE74,"NI")</f>
        <v/>
      </c>
      <c r="G63" s="81">
        <f>COUNTIF(Dienstplan!B74:AE74,"DI")</f>
        <v/>
      </c>
      <c r="H63" s="81">
        <f>COUNTIF(Dienstplan!B74:AE74,"DII")</f>
        <v/>
      </c>
      <c r="I63" s="81">
        <f>COUNTIF(Dienstplan!B74:AE74,"KU")</f>
        <v/>
      </c>
      <c r="J63" s="81">
        <f>COUNTIF(Dienstplan!B74:AE74,"EH")</f>
        <v/>
      </c>
      <c r="K63" s="81">
        <f>COUNTIF(Dienstplan!B74:AE74,"SD")</f>
        <v/>
      </c>
      <c r="L63" s="81">
        <f>COUNTIF(Dienstplan!B74:AE74,"GT")</f>
        <v/>
      </c>
      <c r="M63" s="81">
        <f>COUNTIF(Dienstplan!B74:AE74,"NST")</f>
        <v/>
      </c>
      <c r="N63" s="81">
        <f>COUNTIF(Dienstplan!B74:AE74,"KT")</f>
        <v/>
      </c>
      <c r="O63" s="81">
        <f>COUNTIF(Dienstplan!B74:AE74,"Fobi")</f>
        <v/>
      </c>
      <c r="P63" s="81">
        <f>COUNTIF(Dienstplan!B74:AE74,"U")</f>
        <v/>
      </c>
      <c r="Q63" s="81">
        <f>COUNTIF(Dienstplan!B74:AE74,"A")</f>
        <v/>
      </c>
      <c r="R63" s="81">
        <f>COUNTIF(Dienstplan!B74:AE74,"T-ZUG")</f>
        <v/>
      </c>
      <c r="S63" s="81">
        <f>22*$Y$13</f>
        <v/>
      </c>
      <c r="T63" s="81">
        <f>IF(ISNUMBER($AB$3),B63*$AB$3,B63*$Y$13)+IF(ISNUMBER($AB$4),C63*$AB$4,C63*$Y$13)+IF(ISNUMBER($AB$5),D63*$AB$5,D63*$Y$13)+IF(ISNUMBER($AB$6),E63*$AB$6,E63*$Y$13)+IF(ISNUMBER($AB$7),F63*$AB$7,F63*$Y$13)+IF(ISNUMBER($AB$8),G63*$AB$8,G63*$Y$13)+IF(ISNUMBER($AB$9),H63*$AB$9,H63*$Y$13)+IF(ISNUMBER($AB$10),I63*$AB$10,I63*$Y$13)+IF(ISNUMBER($AB$11),J63*$AB$11,J63*$Y$13)+IF(ISNUMBER($AB$12),K63*$AB$12,K63*$Y$13)+IF(ISNUMBER($AB$13),L63*$AB$13,L63*$Y$13)+IF(ISNUMBER($AB$14),M63*$AB$14,M63*$Y$13)+IF(ISNUMBER($AB$15),N63*$AB$15,N63*$Y$13)+IF(ISNUMBER($AB$16),O63*$AB$16,O63*$Y$13)+IF(ISNUMBER($AB$17),P63*$AB$17,P63*$Y$13)+IF(ISNUMBER($AB$18),Q63*$AB$18,Q63*$Y$13)+IF(ISNUMBER($AB$19),R63*$AB$19,R63*$Y$13)</f>
        <v/>
      </c>
      <c r="U63" s="82">
        <f>T63-S63</f>
        <v/>
      </c>
    </row>
    <row r="64" ht="16" customHeight="1">
      <c r="A64" s="43" t="inlineStr">
        <is>
          <t>Radimersky</t>
        </is>
      </c>
      <c r="B64" s="83">
        <f>COUNTIF(Dienstplan!B75:AE75,"FI")</f>
        <v/>
      </c>
      <c r="C64" s="83">
        <f>COUNTIF(Dienstplan!B75:AE75,"FII")</f>
        <v/>
      </c>
      <c r="D64" s="83">
        <f>COUNTIF(Dienstplan!B75:AE75,"SI")</f>
        <v/>
      </c>
      <c r="E64" s="83">
        <f>COUNTIF(Dienstplan!B75:AE75,"SII")</f>
        <v/>
      </c>
      <c r="F64" s="83">
        <f>COUNTIF(Dienstplan!B75:AE75,"NI")</f>
        <v/>
      </c>
      <c r="G64" s="83">
        <f>COUNTIF(Dienstplan!B75:AE75,"DI")</f>
        <v/>
      </c>
      <c r="H64" s="83">
        <f>COUNTIF(Dienstplan!B75:AE75,"DII")</f>
        <v/>
      </c>
      <c r="I64" s="83">
        <f>COUNTIF(Dienstplan!B75:AE75,"KU")</f>
        <v/>
      </c>
      <c r="J64" s="83">
        <f>COUNTIF(Dienstplan!B75:AE75,"EH")</f>
        <v/>
      </c>
      <c r="K64" s="83">
        <f>COUNTIF(Dienstplan!B75:AE75,"SD")</f>
        <v/>
      </c>
      <c r="L64" s="83">
        <f>COUNTIF(Dienstplan!B75:AE75,"GT")</f>
        <v/>
      </c>
      <c r="M64" s="83">
        <f>COUNTIF(Dienstplan!B75:AE75,"NST")</f>
        <v/>
      </c>
      <c r="N64" s="83">
        <f>COUNTIF(Dienstplan!B75:AE75,"KT")</f>
        <v/>
      </c>
      <c r="O64" s="83">
        <f>COUNTIF(Dienstplan!B75:AE75,"Fobi")</f>
        <v/>
      </c>
      <c r="P64" s="83">
        <f>COUNTIF(Dienstplan!B75:AE75,"U")</f>
        <v/>
      </c>
      <c r="Q64" s="83">
        <f>COUNTIF(Dienstplan!B75:AE75,"A")</f>
        <v/>
      </c>
      <c r="R64" s="83">
        <f>COUNTIF(Dienstplan!B75:AE75,"T-ZUG")</f>
        <v/>
      </c>
      <c r="S64" s="83">
        <f>22*$Y$14</f>
        <v/>
      </c>
      <c r="T64" s="83">
        <f>IF(ISNUMBER($AB$3),B64*$AB$3,B64*$Y$14)+IF(ISNUMBER($AB$4),C64*$AB$4,C64*$Y$14)+IF(ISNUMBER($AB$5),D64*$AB$5,D64*$Y$14)+IF(ISNUMBER($AB$6),E64*$AB$6,E64*$Y$14)+IF(ISNUMBER($AB$7),F64*$AB$7,F64*$Y$14)+IF(ISNUMBER($AB$8),G64*$AB$8,G64*$Y$14)+IF(ISNUMBER($AB$9),H64*$AB$9,H64*$Y$14)+IF(ISNUMBER($AB$10),I64*$AB$10,I64*$Y$14)+IF(ISNUMBER($AB$11),J64*$AB$11,J64*$Y$14)+IF(ISNUMBER($AB$12),K64*$AB$12,K64*$Y$14)+IF(ISNUMBER($AB$13),L64*$AB$13,L64*$Y$14)+IF(ISNUMBER($AB$14),M64*$AB$14,M64*$Y$14)+IF(ISNUMBER($AB$15),N64*$AB$15,N64*$Y$14)+IF(ISNUMBER($AB$16),O64*$AB$16,O64*$Y$14)+IF(ISNUMBER($AB$17),P64*$AB$17,P64*$Y$14)+IF(ISNUMBER($AB$18),Q64*$AB$18,Q64*$Y$14)+IF(ISNUMBER($AB$19),R64*$AB$19,R64*$Y$14)</f>
        <v/>
      </c>
      <c r="U64" s="84">
        <f>T64-S64</f>
        <v/>
      </c>
    </row>
    <row r="65" ht="18" customHeight="1">
      <c r="A65" s="88" t="inlineStr">
        <is>
          <t>Summe</t>
        </is>
      </c>
      <c r="B65" s="89">
        <f>SUM(B53:B64)</f>
        <v/>
      </c>
      <c r="C65" s="89">
        <f>SUM(C53:C64)</f>
        <v/>
      </c>
      <c r="D65" s="89">
        <f>SUM(D53:D64)</f>
        <v/>
      </c>
      <c r="E65" s="89">
        <f>SUM(E53:E64)</f>
        <v/>
      </c>
      <c r="F65" s="89">
        <f>SUM(F53:F64)</f>
        <v/>
      </c>
      <c r="G65" s="89">
        <f>SUM(G53:G64)</f>
        <v/>
      </c>
      <c r="H65" s="89">
        <f>SUM(H53:H64)</f>
        <v/>
      </c>
      <c r="I65" s="89">
        <f>SUM(I53:I64)</f>
        <v/>
      </c>
      <c r="J65" s="89">
        <f>SUM(J53:J64)</f>
        <v/>
      </c>
      <c r="K65" s="89">
        <f>SUM(K53:K64)</f>
        <v/>
      </c>
      <c r="L65" s="89">
        <f>SUM(L53:L64)</f>
        <v/>
      </c>
      <c r="M65" s="89">
        <f>SUM(M53:M64)</f>
        <v/>
      </c>
      <c r="N65" s="89">
        <f>SUM(N53:N64)</f>
        <v/>
      </c>
      <c r="O65" s="89">
        <f>SUM(O53:O64)</f>
        <v/>
      </c>
      <c r="P65" s="89">
        <f>SUM(P53:P64)</f>
        <v/>
      </c>
      <c r="Q65" s="89">
        <f>SUM(Q53:Q64)</f>
        <v/>
      </c>
      <c r="R65" s="89">
        <f>SUM(R53:R64)</f>
        <v/>
      </c>
      <c r="S65" s="89">
        <f>SUM(S53:S64)</f>
        <v/>
      </c>
      <c r="T65" s="89">
        <f>SUM(T53:T64)</f>
        <v/>
      </c>
      <c r="U65" s="90">
        <f>SUM(U53:U64)</f>
        <v/>
      </c>
    </row>
    <row r="67">
      <c r="A67" s="2" t="inlineStr">
        <is>
          <t>Mai</t>
        </is>
      </c>
      <c r="C67" t="inlineStr">
        <is>
          <t>AT:</t>
        </is>
      </c>
      <c r="D67" s="78" t="n">
        <v>18</v>
      </c>
      <c r="F67" t="inlineStr">
        <is>
          <t>Sa:</t>
        </is>
      </c>
      <c r="G67" s="78" t="n">
        <v>5</v>
      </c>
    </row>
    <row r="68" ht="18" customHeight="1">
      <c r="A68" s="34" t="inlineStr">
        <is>
          <t>MA</t>
        </is>
      </c>
      <c r="B68" s="36" t="inlineStr">
        <is>
          <t>FI</t>
        </is>
      </c>
      <c r="C68" s="36" t="inlineStr">
        <is>
          <t>FII</t>
        </is>
      </c>
      <c r="D68" s="36" t="inlineStr">
        <is>
          <t>SI</t>
        </is>
      </c>
      <c r="E68" s="36" t="inlineStr">
        <is>
          <t>SII</t>
        </is>
      </c>
      <c r="F68" s="36" t="inlineStr">
        <is>
          <t>NI</t>
        </is>
      </c>
      <c r="G68" s="36" t="inlineStr">
        <is>
          <t>DI</t>
        </is>
      </c>
      <c r="H68" s="36" t="inlineStr">
        <is>
          <t>DII</t>
        </is>
      </c>
      <c r="I68" s="36" t="inlineStr">
        <is>
          <t>KU</t>
        </is>
      </c>
      <c r="J68" s="36" t="inlineStr">
        <is>
          <t>EH</t>
        </is>
      </c>
      <c r="K68" s="36" t="inlineStr">
        <is>
          <t>SD</t>
        </is>
      </c>
      <c r="L68" s="36" t="inlineStr">
        <is>
          <t>GT</t>
        </is>
      </c>
      <c r="M68" s="36" t="inlineStr">
        <is>
          <t>NST</t>
        </is>
      </c>
      <c r="N68" s="36" t="inlineStr">
        <is>
          <t>KT</t>
        </is>
      </c>
      <c r="O68" s="36" t="inlineStr">
        <is>
          <t>Fobi</t>
        </is>
      </c>
      <c r="P68" s="36" t="inlineStr">
        <is>
          <t>U</t>
        </is>
      </c>
      <c r="Q68" s="36" t="inlineStr">
        <is>
          <t>A</t>
        </is>
      </c>
      <c r="R68" s="36" t="inlineStr">
        <is>
          <t>T-ZUG</t>
        </is>
      </c>
      <c r="S68" s="36" t="inlineStr">
        <is>
          <t>Soll</t>
        </is>
      </c>
      <c r="T68" s="36" t="inlineStr">
        <is>
          <t>Ist</t>
        </is>
      </c>
      <c r="U68" s="65" t="inlineStr">
        <is>
          <t>Diff</t>
        </is>
      </c>
    </row>
    <row r="69" ht="16" customHeight="1">
      <c r="A69" s="43" t="inlineStr">
        <is>
          <t>Breig</t>
        </is>
      </c>
      <c r="B69" s="81">
        <f>COUNTIF(Dienstplan!B83:AF83,"FI")</f>
        <v/>
      </c>
      <c r="C69" s="81">
        <f>COUNTIF(Dienstplan!B83:AF83,"FII")</f>
        <v/>
      </c>
      <c r="D69" s="81">
        <f>COUNTIF(Dienstplan!B83:AF83,"SI")</f>
        <v/>
      </c>
      <c r="E69" s="81">
        <f>COUNTIF(Dienstplan!B83:AF83,"SII")</f>
        <v/>
      </c>
      <c r="F69" s="81">
        <f>COUNTIF(Dienstplan!B83:AF83,"NI")</f>
        <v/>
      </c>
      <c r="G69" s="81">
        <f>COUNTIF(Dienstplan!B83:AF83,"DI")</f>
        <v/>
      </c>
      <c r="H69" s="81">
        <f>COUNTIF(Dienstplan!B83:AF83,"DII")</f>
        <v/>
      </c>
      <c r="I69" s="81">
        <f>COUNTIF(Dienstplan!B83:AF83,"KU")</f>
        <v/>
      </c>
      <c r="J69" s="81">
        <f>COUNTIF(Dienstplan!B83:AF83,"EH")</f>
        <v/>
      </c>
      <c r="K69" s="81">
        <f>COUNTIF(Dienstplan!B83:AF83,"SD")</f>
        <v/>
      </c>
      <c r="L69" s="81">
        <f>COUNTIF(Dienstplan!B83:AF83,"GT")</f>
        <v/>
      </c>
      <c r="M69" s="81">
        <f>COUNTIF(Dienstplan!B83:AF83,"NST")</f>
        <v/>
      </c>
      <c r="N69" s="81">
        <f>COUNTIF(Dienstplan!B83:AF83,"KT")</f>
        <v/>
      </c>
      <c r="O69" s="81">
        <f>COUNTIF(Dienstplan!B83:AF83,"Fobi")</f>
        <v/>
      </c>
      <c r="P69" s="81">
        <f>COUNTIF(Dienstplan!B83:AF83,"U")</f>
        <v/>
      </c>
      <c r="Q69" s="81">
        <f>COUNTIF(Dienstplan!B83:AF83,"A")</f>
        <v/>
      </c>
      <c r="R69" s="81">
        <f>COUNTIF(Dienstplan!B83:AF83,"T-ZUG")</f>
        <v/>
      </c>
      <c r="S69" s="81">
        <f>18*$Y$3</f>
        <v/>
      </c>
      <c r="T69" s="81">
        <f>IF(ISNUMBER($AB$3),B69*$AB$3,B69*$Y$3)+IF(ISNUMBER($AB$4),C69*$AB$4,C69*$Y$3)+IF(ISNUMBER($AB$5),D69*$AB$5,D69*$Y$3)+IF(ISNUMBER($AB$6),E69*$AB$6,E69*$Y$3)+IF(ISNUMBER($AB$7),F69*$AB$7,F69*$Y$3)+IF(ISNUMBER($AB$8),G69*$AB$8,G69*$Y$3)+IF(ISNUMBER($AB$9),H69*$AB$9,H69*$Y$3)+IF(ISNUMBER($AB$10),I69*$AB$10,I69*$Y$3)+IF(ISNUMBER($AB$11),J69*$AB$11,J69*$Y$3)+IF(ISNUMBER($AB$12),K69*$AB$12,K69*$Y$3)+IF(ISNUMBER($AB$13),L69*$AB$13,L69*$Y$3)+IF(ISNUMBER($AB$14),M69*$AB$14,M69*$Y$3)+IF(ISNUMBER($AB$15),N69*$AB$15,N69*$Y$3)+IF(ISNUMBER($AB$16),O69*$AB$16,O69*$Y$3)+IF(ISNUMBER($AB$17),P69*$AB$17,P69*$Y$3)+IF(ISNUMBER($AB$18),Q69*$AB$18,Q69*$Y$3)+IF(ISNUMBER($AB$19),R69*$AB$19,R69*$Y$3)</f>
        <v/>
      </c>
      <c r="U69" s="82">
        <f>T69-S69</f>
        <v/>
      </c>
    </row>
    <row r="70" ht="16" customHeight="1">
      <c r="A70" s="43" t="inlineStr">
        <is>
          <t>Siebert</t>
        </is>
      </c>
      <c r="B70" s="83">
        <f>COUNTIF(Dienstplan!B84:AF84,"FI")</f>
        <v/>
      </c>
      <c r="C70" s="83">
        <f>COUNTIF(Dienstplan!B84:AF84,"FII")</f>
        <v/>
      </c>
      <c r="D70" s="83">
        <f>COUNTIF(Dienstplan!B84:AF84,"SI")</f>
        <v/>
      </c>
      <c r="E70" s="83">
        <f>COUNTIF(Dienstplan!B84:AF84,"SII")</f>
        <v/>
      </c>
      <c r="F70" s="83">
        <f>COUNTIF(Dienstplan!B84:AF84,"NI")</f>
        <v/>
      </c>
      <c r="G70" s="83">
        <f>COUNTIF(Dienstplan!B84:AF84,"DI")</f>
        <v/>
      </c>
      <c r="H70" s="83">
        <f>COUNTIF(Dienstplan!B84:AF84,"DII")</f>
        <v/>
      </c>
      <c r="I70" s="83">
        <f>COUNTIF(Dienstplan!B84:AF84,"KU")</f>
        <v/>
      </c>
      <c r="J70" s="83">
        <f>COUNTIF(Dienstplan!B84:AF84,"EH")</f>
        <v/>
      </c>
      <c r="K70" s="83">
        <f>COUNTIF(Dienstplan!B84:AF84,"SD")</f>
        <v/>
      </c>
      <c r="L70" s="83">
        <f>COUNTIF(Dienstplan!B84:AF84,"GT")</f>
        <v/>
      </c>
      <c r="M70" s="83">
        <f>COUNTIF(Dienstplan!B84:AF84,"NST")</f>
        <v/>
      </c>
      <c r="N70" s="83">
        <f>COUNTIF(Dienstplan!B84:AF84,"KT")</f>
        <v/>
      </c>
      <c r="O70" s="83">
        <f>COUNTIF(Dienstplan!B84:AF84,"Fobi")</f>
        <v/>
      </c>
      <c r="P70" s="83">
        <f>COUNTIF(Dienstplan!B84:AF84,"U")</f>
        <v/>
      </c>
      <c r="Q70" s="83">
        <f>COUNTIF(Dienstplan!B84:AF84,"A")</f>
        <v/>
      </c>
      <c r="R70" s="83">
        <f>COUNTIF(Dienstplan!B84:AF84,"T-ZUG")</f>
        <v/>
      </c>
      <c r="S70" s="83">
        <f>18*$Y$4</f>
        <v/>
      </c>
      <c r="T70" s="83">
        <f>IF(ISNUMBER($AB$3),B70*$AB$3,B70*$Y$4)+IF(ISNUMBER($AB$4),C70*$AB$4,C70*$Y$4)+IF(ISNUMBER($AB$5),D70*$AB$5,D70*$Y$4)+IF(ISNUMBER($AB$6),E70*$AB$6,E70*$Y$4)+IF(ISNUMBER($AB$7),F70*$AB$7,F70*$Y$4)+IF(ISNUMBER($AB$8),G70*$AB$8,G70*$Y$4)+IF(ISNUMBER($AB$9),H70*$AB$9,H70*$Y$4)+IF(ISNUMBER($AB$10),I70*$AB$10,I70*$Y$4)+IF(ISNUMBER($AB$11),J70*$AB$11,J70*$Y$4)+IF(ISNUMBER($AB$12),K70*$AB$12,K70*$Y$4)+IF(ISNUMBER($AB$13),L70*$AB$13,L70*$Y$4)+IF(ISNUMBER($AB$14),M70*$AB$14,M70*$Y$4)+IF(ISNUMBER($AB$15),N70*$AB$15,N70*$Y$4)+IF(ISNUMBER($AB$16),O70*$AB$16,O70*$Y$4)+IF(ISNUMBER($AB$17),P70*$AB$17,P70*$Y$4)+IF(ISNUMBER($AB$18),Q70*$AB$18,Q70*$Y$4)+IF(ISNUMBER($AB$19),R70*$AB$19,R70*$Y$4)</f>
        <v/>
      </c>
      <c r="U70" s="84">
        <f>T70-S70</f>
        <v/>
      </c>
    </row>
    <row r="71" ht="16" customHeight="1">
      <c r="A71" s="43" t="inlineStr">
        <is>
          <t>Jochim</t>
        </is>
      </c>
      <c r="B71" s="81">
        <f>COUNTIF(Dienstplan!B85:AF85,"FI")</f>
        <v/>
      </c>
      <c r="C71" s="81">
        <f>COUNTIF(Dienstplan!B85:AF85,"FII")</f>
        <v/>
      </c>
      <c r="D71" s="81">
        <f>COUNTIF(Dienstplan!B85:AF85,"SI")</f>
        <v/>
      </c>
      <c r="E71" s="81">
        <f>COUNTIF(Dienstplan!B85:AF85,"SII")</f>
        <v/>
      </c>
      <c r="F71" s="81">
        <f>COUNTIF(Dienstplan!B85:AF85,"NI")</f>
        <v/>
      </c>
      <c r="G71" s="81">
        <f>COUNTIF(Dienstplan!B85:AF85,"DI")</f>
        <v/>
      </c>
      <c r="H71" s="81">
        <f>COUNTIF(Dienstplan!B85:AF85,"DII")</f>
        <v/>
      </c>
      <c r="I71" s="81">
        <f>COUNTIF(Dienstplan!B85:AF85,"KU")</f>
        <v/>
      </c>
      <c r="J71" s="81">
        <f>COUNTIF(Dienstplan!B85:AF85,"EH")</f>
        <v/>
      </c>
      <c r="K71" s="81">
        <f>COUNTIF(Dienstplan!B85:AF85,"SD")</f>
        <v/>
      </c>
      <c r="L71" s="81">
        <f>COUNTIF(Dienstplan!B85:AF85,"GT")</f>
        <v/>
      </c>
      <c r="M71" s="81">
        <f>COUNTIF(Dienstplan!B85:AF85,"NST")</f>
        <v/>
      </c>
      <c r="N71" s="81">
        <f>COUNTIF(Dienstplan!B85:AF85,"KT")</f>
        <v/>
      </c>
      <c r="O71" s="81">
        <f>COUNTIF(Dienstplan!B85:AF85,"Fobi")</f>
        <v/>
      </c>
      <c r="P71" s="81">
        <f>COUNTIF(Dienstplan!B85:AF85,"U")</f>
        <v/>
      </c>
      <c r="Q71" s="81">
        <f>COUNTIF(Dienstplan!B85:AF85,"A")</f>
        <v/>
      </c>
      <c r="R71" s="81">
        <f>COUNTIF(Dienstplan!B85:AF85,"T-ZUG")</f>
        <v/>
      </c>
      <c r="S71" s="81">
        <f>18*$Y$5</f>
        <v/>
      </c>
      <c r="T71" s="81">
        <f>IF(ISNUMBER($AB$3),B71*$AB$3,B71*$Y$5)+IF(ISNUMBER($AB$4),C71*$AB$4,C71*$Y$5)+IF(ISNUMBER($AB$5),D71*$AB$5,D71*$Y$5)+IF(ISNUMBER($AB$6),E71*$AB$6,E71*$Y$5)+IF(ISNUMBER($AB$7),F71*$AB$7,F71*$Y$5)+IF(ISNUMBER($AB$8),G71*$AB$8,G71*$Y$5)+IF(ISNUMBER($AB$9),H71*$AB$9,H71*$Y$5)+IF(ISNUMBER($AB$10),I71*$AB$10,I71*$Y$5)+IF(ISNUMBER($AB$11),J71*$AB$11,J71*$Y$5)+IF(ISNUMBER($AB$12),K71*$AB$12,K71*$Y$5)+IF(ISNUMBER($AB$13),L71*$AB$13,L71*$Y$5)+IF(ISNUMBER($AB$14),M71*$AB$14,M71*$Y$5)+IF(ISNUMBER($AB$15),N71*$AB$15,N71*$Y$5)+IF(ISNUMBER($AB$16),O71*$AB$16,O71*$Y$5)+IF(ISNUMBER($AB$17),P71*$AB$17,P71*$Y$5)+IF(ISNUMBER($AB$18),Q71*$AB$18,Q71*$Y$5)+IF(ISNUMBER($AB$19),R71*$AB$19,R71*$Y$5)</f>
        <v/>
      </c>
      <c r="U71" s="82">
        <f>T71-S71</f>
        <v/>
      </c>
    </row>
    <row r="72" ht="16" customHeight="1">
      <c r="A72" s="43" t="inlineStr">
        <is>
          <t>Wunsch</t>
        </is>
      </c>
      <c r="B72" s="83">
        <f>COUNTIF(Dienstplan!B86:AF86,"FI")</f>
        <v/>
      </c>
      <c r="C72" s="83">
        <f>COUNTIF(Dienstplan!B86:AF86,"FII")</f>
        <v/>
      </c>
      <c r="D72" s="83">
        <f>COUNTIF(Dienstplan!B86:AF86,"SI")</f>
        <v/>
      </c>
      <c r="E72" s="83">
        <f>COUNTIF(Dienstplan!B86:AF86,"SII")</f>
        <v/>
      </c>
      <c r="F72" s="83">
        <f>COUNTIF(Dienstplan!B86:AF86,"NI")</f>
        <v/>
      </c>
      <c r="G72" s="83">
        <f>COUNTIF(Dienstplan!B86:AF86,"DI")</f>
        <v/>
      </c>
      <c r="H72" s="83">
        <f>COUNTIF(Dienstplan!B86:AF86,"DII")</f>
        <v/>
      </c>
      <c r="I72" s="83">
        <f>COUNTIF(Dienstplan!B86:AF86,"KU")</f>
        <v/>
      </c>
      <c r="J72" s="83">
        <f>COUNTIF(Dienstplan!B86:AF86,"EH")</f>
        <v/>
      </c>
      <c r="K72" s="83">
        <f>COUNTIF(Dienstplan!B86:AF86,"SD")</f>
        <v/>
      </c>
      <c r="L72" s="83">
        <f>COUNTIF(Dienstplan!B86:AF86,"GT")</f>
        <v/>
      </c>
      <c r="M72" s="83">
        <f>COUNTIF(Dienstplan!B86:AF86,"NST")</f>
        <v/>
      </c>
      <c r="N72" s="83">
        <f>COUNTIF(Dienstplan!B86:AF86,"KT")</f>
        <v/>
      </c>
      <c r="O72" s="83">
        <f>COUNTIF(Dienstplan!B86:AF86,"Fobi")</f>
        <v/>
      </c>
      <c r="P72" s="83">
        <f>COUNTIF(Dienstplan!B86:AF86,"U")</f>
        <v/>
      </c>
      <c r="Q72" s="83">
        <f>COUNTIF(Dienstplan!B86:AF86,"A")</f>
        <v/>
      </c>
      <c r="R72" s="83">
        <f>COUNTIF(Dienstplan!B86:AF86,"T-ZUG")</f>
        <v/>
      </c>
      <c r="S72" s="83">
        <f>18*$Y$6</f>
        <v/>
      </c>
      <c r="T72" s="83">
        <f>IF(ISNUMBER($AB$3),B72*$AB$3,B72*$Y$6)+IF(ISNUMBER($AB$4),C72*$AB$4,C72*$Y$6)+IF(ISNUMBER($AB$5),D72*$AB$5,D72*$Y$6)+IF(ISNUMBER($AB$6),E72*$AB$6,E72*$Y$6)+IF(ISNUMBER($AB$7),F72*$AB$7,F72*$Y$6)+IF(ISNUMBER($AB$8),G72*$AB$8,G72*$Y$6)+IF(ISNUMBER($AB$9),H72*$AB$9,H72*$Y$6)+IF(ISNUMBER($AB$10),I72*$AB$10,I72*$Y$6)+IF(ISNUMBER($AB$11),J72*$AB$11,J72*$Y$6)+IF(ISNUMBER($AB$12),K72*$AB$12,K72*$Y$6)+IF(ISNUMBER($AB$13),L72*$AB$13,L72*$Y$6)+IF(ISNUMBER($AB$14),M72*$AB$14,M72*$Y$6)+IF(ISNUMBER($AB$15),N72*$AB$15,N72*$Y$6)+IF(ISNUMBER($AB$16),O72*$AB$16,O72*$Y$6)+IF(ISNUMBER($AB$17),P72*$AB$17,P72*$Y$6)+IF(ISNUMBER($AB$18),Q72*$AB$18,Q72*$Y$6)+IF(ISNUMBER($AB$19),R72*$AB$19,R72*$Y$6)</f>
        <v/>
      </c>
      <c r="U72" s="84">
        <f>T72-S72</f>
        <v/>
      </c>
    </row>
    <row r="73" ht="16" customHeight="1">
      <c r="A73" s="43" t="inlineStr">
        <is>
          <t>Göpfrich</t>
        </is>
      </c>
      <c r="B73" s="81">
        <f>COUNTIF(Dienstplan!B87:AF87,"FI")</f>
        <v/>
      </c>
      <c r="C73" s="81">
        <f>COUNTIF(Dienstplan!B87:AF87,"FII")</f>
        <v/>
      </c>
      <c r="D73" s="81">
        <f>COUNTIF(Dienstplan!B87:AF87,"SI")</f>
        <v/>
      </c>
      <c r="E73" s="81">
        <f>COUNTIF(Dienstplan!B87:AF87,"SII")</f>
        <v/>
      </c>
      <c r="F73" s="81">
        <f>COUNTIF(Dienstplan!B87:AF87,"NI")</f>
        <v/>
      </c>
      <c r="G73" s="81">
        <f>COUNTIF(Dienstplan!B87:AF87,"DI")</f>
        <v/>
      </c>
      <c r="H73" s="81">
        <f>COUNTIF(Dienstplan!B87:AF87,"DII")</f>
        <v/>
      </c>
      <c r="I73" s="81">
        <f>COUNTIF(Dienstplan!B87:AF87,"KU")</f>
        <v/>
      </c>
      <c r="J73" s="81">
        <f>COUNTIF(Dienstplan!B87:AF87,"EH")</f>
        <v/>
      </c>
      <c r="K73" s="81">
        <f>COUNTIF(Dienstplan!B87:AF87,"SD")</f>
        <v/>
      </c>
      <c r="L73" s="81">
        <f>COUNTIF(Dienstplan!B87:AF87,"GT")</f>
        <v/>
      </c>
      <c r="M73" s="81">
        <f>COUNTIF(Dienstplan!B87:AF87,"NST")</f>
        <v/>
      </c>
      <c r="N73" s="81">
        <f>COUNTIF(Dienstplan!B87:AF87,"KT")</f>
        <v/>
      </c>
      <c r="O73" s="81">
        <f>COUNTIF(Dienstplan!B87:AF87,"Fobi")</f>
        <v/>
      </c>
      <c r="P73" s="81">
        <f>COUNTIF(Dienstplan!B87:AF87,"U")</f>
        <v/>
      </c>
      <c r="Q73" s="81">
        <f>COUNTIF(Dienstplan!B87:AF87,"A")</f>
        <v/>
      </c>
      <c r="R73" s="81">
        <f>COUNTIF(Dienstplan!B87:AF87,"T-ZUG")</f>
        <v/>
      </c>
      <c r="S73" s="81">
        <f>18*$Y$7</f>
        <v/>
      </c>
      <c r="T73" s="81">
        <f>IF(ISNUMBER($AB$3),B73*$AB$3,B73*$Y$7)+IF(ISNUMBER($AB$4),C73*$AB$4,C73*$Y$7)+IF(ISNUMBER($AB$5),D73*$AB$5,D73*$Y$7)+IF(ISNUMBER($AB$6),E73*$AB$6,E73*$Y$7)+IF(ISNUMBER($AB$7),F73*$AB$7,F73*$Y$7)+IF(ISNUMBER($AB$8),G73*$AB$8,G73*$Y$7)+IF(ISNUMBER($AB$9),H73*$AB$9,H73*$Y$7)+IF(ISNUMBER($AB$10),I73*$AB$10,I73*$Y$7)+IF(ISNUMBER($AB$11),J73*$AB$11,J73*$Y$7)+IF(ISNUMBER($AB$12),K73*$AB$12,K73*$Y$7)+IF(ISNUMBER($AB$13),L73*$AB$13,L73*$Y$7)+IF(ISNUMBER($AB$14),M73*$AB$14,M73*$Y$7)+IF(ISNUMBER($AB$15),N73*$AB$15,N73*$Y$7)+IF(ISNUMBER($AB$16),O73*$AB$16,O73*$Y$7)+IF(ISNUMBER($AB$17),P73*$AB$17,P73*$Y$7)+IF(ISNUMBER($AB$18),Q73*$AB$18,Q73*$Y$7)+IF(ISNUMBER($AB$19),R73*$AB$19,R73*$Y$7)</f>
        <v/>
      </c>
      <c r="U73" s="82">
        <f>T73-S73</f>
        <v/>
      </c>
    </row>
    <row r="74" ht="16" customHeight="1">
      <c r="A74" s="43" t="inlineStr">
        <is>
          <t>Zeller</t>
        </is>
      </c>
      <c r="B74" s="83">
        <f>COUNTIF(Dienstplan!B88:AF88,"FI")</f>
        <v/>
      </c>
      <c r="C74" s="83">
        <f>COUNTIF(Dienstplan!B88:AF88,"FII")</f>
        <v/>
      </c>
      <c r="D74" s="83">
        <f>COUNTIF(Dienstplan!B88:AF88,"SI")</f>
        <v/>
      </c>
      <c r="E74" s="83">
        <f>COUNTIF(Dienstplan!B88:AF88,"SII")</f>
        <v/>
      </c>
      <c r="F74" s="83">
        <f>COUNTIF(Dienstplan!B88:AF88,"NI")</f>
        <v/>
      </c>
      <c r="G74" s="83">
        <f>COUNTIF(Dienstplan!B88:AF88,"DI")</f>
        <v/>
      </c>
      <c r="H74" s="83">
        <f>COUNTIF(Dienstplan!B88:AF88,"DII")</f>
        <v/>
      </c>
      <c r="I74" s="83">
        <f>COUNTIF(Dienstplan!B88:AF88,"KU")</f>
        <v/>
      </c>
      <c r="J74" s="83">
        <f>COUNTIF(Dienstplan!B88:AF88,"EH")</f>
        <v/>
      </c>
      <c r="K74" s="83">
        <f>COUNTIF(Dienstplan!B88:AF88,"SD")</f>
        <v/>
      </c>
      <c r="L74" s="83">
        <f>COUNTIF(Dienstplan!B88:AF88,"GT")</f>
        <v/>
      </c>
      <c r="M74" s="83">
        <f>COUNTIF(Dienstplan!B88:AF88,"NST")</f>
        <v/>
      </c>
      <c r="N74" s="83">
        <f>COUNTIF(Dienstplan!B88:AF88,"KT")</f>
        <v/>
      </c>
      <c r="O74" s="83">
        <f>COUNTIF(Dienstplan!B88:AF88,"Fobi")</f>
        <v/>
      </c>
      <c r="P74" s="83">
        <f>COUNTIF(Dienstplan!B88:AF88,"U")</f>
        <v/>
      </c>
      <c r="Q74" s="83">
        <f>COUNTIF(Dienstplan!B88:AF88,"A")</f>
        <v/>
      </c>
      <c r="R74" s="83">
        <f>COUNTIF(Dienstplan!B88:AF88,"T-ZUG")</f>
        <v/>
      </c>
      <c r="S74" s="83">
        <f>18*$Y$8</f>
        <v/>
      </c>
      <c r="T74" s="83">
        <f>IF(ISNUMBER($AB$3),B74*$AB$3,B74*$Y$8)+IF(ISNUMBER($AB$4),C74*$AB$4,C74*$Y$8)+IF(ISNUMBER($AB$5),D74*$AB$5,D74*$Y$8)+IF(ISNUMBER($AB$6),E74*$AB$6,E74*$Y$8)+IF(ISNUMBER($AB$7),F74*$AB$7,F74*$Y$8)+IF(ISNUMBER($AB$8),G74*$AB$8,G74*$Y$8)+IF(ISNUMBER($AB$9),H74*$AB$9,H74*$Y$8)+IF(ISNUMBER($AB$10),I74*$AB$10,I74*$Y$8)+IF(ISNUMBER($AB$11),J74*$AB$11,J74*$Y$8)+IF(ISNUMBER($AB$12),K74*$AB$12,K74*$Y$8)+IF(ISNUMBER($AB$13),L74*$AB$13,L74*$Y$8)+IF(ISNUMBER($AB$14),M74*$AB$14,M74*$Y$8)+IF(ISNUMBER($AB$15),N74*$AB$15,N74*$Y$8)+IF(ISNUMBER($AB$16),O74*$AB$16,O74*$Y$8)+IF(ISNUMBER($AB$17),P74*$AB$17,P74*$Y$8)+IF(ISNUMBER($AB$18),Q74*$AB$18,Q74*$Y$8)+IF(ISNUMBER($AB$19),R74*$AB$19,R74*$Y$8)</f>
        <v/>
      </c>
      <c r="U74" s="84">
        <f>T74-S74</f>
        <v/>
      </c>
    </row>
    <row r="75" ht="16" customHeight="1">
      <c r="A75" s="43" t="inlineStr">
        <is>
          <t>Behrendt</t>
        </is>
      </c>
      <c r="B75" s="81">
        <f>COUNTIF(Dienstplan!B89:AF89,"FI")</f>
        <v/>
      </c>
      <c r="C75" s="81">
        <f>COUNTIF(Dienstplan!B89:AF89,"FII")</f>
        <v/>
      </c>
      <c r="D75" s="81">
        <f>COUNTIF(Dienstplan!B89:AF89,"SI")</f>
        <v/>
      </c>
      <c r="E75" s="81">
        <f>COUNTIF(Dienstplan!B89:AF89,"SII")</f>
        <v/>
      </c>
      <c r="F75" s="81">
        <f>COUNTIF(Dienstplan!B89:AF89,"NI")</f>
        <v/>
      </c>
      <c r="G75" s="81">
        <f>COUNTIF(Dienstplan!B89:AF89,"DI")</f>
        <v/>
      </c>
      <c r="H75" s="81">
        <f>COUNTIF(Dienstplan!B89:AF89,"DII")</f>
        <v/>
      </c>
      <c r="I75" s="81">
        <f>COUNTIF(Dienstplan!B89:AF89,"KU")</f>
        <v/>
      </c>
      <c r="J75" s="81">
        <f>COUNTIF(Dienstplan!B89:AF89,"EH")</f>
        <v/>
      </c>
      <c r="K75" s="81">
        <f>COUNTIF(Dienstplan!B89:AF89,"SD")</f>
        <v/>
      </c>
      <c r="L75" s="81">
        <f>COUNTIF(Dienstplan!B89:AF89,"GT")</f>
        <v/>
      </c>
      <c r="M75" s="81">
        <f>COUNTIF(Dienstplan!B89:AF89,"NST")</f>
        <v/>
      </c>
      <c r="N75" s="81">
        <f>COUNTIF(Dienstplan!B89:AF89,"KT")</f>
        <v/>
      </c>
      <c r="O75" s="81">
        <f>COUNTIF(Dienstplan!B89:AF89,"Fobi")</f>
        <v/>
      </c>
      <c r="P75" s="81">
        <f>COUNTIF(Dienstplan!B89:AF89,"U")</f>
        <v/>
      </c>
      <c r="Q75" s="81">
        <f>COUNTIF(Dienstplan!B89:AF89,"A")</f>
        <v/>
      </c>
      <c r="R75" s="81">
        <f>COUNTIF(Dienstplan!B89:AF89,"T-ZUG")</f>
        <v/>
      </c>
      <c r="S75" s="81">
        <f>18*$Y$9</f>
        <v/>
      </c>
      <c r="T75" s="81">
        <f>IF(ISNUMBER($AB$3),B75*$AB$3,B75*$Y$9)+IF(ISNUMBER($AB$4),C75*$AB$4,C75*$Y$9)+IF(ISNUMBER($AB$5),D75*$AB$5,D75*$Y$9)+IF(ISNUMBER($AB$6),E75*$AB$6,E75*$Y$9)+IF(ISNUMBER($AB$7),F75*$AB$7,F75*$Y$9)+IF(ISNUMBER($AB$8),G75*$AB$8,G75*$Y$9)+IF(ISNUMBER($AB$9),H75*$AB$9,H75*$Y$9)+IF(ISNUMBER($AB$10),I75*$AB$10,I75*$Y$9)+IF(ISNUMBER($AB$11),J75*$AB$11,J75*$Y$9)+IF(ISNUMBER($AB$12),K75*$AB$12,K75*$Y$9)+IF(ISNUMBER($AB$13),L75*$AB$13,L75*$Y$9)+IF(ISNUMBER($AB$14),M75*$AB$14,M75*$Y$9)+IF(ISNUMBER($AB$15),N75*$AB$15,N75*$Y$9)+IF(ISNUMBER($AB$16),O75*$AB$16,O75*$Y$9)+IF(ISNUMBER($AB$17),P75*$AB$17,P75*$Y$9)+IF(ISNUMBER($AB$18),Q75*$AB$18,Q75*$Y$9)+IF(ISNUMBER($AB$19),R75*$AB$19,R75*$Y$9)</f>
        <v/>
      </c>
      <c r="U75" s="82">
        <f>T75-S75</f>
        <v/>
      </c>
    </row>
    <row r="76" ht="16" customHeight="1">
      <c r="A76" s="43" t="inlineStr">
        <is>
          <t>Krempl</t>
        </is>
      </c>
      <c r="B76" s="83">
        <f>COUNTIF(Dienstplan!B90:AF90,"FI")</f>
        <v/>
      </c>
      <c r="C76" s="83">
        <f>COUNTIF(Dienstplan!B90:AF90,"FII")</f>
        <v/>
      </c>
      <c r="D76" s="83">
        <f>COUNTIF(Dienstplan!B90:AF90,"SI")</f>
        <v/>
      </c>
      <c r="E76" s="83">
        <f>COUNTIF(Dienstplan!B90:AF90,"SII")</f>
        <v/>
      </c>
      <c r="F76" s="83">
        <f>COUNTIF(Dienstplan!B90:AF90,"NI")</f>
        <v/>
      </c>
      <c r="G76" s="83">
        <f>COUNTIF(Dienstplan!B90:AF90,"DI")</f>
        <v/>
      </c>
      <c r="H76" s="83">
        <f>COUNTIF(Dienstplan!B90:AF90,"DII")</f>
        <v/>
      </c>
      <c r="I76" s="83">
        <f>COUNTIF(Dienstplan!B90:AF90,"KU")</f>
        <v/>
      </c>
      <c r="J76" s="83">
        <f>COUNTIF(Dienstplan!B90:AF90,"EH")</f>
        <v/>
      </c>
      <c r="K76" s="83">
        <f>COUNTIF(Dienstplan!B90:AF90,"SD")</f>
        <v/>
      </c>
      <c r="L76" s="83">
        <f>COUNTIF(Dienstplan!B90:AF90,"GT")</f>
        <v/>
      </c>
      <c r="M76" s="83">
        <f>COUNTIF(Dienstplan!B90:AF90,"NST")</f>
        <v/>
      </c>
      <c r="N76" s="83">
        <f>COUNTIF(Dienstplan!B90:AF90,"KT")</f>
        <v/>
      </c>
      <c r="O76" s="83">
        <f>COUNTIF(Dienstplan!B90:AF90,"Fobi")</f>
        <v/>
      </c>
      <c r="P76" s="83">
        <f>COUNTIF(Dienstplan!B90:AF90,"U")</f>
        <v/>
      </c>
      <c r="Q76" s="83">
        <f>COUNTIF(Dienstplan!B90:AF90,"A")</f>
        <v/>
      </c>
      <c r="R76" s="83">
        <f>COUNTIF(Dienstplan!B90:AF90,"T-ZUG")</f>
        <v/>
      </c>
      <c r="S76" s="83">
        <f>18*$Y$10</f>
        <v/>
      </c>
      <c r="T76" s="83">
        <f>IF(ISNUMBER($AB$3),B76*$AB$3,B76*$Y$10)+IF(ISNUMBER($AB$4),C76*$AB$4,C76*$Y$10)+IF(ISNUMBER($AB$5),D76*$AB$5,D76*$Y$10)+IF(ISNUMBER($AB$6),E76*$AB$6,E76*$Y$10)+IF(ISNUMBER($AB$7),F76*$AB$7,F76*$Y$10)+IF(ISNUMBER($AB$8),G76*$AB$8,G76*$Y$10)+IF(ISNUMBER($AB$9),H76*$AB$9,H76*$Y$10)+IF(ISNUMBER($AB$10),I76*$AB$10,I76*$Y$10)+IF(ISNUMBER($AB$11),J76*$AB$11,J76*$Y$10)+IF(ISNUMBER($AB$12),K76*$AB$12,K76*$Y$10)+IF(ISNUMBER($AB$13),L76*$AB$13,L76*$Y$10)+IF(ISNUMBER($AB$14),M76*$AB$14,M76*$Y$10)+IF(ISNUMBER($AB$15),N76*$AB$15,N76*$Y$10)+IF(ISNUMBER($AB$16),O76*$AB$16,O76*$Y$10)+IF(ISNUMBER($AB$17),P76*$AB$17,P76*$Y$10)+IF(ISNUMBER($AB$18),Q76*$AB$18,Q76*$Y$10)+IF(ISNUMBER($AB$19),R76*$AB$19,R76*$Y$10)</f>
        <v/>
      </c>
      <c r="U76" s="84">
        <f>T76-S76</f>
        <v/>
      </c>
    </row>
    <row r="77" ht="16" customHeight="1">
      <c r="A77" s="43" t="inlineStr">
        <is>
          <t>Putschler</t>
        </is>
      </c>
      <c r="B77" s="81">
        <f>COUNTIF(Dienstplan!B91:AF91,"FI")</f>
        <v/>
      </c>
      <c r="C77" s="81">
        <f>COUNTIF(Dienstplan!B91:AF91,"FII")</f>
        <v/>
      </c>
      <c r="D77" s="81">
        <f>COUNTIF(Dienstplan!B91:AF91,"SI")</f>
        <v/>
      </c>
      <c r="E77" s="81">
        <f>COUNTIF(Dienstplan!B91:AF91,"SII")</f>
        <v/>
      </c>
      <c r="F77" s="81">
        <f>COUNTIF(Dienstplan!B91:AF91,"NI")</f>
        <v/>
      </c>
      <c r="G77" s="81">
        <f>COUNTIF(Dienstplan!B91:AF91,"DI")</f>
        <v/>
      </c>
      <c r="H77" s="81">
        <f>COUNTIF(Dienstplan!B91:AF91,"DII")</f>
        <v/>
      </c>
      <c r="I77" s="81">
        <f>COUNTIF(Dienstplan!B91:AF91,"KU")</f>
        <v/>
      </c>
      <c r="J77" s="81">
        <f>COUNTIF(Dienstplan!B91:AF91,"EH")</f>
        <v/>
      </c>
      <c r="K77" s="81">
        <f>COUNTIF(Dienstplan!B91:AF91,"SD")</f>
        <v/>
      </c>
      <c r="L77" s="81">
        <f>COUNTIF(Dienstplan!B91:AF91,"GT")</f>
        <v/>
      </c>
      <c r="M77" s="81">
        <f>COUNTIF(Dienstplan!B91:AF91,"NST")</f>
        <v/>
      </c>
      <c r="N77" s="81">
        <f>COUNTIF(Dienstplan!B91:AF91,"KT")</f>
        <v/>
      </c>
      <c r="O77" s="81">
        <f>COUNTIF(Dienstplan!B91:AF91,"Fobi")</f>
        <v/>
      </c>
      <c r="P77" s="81">
        <f>COUNTIF(Dienstplan!B91:AF91,"U")</f>
        <v/>
      </c>
      <c r="Q77" s="81">
        <f>COUNTIF(Dienstplan!B91:AF91,"A")</f>
        <v/>
      </c>
      <c r="R77" s="81">
        <f>COUNTIF(Dienstplan!B91:AF91,"T-ZUG")</f>
        <v/>
      </c>
      <c r="S77" s="81">
        <f>18*$Y$11</f>
        <v/>
      </c>
      <c r="T77" s="81">
        <f>IF(ISNUMBER($AB$3),B77*$AB$3,B77*$Y$11)+IF(ISNUMBER($AB$4),C77*$AB$4,C77*$Y$11)+IF(ISNUMBER($AB$5),D77*$AB$5,D77*$Y$11)+IF(ISNUMBER($AB$6),E77*$AB$6,E77*$Y$11)+IF(ISNUMBER($AB$7),F77*$AB$7,F77*$Y$11)+IF(ISNUMBER($AB$8),G77*$AB$8,G77*$Y$11)+IF(ISNUMBER($AB$9),H77*$AB$9,H77*$Y$11)+IF(ISNUMBER($AB$10),I77*$AB$10,I77*$Y$11)+IF(ISNUMBER($AB$11),J77*$AB$11,J77*$Y$11)+IF(ISNUMBER($AB$12),K77*$AB$12,K77*$Y$11)+IF(ISNUMBER($AB$13),L77*$AB$13,L77*$Y$11)+IF(ISNUMBER($AB$14),M77*$AB$14,M77*$Y$11)+IF(ISNUMBER($AB$15),N77*$AB$15,N77*$Y$11)+IF(ISNUMBER($AB$16),O77*$AB$16,O77*$Y$11)+IF(ISNUMBER($AB$17),P77*$AB$17,P77*$Y$11)+IF(ISNUMBER($AB$18),Q77*$AB$18,Q77*$Y$11)+IF(ISNUMBER($AB$19),R77*$AB$19,R77*$Y$11)</f>
        <v/>
      </c>
      <c r="U77" s="82">
        <f>T77-S77</f>
        <v/>
      </c>
    </row>
    <row r="78" ht="16" customHeight="1">
      <c r="A78" s="43" t="inlineStr">
        <is>
          <t>Kunz</t>
        </is>
      </c>
      <c r="B78" s="83">
        <f>COUNTIF(Dienstplan!B92:AF92,"FI")</f>
        <v/>
      </c>
      <c r="C78" s="83">
        <f>COUNTIF(Dienstplan!B92:AF92,"FII")</f>
        <v/>
      </c>
      <c r="D78" s="83">
        <f>COUNTIF(Dienstplan!B92:AF92,"SI")</f>
        <v/>
      </c>
      <c r="E78" s="83">
        <f>COUNTIF(Dienstplan!B92:AF92,"SII")</f>
        <v/>
      </c>
      <c r="F78" s="83">
        <f>COUNTIF(Dienstplan!B92:AF92,"NI")</f>
        <v/>
      </c>
      <c r="G78" s="83">
        <f>COUNTIF(Dienstplan!B92:AF92,"DI")</f>
        <v/>
      </c>
      <c r="H78" s="83">
        <f>COUNTIF(Dienstplan!B92:AF92,"DII")</f>
        <v/>
      </c>
      <c r="I78" s="83">
        <f>COUNTIF(Dienstplan!B92:AF92,"KU")</f>
        <v/>
      </c>
      <c r="J78" s="83">
        <f>COUNTIF(Dienstplan!B92:AF92,"EH")</f>
        <v/>
      </c>
      <c r="K78" s="83">
        <f>COUNTIF(Dienstplan!B92:AF92,"SD")</f>
        <v/>
      </c>
      <c r="L78" s="83">
        <f>COUNTIF(Dienstplan!B92:AF92,"GT")</f>
        <v/>
      </c>
      <c r="M78" s="83">
        <f>COUNTIF(Dienstplan!B92:AF92,"NST")</f>
        <v/>
      </c>
      <c r="N78" s="83">
        <f>COUNTIF(Dienstplan!B92:AF92,"KT")</f>
        <v/>
      </c>
      <c r="O78" s="83">
        <f>COUNTIF(Dienstplan!B92:AF92,"Fobi")</f>
        <v/>
      </c>
      <c r="P78" s="83">
        <f>COUNTIF(Dienstplan!B92:AF92,"U")</f>
        <v/>
      </c>
      <c r="Q78" s="83">
        <f>COUNTIF(Dienstplan!B92:AF92,"A")</f>
        <v/>
      </c>
      <c r="R78" s="83">
        <f>COUNTIF(Dienstplan!B92:AF92,"T-ZUG")</f>
        <v/>
      </c>
      <c r="S78" s="83">
        <f>18*$Y$12</f>
        <v/>
      </c>
      <c r="T78" s="83">
        <f>IF(ISNUMBER($AB$3),B78*$AB$3,B78*$Y$12)+IF(ISNUMBER($AB$4),C78*$AB$4,C78*$Y$12)+IF(ISNUMBER($AB$5),D78*$AB$5,D78*$Y$12)+IF(ISNUMBER($AB$6),E78*$AB$6,E78*$Y$12)+IF(ISNUMBER($AB$7),F78*$AB$7,F78*$Y$12)+IF(ISNUMBER($AB$8),G78*$AB$8,G78*$Y$12)+IF(ISNUMBER($AB$9),H78*$AB$9,H78*$Y$12)+IF(ISNUMBER($AB$10),I78*$AB$10,I78*$Y$12)+IF(ISNUMBER($AB$11),J78*$AB$11,J78*$Y$12)+IF(ISNUMBER($AB$12),K78*$AB$12,K78*$Y$12)+IF(ISNUMBER($AB$13),L78*$AB$13,L78*$Y$12)+IF(ISNUMBER($AB$14),M78*$AB$14,M78*$Y$12)+IF(ISNUMBER($AB$15),N78*$AB$15,N78*$Y$12)+IF(ISNUMBER($AB$16),O78*$AB$16,O78*$Y$12)+IF(ISNUMBER($AB$17),P78*$AB$17,P78*$Y$12)+IF(ISNUMBER($AB$18),Q78*$AB$18,Q78*$Y$12)+IF(ISNUMBER($AB$19),R78*$AB$19,R78*$Y$12)</f>
        <v/>
      </c>
      <c r="U78" s="84">
        <f>T78-S78</f>
        <v/>
      </c>
    </row>
    <row r="79" ht="16" customHeight="1">
      <c r="A79" s="43" t="inlineStr">
        <is>
          <t>Schmidt</t>
        </is>
      </c>
      <c r="B79" s="81">
        <f>COUNTIF(Dienstplan!B93:AF93,"FI")</f>
        <v/>
      </c>
      <c r="C79" s="81">
        <f>COUNTIF(Dienstplan!B93:AF93,"FII")</f>
        <v/>
      </c>
      <c r="D79" s="81">
        <f>COUNTIF(Dienstplan!B93:AF93,"SI")</f>
        <v/>
      </c>
      <c r="E79" s="81">
        <f>COUNTIF(Dienstplan!B93:AF93,"SII")</f>
        <v/>
      </c>
      <c r="F79" s="81">
        <f>COUNTIF(Dienstplan!B93:AF93,"NI")</f>
        <v/>
      </c>
      <c r="G79" s="81">
        <f>COUNTIF(Dienstplan!B93:AF93,"DI")</f>
        <v/>
      </c>
      <c r="H79" s="81">
        <f>COUNTIF(Dienstplan!B93:AF93,"DII")</f>
        <v/>
      </c>
      <c r="I79" s="81">
        <f>COUNTIF(Dienstplan!B93:AF93,"KU")</f>
        <v/>
      </c>
      <c r="J79" s="81">
        <f>COUNTIF(Dienstplan!B93:AF93,"EH")</f>
        <v/>
      </c>
      <c r="K79" s="81">
        <f>COUNTIF(Dienstplan!B93:AF93,"SD")</f>
        <v/>
      </c>
      <c r="L79" s="81">
        <f>COUNTIF(Dienstplan!B93:AF93,"GT")</f>
        <v/>
      </c>
      <c r="M79" s="81">
        <f>COUNTIF(Dienstplan!B93:AF93,"NST")</f>
        <v/>
      </c>
      <c r="N79" s="81">
        <f>COUNTIF(Dienstplan!B93:AF93,"KT")</f>
        <v/>
      </c>
      <c r="O79" s="81">
        <f>COUNTIF(Dienstplan!B93:AF93,"Fobi")</f>
        <v/>
      </c>
      <c r="P79" s="81">
        <f>COUNTIF(Dienstplan!B93:AF93,"U")</f>
        <v/>
      </c>
      <c r="Q79" s="81">
        <f>COUNTIF(Dienstplan!B93:AF93,"A")</f>
        <v/>
      </c>
      <c r="R79" s="81">
        <f>COUNTIF(Dienstplan!B93:AF93,"T-ZUG")</f>
        <v/>
      </c>
      <c r="S79" s="81">
        <f>18*$Y$13</f>
        <v/>
      </c>
      <c r="T79" s="81">
        <f>IF(ISNUMBER($AB$3),B79*$AB$3,B79*$Y$13)+IF(ISNUMBER($AB$4),C79*$AB$4,C79*$Y$13)+IF(ISNUMBER($AB$5),D79*$AB$5,D79*$Y$13)+IF(ISNUMBER($AB$6),E79*$AB$6,E79*$Y$13)+IF(ISNUMBER($AB$7),F79*$AB$7,F79*$Y$13)+IF(ISNUMBER($AB$8),G79*$AB$8,G79*$Y$13)+IF(ISNUMBER($AB$9),H79*$AB$9,H79*$Y$13)+IF(ISNUMBER($AB$10),I79*$AB$10,I79*$Y$13)+IF(ISNUMBER($AB$11),J79*$AB$11,J79*$Y$13)+IF(ISNUMBER($AB$12),K79*$AB$12,K79*$Y$13)+IF(ISNUMBER($AB$13),L79*$AB$13,L79*$Y$13)+IF(ISNUMBER($AB$14),M79*$AB$14,M79*$Y$13)+IF(ISNUMBER($AB$15),N79*$AB$15,N79*$Y$13)+IF(ISNUMBER($AB$16),O79*$AB$16,O79*$Y$13)+IF(ISNUMBER($AB$17),P79*$AB$17,P79*$Y$13)+IF(ISNUMBER($AB$18),Q79*$AB$18,Q79*$Y$13)+IF(ISNUMBER($AB$19),R79*$AB$19,R79*$Y$13)</f>
        <v/>
      </c>
      <c r="U79" s="82">
        <f>T79-S79</f>
        <v/>
      </c>
    </row>
    <row r="80" ht="16" customHeight="1">
      <c r="A80" s="43" t="inlineStr">
        <is>
          <t>Radimersky</t>
        </is>
      </c>
      <c r="B80" s="83">
        <f>COUNTIF(Dienstplan!B94:AF94,"FI")</f>
        <v/>
      </c>
      <c r="C80" s="83">
        <f>COUNTIF(Dienstplan!B94:AF94,"FII")</f>
        <v/>
      </c>
      <c r="D80" s="83">
        <f>COUNTIF(Dienstplan!B94:AF94,"SI")</f>
        <v/>
      </c>
      <c r="E80" s="83">
        <f>COUNTIF(Dienstplan!B94:AF94,"SII")</f>
        <v/>
      </c>
      <c r="F80" s="83">
        <f>COUNTIF(Dienstplan!B94:AF94,"NI")</f>
        <v/>
      </c>
      <c r="G80" s="83">
        <f>COUNTIF(Dienstplan!B94:AF94,"DI")</f>
        <v/>
      </c>
      <c r="H80" s="83">
        <f>COUNTIF(Dienstplan!B94:AF94,"DII")</f>
        <v/>
      </c>
      <c r="I80" s="83">
        <f>COUNTIF(Dienstplan!B94:AF94,"KU")</f>
        <v/>
      </c>
      <c r="J80" s="83">
        <f>COUNTIF(Dienstplan!B94:AF94,"EH")</f>
        <v/>
      </c>
      <c r="K80" s="83">
        <f>COUNTIF(Dienstplan!B94:AF94,"SD")</f>
        <v/>
      </c>
      <c r="L80" s="83">
        <f>COUNTIF(Dienstplan!B94:AF94,"GT")</f>
        <v/>
      </c>
      <c r="M80" s="83">
        <f>COUNTIF(Dienstplan!B94:AF94,"NST")</f>
        <v/>
      </c>
      <c r="N80" s="83">
        <f>COUNTIF(Dienstplan!B94:AF94,"KT")</f>
        <v/>
      </c>
      <c r="O80" s="83">
        <f>COUNTIF(Dienstplan!B94:AF94,"Fobi")</f>
        <v/>
      </c>
      <c r="P80" s="83">
        <f>COUNTIF(Dienstplan!B94:AF94,"U")</f>
        <v/>
      </c>
      <c r="Q80" s="83">
        <f>COUNTIF(Dienstplan!B94:AF94,"A")</f>
        <v/>
      </c>
      <c r="R80" s="83">
        <f>COUNTIF(Dienstplan!B94:AF94,"T-ZUG")</f>
        <v/>
      </c>
      <c r="S80" s="83">
        <f>18*$Y$14</f>
        <v/>
      </c>
      <c r="T80" s="83">
        <f>IF(ISNUMBER($AB$3),B80*$AB$3,B80*$Y$14)+IF(ISNUMBER($AB$4),C80*$AB$4,C80*$Y$14)+IF(ISNUMBER($AB$5),D80*$AB$5,D80*$Y$14)+IF(ISNUMBER($AB$6),E80*$AB$6,E80*$Y$14)+IF(ISNUMBER($AB$7),F80*$AB$7,F80*$Y$14)+IF(ISNUMBER($AB$8),G80*$AB$8,G80*$Y$14)+IF(ISNUMBER($AB$9),H80*$AB$9,H80*$Y$14)+IF(ISNUMBER($AB$10),I80*$AB$10,I80*$Y$14)+IF(ISNUMBER($AB$11),J80*$AB$11,J80*$Y$14)+IF(ISNUMBER($AB$12),K80*$AB$12,K80*$Y$14)+IF(ISNUMBER($AB$13),L80*$AB$13,L80*$Y$14)+IF(ISNUMBER($AB$14),M80*$AB$14,M80*$Y$14)+IF(ISNUMBER($AB$15),N80*$AB$15,N80*$Y$14)+IF(ISNUMBER($AB$16),O80*$AB$16,O80*$Y$14)+IF(ISNUMBER($AB$17),P80*$AB$17,P80*$Y$14)+IF(ISNUMBER($AB$18),Q80*$AB$18,Q80*$Y$14)+IF(ISNUMBER($AB$19),R80*$AB$19,R80*$Y$14)</f>
        <v/>
      </c>
      <c r="U80" s="84">
        <f>T80-S80</f>
        <v/>
      </c>
    </row>
    <row r="81" ht="18" customHeight="1">
      <c r="A81" s="88" t="inlineStr">
        <is>
          <t>Summe</t>
        </is>
      </c>
      <c r="B81" s="89">
        <f>SUM(B69:B80)</f>
        <v/>
      </c>
      <c r="C81" s="89">
        <f>SUM(C69:C80)</f>
        <v/>
      </c>
      <c r="D81" s="89">
        <f>SUM(D69:D80)</f>
        <v/>
      </c>
      <c r="E81" s="89">
        <f>SUM(E69:E80)</f>
        <v/>
      </c>
      <c r="F81" s="89">
        <f>SUM(F69:F80)</f>
        <v/>
      </c>
      <c r="G81" s="89">
        <f>SUM(G69:G80)</f>
        <v/>
      </c>
      <c r="H81" s="89">
        <f>SUM(H69:H80)</f>
        <v/>
      </c>
      <c r="I81" s="89">
        <f>SUM(I69:I80)</f>
        <v/>
      </c>
      <c r="J81" s="89">
        <f>SUM(J69:J80)</f>
        <v/>
      </c>
      <c r="K81" s="89">
        <f>SUM(K69:K80)</f>
        <v/>
      </c>
      <c r="L81" s="89">
        <f>SUM(L69:L80)</f>
        <v/>
      </c>
      <c r="M81" s="89">
        <f>SUM(M69:M80)</f>
        <v/>
      </c>
      <c r="N81" s="89">
        <f>SUM(N69:N80)</f>
        <v/>
      </c>
      <c r="O81" s="89">
        <f>SUM(O69:O80)</f>
        <v/>
      </c>
      <c r="P81" s="89">
        <f>SUM(P69:P80)</f>
        <v/>
      </c>
      <c r="Q81" s="89">
        <f>SUM(Q69:Q80)</f>
        <v/>
      </c>
      <c r="R81" s="89">
        <f>SUM(R69:R80)</f>
        <v/>
      </c>
      <c r="S81" s="89">
        <f>SUM(S69:S80)</f>
        <v/>
      </c>
      <c r="T81" s="89">
        <f>SUM(T69:T80)</f>
        <v/>
      </c>
      <c r="U81" s="90">
        <f>SUM(U69:U80)</f>
        <v/>
      </c>
    </row>
    <row r="83">
      <c r="A83" s="2" t="inlineStr">
        <is>
          <t>Juni</t>
        </is>
      </c>
      <c r="C83" t="inlineStr">
        <is>
          <t>AT:</t>
        </is>
      </c>
      <c r="D83" s="78" t="n">
        <v>22</v>
      </c>
      <c r="F83" t="inlineStr">
        <is>
          <t>Sa:</t>
        </is>
      </c>
      <c r="G83" s="78" t="n">
        <v>4</v>
      </c>
    </row>
    <row r="84" ht="18" customHeight="1">
      <c r="A84" s="34" t="inlineStr">
        <is>
          <t>MA</t>
        </is>
      </c>
      <c r="B84" s="36" t="inlineStr">
        <is>
          <t>FI</t>
        </is>
      </c>
      <c r="C84" s="36" t="inlineStr">
        <is>
          <t>FII</t>
        </is>
      </c>
      <c r="D84" s="36" t="inlineStr">
        <is>
          <t>SI</t>
        </is>
      </c>
      <c r="E84" s="36" t="inlineStr">
        <is>
          <t>SII</t>
        </is>
      </c>
      <c r="F84" s="36" t="inlineStr">
        <is>
          <t>NI</t>
        </is>
      </c>
      <c r="G84" s="36" t="inlineStr">
        <is>
          <t>DI</t>
        </is>
      </c>
      <c r="H84" s="36" t="inlineStr">
        <is>
          <t>DII</t>
        </is>
      </c>
      <c r="I84" s="36" t="inlineStr">
        <is>
          <t>KU</t>
        </is>
      </c>
      <c r="J84" s="36" t="inlineStr">
        <is>
          <t>EH</t>
        </is>
      </c>
      <c r="K84" s="36" t="inlineStr">
        <is>
          <t>SD</t>
        </is>
      </c>
      <c r="L84" s="36" t="inlineStr">
        <is>
          <t>GT</t>
        </is>
      </c>
      <c r="M84" s="36" t="inlineStr">
        <is>
          <t>NST</t>
        </is>
      </c>
      <c r="N84" s="36" t="inlineStr">
        <is>
          <t>KT</t>
        </is>
      </c>
      <c r="O84" s="36" t="inlineStr">
        <is>
          <t>Fobi</t>
        </is>
      </c>
      <c r="P84" s="36" t="inlineStr">
        <is>
          <t>U</t>
        </is>
      </c>
      <c r="Q84" s="36" t="inlineStr">
        <is>
          <t>A</t>
        </is>
      </c>
      <c r="R84" s="36" t="inlineStr">
        <is>
          <t>T-ZUG</t>
        </is>
      </c>
      <c r="S84" s="36" t="inlineStr">
        <is>
          <t>Soll</t>
        </is>
      </c>
      <c r="T84" s="36" t="inlineStr">
        <is>
          <t>Ist</t>
        </is>
      </c>
      <c r="U84" s="65" t="inlineStr">
        <is>
          <t>Diff</t>
        </is>
      </c>
    </row>
    <row r="85" ht="16" customHeight="1">
      <c r="A85" s="43" t="inlineStr">
        <is>
          <t>Breig</t>
        </is>
      </c>
      <c r="B85" s="81">
        <f>COUNTIF(Dienstplan!B101:AE101,"FI")</f>
        <v/>
      </c>
      <c r="C85" s="81">
        <f>COUNTIF(Dienstplan!B101:AE101,"FII")</f>
        <v/>
      </c>
      <c r="D85" s="81">
        <f>COUNTIF(Dienstplan!B101:AE101,"SI")</f>
        <v/>
      </c>
      <c r="E85" s="81">
        <f>COUNTIF(Dienstplan!B101:AE101,"SII")</f>
        <v/>
      </c>
      <c r="F85" s="81">
        <f>COUNTIF(Dienstplan!B101:AE101,"NI")</f>
        <v/>
      </c>
      <c r="G85" s="81">
        <f>COUNTIF(Dienstplan!B101:AE101,"DI")</f>
        <v/>
      </c>
      <c r="H85" s="81">
        <f>COUNTIF(Dienstplan!B101:AE101,"DII")</f>
        <v/>
      </c>
      <c r="I85" s="81">
        <f>COUNTIF(Dienstplan!B101:AE101,"KU")</f>
        <v/>
      </c>
      <c r="J85" s="81">
        <f>COUNTIF(Dienstplan!B101:AE101,"EH")</f>
        <v/>
      </c>
      <c r="K85" s="81">
        <f>COUNTIF(Dienstplan!B101:AE101,"SD")</f>
        <v/>
      </c>
      <c r="L85" s="81">
        <f>COUNTIF(Dienstplan!B101:AE101,"GT")</f>
        <v/>
      </c>
      <c r="M85" s="81">
        <f>COUNTIF(Dienstplan!B101:AE101,"NST")</f>
        <v/>
      </c>
      <c r="N85" s="81">
        <f>COUNTIF(Dienstplan!B101:AE101,"KT")</f>
        <v/>
      </c>
      <c r="O85" s="81">
        <f>COUNTIF(Dienstplan!B101:AE101,"Fobi")</f>
        <v/>
      </c>
      <c r="P85" s="81">
        <f>COUNTIF(Dienstplan!B101:AE101,"U")</f>
        <v/>
      </c>
      <c r="Q85" s="81">
        <f>COUNTIF(Dienstplan!B101:AE101,"A")</f>
        <v/>
      </c>
      <c r="R85" s="81">
        <f>COUNTIF(Dienstplan!B101:AE101,"T-ZUG")</f>
        <v/>
      </c>
      <c r="S85" s="81">
        <f>22*$Y$3</f>
        <v/>
      </c>
      <c r="T85" s="81">
        <f>IF(ISNUMBER($AB$3),B85*$AB$3,B85*$Y$3)+IF(ISNUMBER($AB$4),C85*$AB$4,C85*$Y$3)+IF(ISNUMBER($AB$5),D85*$AB$5,D85*$Y$3)+IF(ISNUMBER($AB$6),E85*$AB$6,E85*$Y$3)+IF(ISNUMBER($AB$7),F85*$AB$7,F85*$Y$3)+IF(ISNUMBER($AB$8),G85*$AB$8,G85*$Y$3)+IF(ISNUMBER($AB$9),H85*$AB$9,H85*$Y$3)+IF(ISNUMBER($AB$10),I85*$AB$10,I85*$Y$3)+IF(ISNUMBER($AB$11),J85*$AB$11,J85*$Y$3)+IF(ISNUMBER($AB$12),K85*$AB$12,K85*$Y$3)+IF(ISNUMBER($AB$13),L85*$AB$13,L85*$Y$3)+IF(ISNUMBER($AB$14),M85*$AB$14,M85*$Y$3)+IF(ISNUMBER($AB$15),N85*$AB$15,N85*$Y$3)+IF(ISNUMBER($AB$16),O85*$AB$16,O85*$Y$3)+IF(ISNUMBER($AB$17),P85*$AB$17,P85*$Y$3)+IF(ISNUMBER($AB$18),Q85*$AB$18,Q85*$Y$3)+IF(ISNUMBER($AB$19),R85*$AB$19,R85*$Y$3)</f>
        <v/>
      </c>
      <c r="U85" s="82">
        <f>T85-S85</f>
        <v/>
      </c>
    </row>
    <row r="86" ht="16" customHeight="1">
      <c r="A86" s="43" t="inlineStr">
        <is>
          <t>Siebert</t>
        </is>
      </c>
      <c r="B86" s="83">
        <f>COUNTIF(Dienstplan!B102:AE102,"FI")</f>
        <v/>
      </c>
      <c r="C86" s="83">
        <f>COUNTIF(Dienstplan!B102:AE102,"FII")</f>
        <v/>
      </c>
      <c r="D86" s="83">
        <f>COUNTIF(Dienstplan!B102:AE102,"SI")</f>
        <v/>
      </c>
      <c r="E86" s="83">
        <f>COUNTIF(Dienstplan!B102:AE102,"SII")</f>
        <v/>
      </c>
      <c r="F86" s="83">
        <f>COUNTIF(Dienstplan!B102:AE102,"NI")</f>
        <v/>
      </c>
      <c r="G86" s="83">
        <f>COUNTIF(Dienstplan!B102:AE102,"DI")</f>
        <v/>
      </c>
      <c r="H86" s="83">
        <f>COUNTIF(Dienstplan!B102:AE102,"DII")</f>
        <v/>
      </c>
      <c r="I86" s="83">
        <f>COUNTIF(Dienstplan!B102:AE102,"KU")</f>
        <v/>
      </c>
      <c r="J86" s="83">
        <f>COUNTIF(Dienstplan!B102:AE102,"EH")</f>
        <v/>
      </c>
      <c r="K86" s="83">
        <f>COUNTIF(Dienstplan!B102:AE102,"SD")</f>
        <v/>
      </c>
      <c r="L86" s="83">
        <f>COUNTIF(Dienstplan!B102:AE102,"GT")</f>
        <v/>
      </c>
      <c r="M86" s="83">
        <f>COUNTIF(Dienstplan!B102:AE102,"NST")</f>
        <v/>
      </c>
      <c r="N86" s="83">
        <f>COUNTIF(Dienstplan!B102:AE102,"KT")</f>
        <v/>
      </c>
      <c r="O86" s="83">
        <f>COUNTIF(Dienstplan!B102:AE102,"Fobi")</f>
        <v/>
      </c>
      <c r="P86" s="83">
        <f>COUNTIF(Dienstplan!B102:AE102,"U")</f>
        <v/>
      </c>
      <c r="Q86" s="83">
        <f>COUNTIF(Dienstplan!B102:AE102,"A")</f>
        <v/>
      </c>
      <c r="R86" s="83">
        <f>COUNTIF(Dienstplan!B102:AE102,"T-ZUG")</f>
        <v/>
      </c>
      <c r="S86" s="83">
        <f>22*$Y$4</f>
        <v/>
      </c>
      <c r="T86" s="83">
        <f>IF(ISNUMBER($AB$3),B86*$AB$3,B86*$Y$4)+IF(ISNUMBER($AB$4),C86*$AB$4,C86*$Y$4)+IF(ISNUMBER($AB$5),D86*$AB$5,D86*$Y$4)+IF(ISNUMBER($AB$6),E86*$AB$6,E86*$Y$4)+IF(ISNUMBER($AB$7),F86*$AB$7,F86*$Y$4)+IF(ISNUMBER($AB$8),G86*$AB$8,G86*$Y$4)+IF(ISNUMBER($AB$9),H86*$AB$9,H86*$Y$4)+IF(ISNUMBER($AB$10),I86*$AB$10,I86*$Y$4)+IF(ISNUMBER($AB$11),J86*$AB$11,J86*$Y$4)+IF(ISNUMBER($AB$12),K86*$AB$12,K86*$Y$4)+IF(ISNUMBER($AB$13),L86*$AB$13,L86*$Y$4)+IF(ISNUMBER($AB$14),M86*$AB$14,M86*$Y$4)+IF(ISNUMBER($AB$15),N86*$AB$15,N86*$Y$4)+IF(ISNUMBER($AB$16),O86*$AB$16,O86*$Y$4)+IF(ISNUMBER($AB$17),P86*$AB$17,P86*$Y$4)+IF(ISNUMBER($AB$18),Q86*$AB$18,Q86*$Y$4)+IF(ISNUMBER($AB$19),R86*$AB$19,R86*$Y$4)</f>
        <v/>
      </c>
      <c r="U86" s="84">
        <f>T86-S86</f>
        <v/>
      </c>
    </row>
    <row r="87" ht="16" customHeight="1">
      <c r="A87" s="43" t="inlineStr">
        <is>
          <t>Jochim</t>
        </is>
      </c>
      <c r="B87" s="81">
        <f>COUNTIF(Dienstplan!B103:AE103,"FI")</f>
        <v/>
      </c>
      <c r="C87" s="81">
        <f>COUNTIF(Dienstplan!B103:AE103,"FII")</f>
        <v/>
      </c>
      <c r="D87" s="81">
        <f>COUNTIF(Dienstplan!B103:AE103,"SI")</f>
        <v/>
      </c>
      <c r="E87" s="81">
        <f>COUNTIF(Dienstplan!B103:AE103,"SII")</f>
        <v/>
      </c>
      <c r="F87" s="81">
        <f>COUNTIF(Dienstplan!B103:AE103,"NI")</f>
        <v/>
      </c>
      <c r="G87" s="81">
        <f>COUNTIF(Dienstplan!B103:AE103,"DI")</f>
        <v/>
      </c>
      <c r="H87" s="81">
        <f>COUNTIF(Dienstplan!B103:AE103,"DII")</f>
        <v/>
      </c>
      <c r="I87" s="81">
        <f>COUNTIF(Dienstplan!B103:AE103,"KU")</f>
        <v/>
      </c>
      <c r="J87" s="81">
        <f>COUNTIF(Dienstplan!B103:AE103,"EH")</f>
        <v/>
      </c>
      <c r="K87" s="81">
        <f>COUNTIF(Dienstplan!B103:AE103,"SD")</f>
        <v/>
      </c>
      <c r="L87" s="81">
        <f>COUNTIF(Dienstplan!B103:AE103,"GT")</f>
        <v/>
      </c>
      <c r="M87" s="81">
        <f>COUNTIF(Dienstplan!B103:AE103,"NST")</f>
        <v/>
      </c>
      <c r="N87" s="81">
        <f>COUNTIF(Dienstplan!B103:AE103,"KT")</f>
        <v/>
      </c>
      <c r="O87" s="81">
        <f>COUNTIF(Dienstplan!B103:AE103,"Fobi")</f>
        <v/>
      </c>
      <c r="P87" s="81">
        <f>COUNTIF(Dienstplan!B103:AE103,"U")</f>
        <v/>
      </c>
      <c r="Q87" s="81">
        <f>COUNTIF(Dienstplan!B103:AE103,"A")</f>
        <v/>
      </c>
      <c r="R87" s="81">
        <f>COUNTIF(Dienstplan!B103:AE103,"T-ZUG")</f>
        <v/>
      </c>
      <c r="S87" s="81">
        <f>22*$Y$5</f>
        <v/>
      </c>
      <c r="T87" s="81">
        <f>IF(ISNUMBER($AB$3),B87*$AB$3,B87*$Y$5)+IF(ISNUMBER($AB$4),C87*$AB$4,C87*$Y$5)+IF(ISNUMBER($AB$5),D87*$AB$5,D87*$Y$5)+IF(ISNUMBER($AB$6),E87*$AB$6,E87*$Y$5)+IF(ISNUMBER($AB$7),F87*$AB$7,F87*$Y$5)+IF(ISNUMBER($AB$8),G87*$AB$8,G87*$Y$5)+IF(ISNUMBER($AB$9),H87*$AB$9,H87*$Y$5)+IF(ISNUMBER($AB$10),I87*$AB$10,I87*$Y$5)+IF(ISNUMBER($AB$11),J87*$AB$11,J87*$Y$5)+IF(ISNUMBER($AB$12),K87*$AB$12,K87*$Y$5)+IF(ISNUMBER($AB$13),L87*$AB$13,L87*$Y$5)+IF(ISNUMBER($AB$14),M87*$AB$14,M87*$Y$5)+IF(ISNUMBER($AB$15),N87*$AB$15,N87*$Y$5)+IF(ISNUMBER($AB$16),O87*$AB$16,O87*$Y$5)+IF(ISNUMBER($AB$17),P87*$AB$17,P87*$Y$5)+IF(ISNUMBER($AB$18),Q87*$AB$18,Q87*$Y$5)+IF(ISNUMBER($AB$19),R87*$AB$19,R87*$Y$5)</f>
        <v/>
      </c>
      <c r="U87" s="82">
        <f>T87-S87</f>
        <v/>
      </c>
    </row>
    <row r="88" ht="16" customHeight="1">
      <c r="A88" s="43" t="inlineStr">
        <is>
          <t>Wunsch</t>
        </is>
      </c>
      <c r="B88" s="83">
        <f>COUNTIF(Dienstplan!B104:AE104,"FI")</f>
        <v/>
      </c>
      <c r="C88" s="83">
        <f>COUNTIF(Dienstplan!B104:AE104,"FII")</f>
        <v/>
      </c>
      <c r="D88" s="83">
        <f>COUNTIF(Dienstplan!B104:AE104,"SI")</f>
        <v/>
      </c>
      <c r="E88" s="83">
        <f>COUNTIF(Dienstplan!B104:AE104,"SII")</f>
        <v/>
      </c>
      <c r="F88" s="83">
        <f>COUNTIF(Dienstplan!B104:AE104,"NI")</f>
        <v/>
      </c>
      <c r="G88" s="83">
        <f>COUNTIF(Dienstplan!B104:AE104,"DI")</f>
        <v/>
      </c>
      <c r="H88" s="83">
        <f>COUNTIF(Dienstplan!B104:AE104,"DII")</f>
        <v/>
      </c>
      <c r="I88" s="83">
        <f>COUNTIF(Dienstplan!B104:AE104,"KU")</f>
        <v/>
      </c>
      <c r="J88" s="83">
        <f>COUNTIF(Dienstplan!B104:AE104,"EH")</f>
        <v/>
      </c>
      <c r="K88" s="83">
        <f>COUNTIF(Dienstplan!B104:AE104,"SD")</f>
        <v/>
      </c>
      <c r="L88" s="83">
        <f>COUNTIF(Dienstplan!B104:AE104,"GT")</f>
        <v/>
      </c>
      <c r="M88" s="83">
        <f>COUNTIF(Dienstplan!B104:AE104,"NST")</f>
        <v/>
      </c>
      <c r="N88" s="83">
        <f>COUNTIF(Dienstplan!B104:AE104,"KT")</f>
        <v/>
      </c>
      <c r="O88" s="83">
        <f>COUNTIF(Dienstplan!B104:AE104,"Fobi")</f>
        <v/>
      </c>
      <c r="P88" s="83">
        <f>COUNTIF(Dienstplan!B104:AE104,"U")</f>
        <v/>
      </c>
      <c r="Q88" s="83">
        <f>COUNTIF(Dienstplan!B104:AE104,"A")</f>
        <v/>
      </c>
      <c r="R88" s="83">
        <f>COUNTIF(Dienstplan!B104:AE104,"T-ZUG")</f>
        <v/>
      </c>
      <c r="S88" s="83">
        <f>22*$Y$6</f>
        <v/>
      </c>
      <c r="T88" s="83">
        <f>IF(ISNUMBER($AB$3),B88*$AB$3,B88*$Y$6)+IF(ISNUMBER($AB$4),C88*$AB$4,C88*$Y$6)+IF(ISNUMBER($AB$5),D88*$AB$5,D88*$Y$6)+IF(ISNUMBER($AB$6),E88*$AB$6,E88*$Y$6)+IF(ISNUMBER($AB$7),F88*$AB$7,F88*$Y$6)+IF(ISNUMBER($AB$8),G88*$AB$8,G88*$Y$6)+IF(ISNUMBER($AB$9),H88*$AB$9,H88*$Y$6)+IF(ISNUMBER($AB$10),I88*$AB$10,I88*$Y$6)+IF(ISNUMBER($AB$11),J88*$AB$11,J88*$Y$6)+IF(ISNUMBER($AB$12),K88*$AB$12,K88*$Y$6)+IF(ISNUMBER($AB$13),L88*$AB$13,L88*$Y$6)+IF(ISNUMBER($AB$14),M88*$AB$14,M88*$Y$6)+IF(ISNUMBER($AB$15),N88*$AB$15,N88*$Y$6)+IF(ISNUMBER($AB$16),O88*$AB$16,O88*$Y$6)+IF(ISNUMBER($AB$17),P88*$AB$17,P88*$Y$6)+IF(ISNUMBER($AB$18),Q88*$AB$18,Q88*$Y$6)+IF(ISNUMBER($AB$19),R88*$AB$19,R88*$Y$6)</f>
        <v/>
      </c>
      <c r="U88" s="84">
        <f>T88-S88</f>
        <v/>
      </c>
    </row>
    <row r="89" ht="16" customHeight="1">
      <c r="A89" s="43" t="inlineStr">
        <is>
          <t>Göpfrich</t>
        </is>
      </c>
      <c r="B89" s="81">
        <f>COUNTIF(Dienstplan!B105:AE105,"FI")</f>
        <v/>
      </c>
      <c r="C89" s="81">
        <f>COUNTIF(Dienstplan!B105:AE105,"FII")</f>
        <v/>
      </c>
      <c r="D89" s="81">
        <f>COUNTIF(Dienstplan!B105:AE105,"SI")</f>
        <v/>
      </c>
      <c r="E89" s="81">
        <f>COUNTIF(Dienstplan!B105:AE105,"SII")</f>
        <v/>
      </c>
      <c r="F89" s="81">
        <f>COUNTIF(Dienstplan!B105:AE105,"NI")</f>
        <v/>
      </c>
      <c r="G89" s="81">
        <f>COUNTIF(Dienstplan!B105:AE105,"DI")</f>
        <v/>
      </c>
      <c r="H89" s="81">
        <f>COUNTIF(Dienstplan!B105:AE105,"DII")</f>
        <v/>
      </c>
      <c r="I89" s="81">
        <f>COUNTIF(Dienstplan!B105:AE105,"KU")</f>
        <v/>
      </c>
      <c r="J89" s="81">
        <f>COUNTIF(Dienstplan!B105:AE105,"EH")</f>
        <v/>
      </c>
      <c r="K89" s="81">
        <f>COUNTIF(Dienstplan!B105:AE105,"SD")</f>
        <v/>
      </c>
      <c r="L89" s="81">
        <f>COUNTIF(Dienstplan!B105:AE105,"GT")</f>
        <v/>
      </c>
      <c r="M89" s="81">
        <f>COUNTIF(Dienstplan!B105:AE105,"NST")</f>
        <v/>
      </c>
      <c r="N89" s="81">
        <f>COUNTIF(Dienstplan!B105:AE105,"KT")</f>
        <v/>
      </c>
      <c r="O89" s="81">
        <f>COUNTIF(Dienstplan!B105:AE105,"Fobi")</f>
        <v/>
      </c>
      <c r="P89" s="81">
        <f>COUNTIF(Dienstplan!B105:AE105,"U")</f>
        <v/>
      </c>
      <c r="Q89" s="81">
        <f>COUNTIF(Dienstplan!B105:AE105,"A")</f>
        <v/>
      </c>
      <c r="R89" s="81">
        <f>COUNTIF(Dienstplan!B105:AE105,"T-ZUG")</f>
        <v/>
      </c>
      <c r="S89" s="81">
        <f>22*$Y$7</f>
        <v/>
      </c>
      <c r="T89" s="81">
        <f>IF(ISNUMBER($AB$3),B89*$AB$3,B89*$Y$7)+IF(ISNUMBER($AB$4),C89*$AB$4,C89*$Y$7)+IF(ISNUMBER($AB$5),D89*$AB$5,D89*$Y$7)+IF(ISNUMBER($AB$6),E89*$AB$6,E89*$Y$7)+IF(ISNUMBER($AB$7),F89*$AB$7,F89*$Y$7)+IF(ISNUMBER($AB$8),G89*$AB$8,G89*$Y$7)+IF(ISNUMBER($AB$9),H89*$AB$9,H89*$Y$7)+IF(ISNUMBER($AB$10),I89*$AB$10,I89*$Y$7)+IF(ISNUMBER($AB$11),J89*$AB$11,J89*$Y$7)+IF(ISNUMBER($AB$12),K89*$AB$12,K89*$Y$7)+IF(ISNUMBER($AB$13),L89*$AB$13,L89*$Y$7)+IF(ISNUMBER($AB$14),M89*$AB$14,M89*$Y$7)+IF(ISNUMBER($AB$15),N89*$AB$15,N89*$Y$7)+IF(ISNUMBER($AB$16),O89*$AB$16,O89*$Y$7)+IF(ISNUMBER($AB$17),P89*$AB$17,P89*$Y$7)+IF(ISNUMBER($AB$18),Q89*$AB$18,Q89*$Y$7)+IF(ISNUMBER($AB$19),R89*$AB$19,R89*$Y$7)</f>
        <v/>
      </c>
      <c r="U89" s="82">
        <f>T89-S89</f>
        <v/>
      </c>
    </row>
    <row r="90" ht="16" customHeight="1">
      <c r="A90" s="43" t="inlineStr">
        <is>
          <t>Zeller</t>
        </is>
      </c>
      <c r="B90" s="83">
        <f>COUNTIF(Dienstplan!B106:AE106,"FI")</f>
        <v/>
      </c>
      <c r="C90" s="83">
        <f>COUNTIF(Dienstplan!B106:AE106,"FII")</f>
        <v/>
      </c>
      <c r="D90" s="83">
        <f>COUNTIF(Dienstplan!B106:AE106,"SI")</f>
        <v/>
      </c>
      <c r="E90" s="83">
        <f>COUNTIF(Dienstplan!B106:AE106,"SII")</f>
        <v/>
      </c>
      <c r="F90" s="83">
        <f>COUNTIF(Dienstplan!B106:AE106,"NI")</f>
        <v/>
      </c>
      <c r="G90" s="83">
        <f>COUNTIF(Dienstplan!B106:AE106,"DI")</f>
        <v/>
      </c>
      <c r="H90" s="83">
        <f>COUNTIF(Dienstplan!B106:AE106,"DII")</f>
        <v/>
      </c>
      <c r="I90" s="83">
        <f>COUNTIF(Dienstplan!B106:AE106,"KU")</f>
        <v/>
      </c>
      <c r="J90" s="83">
        <f>COUNTIF(Dienstplan!B106:AE106,"EH")</f>
        <v/>
      </c>
      <c r="K90" s="83">
        <f>COUNTIF(Dienstplan!B106:AE106,"SD")</f>
        <v/>
      </c>
      <c r="L90" s="83">
        <f>COUNTIF(Dienstplan!B106:AE106,"GT")</f>
        <v/>
      </c>
      <c r="M90" s="83">
        <f>COUNTIF(Dienstplan!B106:AE106,"NST")</f>
        <v/>
      </c>
      <c r="N90" s="83">
        <f>COUNTIF(Dienstplan!B106:AE106,"KT")</f>
        <v/>
      </c>
      <c r="O90" s="83">
        <f>COUNTIF(Dienstplan!B106:AE106,"Fobi")</f>
        <v/>
      </c>
      <c r="P90" s="83">
        <f>COUNTIF(Dienstplan!B106:AE106,"U")</f>
        <v/>
      </c>
      <c r="Q90" s="83">
        <f>COUNTIF(Dienstplan!B106:AE106,"A")</f>
        <v/>
      </c>
      <c r="R90" s="83">
        <f>COUNTIF(Dienstplan!B106:AE106,"T-ZUG")</f>
        <v/>
      </c>
      <c r="S90" s="83">
        <f>22*$Y$8</f>
        <v/>
      </c>
      <c r="T90" s="83">
        <f>IF(ISNUMBER($AB$3),B90*$AB$3,B90*$Y$8)+IF(ISNUMBER($AB$4),C90*$AB$4,C90*$Y$8)+IF(ISNUMBER($AB$5),D90*$AB$5,D90*$Y$8)+IF(ISNUMBER($AB$6),E90*$AB$6,E90*$Y$8)+IF(ISNUMBER($AB$7),F90*$AB$7,F90*$Y$8)+IF(ISNUMBER($AB$8),G90*$AB$8,G90*$Y$8)+IF(ISNUMBER($AB$9),H90*$AB$9,H90*$Y$8)+IF(ISNUMBER($AB$10),I90*$AB$10,I90*$Y$8)+IF(ISNUMBER($AB$11),J90*$AB$11,J90*$Y$8)+IF(ISNUMBER($AB$12),K90*$AB$12,K90*$Y$8)+IF(ISNUMBER($AB$13),L90*$AB$13,L90*$Y$8)+IF(ISNUMBER($AB$14),M90*$AB$14,M90*$Y$8)+IF(ISNUMBER($AB$15),N90*$AB$15,N90*$Y$8)+IF(ISNUMBER($AB$16),O90*$AB$16,O90*$Y$8)+IF(ISNUMBER($AB$17),P90*$AB$17,P90*$Y$8)+IF(ISNUMBER($AB$18),Q90*$AB$18,Q90*$Y$8)+IF(ISNUMBER($AB$19),R90*$AB$19,R90*$Y$8)</f>
        <v/>
      </c>
      <c r="U90" s="84">
        <f>T90-S90</f>
        <v/>
      </c>
    </row>
    <row r="91" ht="16" customHeight="1">
      <c r="A91" s="43" t="inlineStr">
        <is>
          <t>Behrendt</t>
        </is>
      </c>
      <c r="B91" s="81">
        <f>COUNTIF(Dienstplan!B107:AE107,"FI")</f>
        <v/>
      </c>
      <c r="C91" s="81">
        <f>COUNTIF(Dienstplan!B107:AE107,"FII")</f>
        <v/>
      </c>
      <c r="D91" s="81">
        <f>COUNTIF(Dienstplan!B107:AE107,"SI")</f>
        <v/>
      </c>
      <c r="E91" s="81">
        <f>COUNTIF(Dienstplan!B107:AE107,"SII")</f>
        <v/>
      </c>
      <c r="F91" s="81">
        <f>COUNTIF(Dienstplan!B107:AE107,"NI")</f>
        <v/>
      </c>
      <c r="G91" s="81">
        <f>COUNTIF(Dienstplan!B107:AE107,"DI")</f>
        <v/>
      </c>
      <c r="H91" s="81">
        <f>COUNTIF(Dienstplan!B107:AE107,"DII")</f>
        <v/>
      </c>
      <c r="I91" s="81">
        <f>COUNTIF(Dienstplan!B107:AE107,"KU")</f>
        <v/>
      </c>
      <c r="J91" s="81">
        <f>COUNTIF(Dienstplan!B107:AE107,"EH")</f>
        <v/>
      </c>
      <c r="K91" s="81">
        <f>COUNTIF(Dienstplan!B107:AE107,"SD")</f>
        <v/>
      </c>
      <c r="L91" s="81">
        <f>COUNTIF(Dienstplan!B107:AE107,"GT")</f>
        <v/>
      </c>
      <c r="M91" s="81">
        <f>COUNTIF(Dienstplan!B107:AE107,"NST")</f>
        <v/>
      </c>
      <c r="N91" s="81">
        <f>COUNTIF(Dienstplan!B107:AE107,"KT")</f>
        <v/>
      </c>
      <c r="O91" s="81">
        <f>COUNTIF(Dienstplan!B107:AE107,"Fobi")</f>
        <v/>
      </c>
      <c r="P91" s="81">
        <f>COUNTIF(Dienstplan!B107:AE107,"U")</f>
        <v/>
      </c>
      <c r="Q91" s="81">
        <f>COUNTIF(Dienstplan!B107:AE107,"A")</f>
        <v/>
      </c>
      <c r="R91" s="81">
        <f>COUNTIF(Dienstplan!B107:AE107,"T-ZUG")</f>
        <v/>
      </c>
      <c r="S91" s="81">
        <f>22*$Y$9</f>
        <v/>
      </c>
      <c r="T91" s="81">
        <f>IF(ISNUMBER($AB$3),B91*$AB$3,B91*$Y$9)+IF(ISNUMBER($AB$4),C91*$AB$4,C91*$Y$9)+IF(ISNUMBER($AB$5),D91*$AB$5,D91*$Y$9)+IF(ISNUMBER($AB$6),E91*$AB$6,E91*$Y$9)+IF(ISNUMBER($AB$7),F91*$AB$7,F91*$Y$9)+IF(ISNUMBER($AB$8),G91*$AB$8,G91*$Y$9)+IF(ISNUMBER($AB$9),H91*$AB$9,H91*$Y$9)+IF(ISNUMBER($AB$10),I91*$AB$10,I91*$Y$9)+IF(ISNUMBER($AB$11),J91*$AB$11,J91*$Y$9)+IF(ISNUMBER($AB$12),K91*$AB$12,K91*$Y$9)+IF(ISNUMBER($AB$13),L91*$AB$13,L91*$Y$9)+IF(ISNUMBER($AB$14),M91*$AB$14,M91*$Y$9)+IF(ISNUMBER($AB$15),N91*$AB$15,N91*$Y$9)+IF(ISNUMBER($AB$16),O91*$AB$16,O91*$Y$9)+IF(ISNUMBER($AB$17),P91*$AB$17,P91*$Y$9)+IF(ISNUMBER($AB$18),Q91*$AB$18,Q91*$Y$9)+IF(ISNUMBER($AB$19),R91*$AB$19,R91*$Y$9)</f>
        <v/>
      </c>
      <c r="U91" s="82">
        <f>T91-S91</f>
        <v/>
      </c>
    </row>
    <row r="92" ht="16" customHeight="1">
      <c r="A92" s="43" t="inlineStr">
        <is>
          <t>Krempl</t>
        </is>
      </c>
      <c r="B92" s="83">
        <f>COUNTIF(Dienstplan!B108:AE108,"FI")</f>
        <v/>
      </c>
      <c r="C92" s="83">
        <f>COUNTIF(Dienstplan!B108:AE108,"FII")</f>
        <v/>
      </c>
      <c r="D92" s="83">
        <f>COUNTIF(Dienstplan!B108:AE108,"SI")</f>
        <v/>
      </c>
      <c r="E92" s="83">
        <f>COUNTIF(Dienstplan!B108:AE108,"SII")</f>
        <v/>
      </c>
      <c r="F92" s="83">
        <f>COUNTIF(Dienstplan!B108:AE108,"NI")</f>
        <v/>
      </c>
      <c r="G92" s="83">
        <f>COUNTIF(Dienstplan!B108:AE108,"DI")</f>
        <v/>
      </c>
      <c r="H92" s="83">
        <f>COUNTIF(Dienstplan!B108:AE108,"DII")</f>
        <v/>
      </c>
      <c r="I92" s="83">
        <f>COUNTIF(Dienstplan!B108:AE108,"KU")</f>
        <v/>
      </c>
      <c r="J92" s="83">
        <f>COUNTIF(Dienstplan!B108:AE108,"EH")</f>
        <v/>
      </c>
      <c r="K92" s="83">
        <f>COUNTIF(Dienstplan!B108:AE108,"SD")</f>
        <v/>
      </c>
      <c r="L92" s="83">
        <f>COUNTIF(Dienstplan!B108:AE108,"GT")</f>
        <v/>
      </c>
      <c r="M92" s="83">
        <f>COUNTIF(Dienstplan!B108:AE108,"NST")</f>
        <v/>
      </c>
      <c r="N92" s="83">
        <f>COUNTIF(Dienstplan!B108:AE108,"KT")</f>
        <v/>
      </c>
      <c r="O92" s="83">
        <f>COUNTIF(Dienstplan!B108:AE108,"Fobi")</f>
        <v/>
      </c>
      <c r="P92" s="83">
        <f>COUNTIF(Dienstplan!B108:AE108,"U")</f>
        <v/>
      </c>
      <c r="Q92" s="83">
        <f>COUNTIF(Dienstplan!B108:AE108,"A")</f>
        <v/>
      </c>
      <c r="R92" s="83">
        <f>COUNTIF(Dienstplan!B108:AE108,"T-ZUG")</f>
        <v/>
      </c>
      <c r="S92" s="83">
        <f>22*$Y$10</f>
        <v/>
      </c>
      <c r="T92" s="83">
        <f>IF(ISNUMBER($AB$3),B92*$AB$3,B92*$Y$10)+IF(ISNUMBER($AB$4),C92*$AB$4,C92*$Y$10)+IF(ISNUMBER($AB$5),D92*$AB$5,D92*$Y$10)+IF(ISNUMBER($AB$6),E92*$AB$6,E92*$Y$10)+IF(ISNUMBER($AB$7),F92*$AB$7,F92*$Y$10)+IF(ISNUMBER($AB$8),G92*$AB$8,G92*$Y$10)+IF(ISNUMBER($AB$9),H92*$AB$9,H92*$Y$10)+IF(ISNUMBER($AB$10),I92*$AB$10,I92*$Y$10)+IF(ISNUMBER($AB$11),J92*$AB$11,J92*$Y$10)+IF(ISNUMBER($AB$12),K92*$AB$12,K92*$Y$10)+IF(ISNUMBER($AB$13),L92*$AB$13,L92*$Y$10)+IF(ISNUMBER($AB$14),M92*$AB$14,M92*$Y$10)+IF(ISNUMBER($AB$15),N92*$AB$15,N92*$Y$10)+IF(ISNUMBER($AB$16),O92*$AB$16,O92*$Y$10)+IF(ISNUMBER($AB$17),P92*$AB$17,P92*$Y$10)+IF(ISNUMBER($AB$18),Q92*$AB$18,Q92*$Y$10)+IF(ISNUMBER($AB$19),R92*$AB$19,R92*$Y$10)</f>
        <v/>
      </c>
      <c r="U92" s="84">
        <f>T92-S92</f>
        <v/>
      </c>
    </row>
    <row r="93" ht="16" customHeight="1">
      <c r="A93" s="43" t="inlineStr">
        <is>
          <t>Putschler</t>
        </is>
      </c>
      <c r="B93" s="81">
        <f>COUNTIF(Dienstplan!B109:AE109,"FI")</f>
        <v/>
      </c>
      <c r="C93" s="81">
        <f>COUNTIF(Dienstplan!B109:AE109,"FII")</f>
        <v/>
      </c>
      <c r="D93" s="81">
        <f>COUNTIF(Dienstplan!B109:AE109,"SI")</f>
        <v/>
      </c>
      <c r="E93" s="81">
        <f>COUNTIF(Dienstplan!B109:AE109,"SII")</f>
        <v/>
      </c>
      <c r="F93" s="81">
        <f>COUNTIF(Dienstplan!B109:AE109,"NI")</f>
        <v/>
      </c>
      <c r="G93" s="81">
        <f>COUNTIF(Dienstplan!B109:AE109,"DI")</f>
        <v/>
      </c>
      <c r="H93" s="81">
        <f>COUNTIF(Dienstplan!B109:AE109,"DII")</f>
        <v/>
      </c>
      <c r="I93" s="81">
        <f>COUNTIF(Dienstplan!B109:AE109,"KU")</f>
        <v/>
      </c>
      <c r="J93" s="81">
        <f>COUNTIF(Dienstplan!B109:AE109,"EH")</f>
        <v/>
      </c>
      <c r="K93" s="81">
        <f>COUNTIF(Dienstplan!B109:AE109,"SD")</f>
        <v/>
      </c>
      <c r="L93" s="81">
        <f>COUNTIF(Dienstplan!B109:AE109,"GT")</f>
        <v/>
      </c>
      <c r="M93" s="81">
        <f>COUNTIF(Dienstplan!B109:AE109,"NST")</f>
        <v/>
      </c>
      <c r="N93" s="81">
        <f>COUNTIF(Dienstplan!B109:AE109,"KT")</f>
        <v/>
      </c>
      <c r="O93" s="81">
        <f>COUNTIF(Dienstplan!B109:AE109,"Fobi")</f>
        <v/>
      </c>
      <c r="P93" s="81">
        <f>COUNTIF(Dienstplan!B109:AE109,"U")</f>
        <v/>
      </c>
      <c r="Q93" s="81">
        <f>COUNTIF(Dienstplan!B109:AE109,"A")</f>
        <v/>
      </c>
      <c r="R93" s="81">
        <f>COUNTIF(Dienstplan!B109:AE109,"T-ZUG")</f>
        <v/>
      </c>
      <c r="S93" s="81">
        <f>22*$Y$11</f>
        <v/>
      </c>
      <c r="T93" s="81">
        <f>IF(ISNUMBER($AB$3),B93*$AB$3,B93*$Y$11)+IF(ISNUMBER($AB$4),C93*$AB$4,C93*$Y$11)+IF(ISNUMBER($AB$5),D93*$AB$5,D93*$Y$11)+IF(ISNUMBER($AB$6),E93*$AB$6,E93*$Y$11)+IF(ISNUMBER($AB$7),F93*$AB$7,F93*$Y$11)+IF(ISNUMBER($AB$8),G93*$AB$8,G93*$Y$11)+IF(ISNUMBER($AB$9),H93*$AB$9,H93*$Y$11)+IF(ISNUMBER($AB$10),I93*$AB$10,I93*$Y$11)+IF(ISNUMBER($AB$11),J93*$AB$11,J93*$Y$11)+IF(ISNUMBER($AB$12),K93*$AB$12,K93*$Y$11)+IF(ISNUMBER($AB$13),L93*$AB$13,L93*$Y$11)+IF(ISNUMBER($AB$14),M93*$AB$14,M93*$Y$11)+IF(ISNUMBER($AB$15),N93*$AB$15,N93*$Y$11)+IF(ISNUMBER($AB$16),O93*$AB$16,O93*$Y$11)+IF(ISNUMBER($AB$17),P93*$AB$17,P93*$Y$11)+IF(ISNUMBER($AB$18),Q93*$AB$18,Q93*$Y$11)+IF(ISNUMBER($AB$19),R93*$AB$19,R93*$Y$11)</f>
        <v/>
      </c>
      <c r="U93" s="82">
        <f>T93-S93</f>
        <v/>
      </c>
    </row>
    <row r="94" ht="16" customHeight="1">
      <c r="A94" s="43" t="inlineStr">
        <is>
          <t>Kunz</t>
        </is>
      </c>
      <c r="B94" s="83">
        <f>COUNTIF(Dienstplan!B110:AE110,"FI")</f>
        <v/>
      </c>
      <c r="C94" s="83">
        <f>COUNTIF(Dienstplan!B110:AE110,"FII")</f>
        <v/>
      </c>
      <c r="D94" s="83">
        <f>COUNTIF(Dienstplan!B110:AE110,"SI")</f>
        <v/>
      </c>
      <c r="E94" s="83">
        <f>COUNTIF(Dienstplan!B110:AE110,"SII")</f>
        <v/>
      </c>
      <c r="F94" s="83">
        <f>COUNTIF(Dienstplan!B110:AE110,"NI")</f>
        <v/>
      </c>
      <c r="G94" s="83">
        <f>COUNTIF(Dienstplan!B110:AE110,"DI")</f>
        <v/>
      </c>
      <c r="H94" s="83">
        <f>COUNTIF(Dienstplan!B110:AE110,"DII")</f>
        <v/>
      </c>
      <c r="I94" s="83">
        <f>COUNTIF(Dienstplan!B110:AE110,"KU")</f>
        <v/>
      </c>
      <c r="J94" s="83">
        <f>COUNTIF(Dienstplan!B110:AE110,"EH")</f>
        <v/>
      </c>
      <c r="K94" s="83">
        <f>COUNTIF(Dienstplan!B110:AE110,"SD")</f>
        <v/>
      </c>
      <c r="L94" s="83">
        <f>COUNTIF(Dienstplan!B110:AE110,"GT")</f>
        <v/>
      </c>
      <c r="M94" s="83">
        <f>COUNTIF(Dienstplan!B110:AE110,"NST")</f>
        <v/>
      </c>
      <c r="N94" s="83">
        <f>COUNTIF(Dienstplan!B110:AE110,"KT")</f>
        <v/>
      </c>
      <c r="O94" s="83">
        <f>COUNTIF(Dienstplan!B110:AE110,"Fobi")</f>
        <v/>
      </c>
      <c r="P94" s="83">
        <f>COUNTIF(Dienstplan!B110:AE110,"U")</f>
        <v/>
      </c>
      <c r="Q94" s="83">
        <f>COUNTIF(Dienstplan!B110:AE110,"A")</f>
        <v/>
      </c>
      <c r="R94" s="83">
        <f>COUNTIF(Dienstplan!B110:AE110,"T-ZUG")</f>
        <v/>
      </c>
      <c r="S94" s="83">
        <f>22*$Y$12</f>
        <v/>
      </c>
      <c r="T94" s="83">
        <f>IF(ISNUMBER($AB$3),B94*$AB$3,B94*$Y$12)+IF(ISNUMBER($AB$4),C94*$AB$4,C94*$Y$12)+IF(ISNUMBER($AB$5),D94*$AB$5,D94*$Y$12)+IF(ISNUMBER($AB$6),E94*$AB$6,E94*$Y$12)+IF(ISNUMBER($AB$7),F94*$AB$7,F94*$Y$12)+IF(ISNUMBER($AB$8),G94*$AB$8,G94*$Y$12)+IF(ISNUMBER($AB$9),H94*$AB$9,H94*$Y$12)+IF(ISNUMBER($AB$10),I94*$AB$10,I94*$Y$12)+IF(ISNUMBER($AB$11),J94*$AB$11,J94*$Y$12)+IF(ISNUMBER($AB$12),K94*$AB$12,K94*$Y$12)+IF(ISNUMBER($AB$13),L94*$AB$13,L94*$Y$12)+IF(ISNUMBER($AB$14),M94*$AB$14,M94*$Y$12)+IF(ISNUMBER($AB$15),N94*$AB$15,N94*$Y$12)+IF(ISNUMBER($AB$16),O94*$AB$16,O94*$Y$12)+IF(ISNUMBER($AB$17),P94*$AB$17,P94*$Y$12)+IF(ISNUMBER($AB$18),Q94*$AB$18,Q94*$Y$12)+IF(ISNUMBER($AB$19),R94*$AB$19,R94*$Y$12)</f>
        <v/>
      </c>
      <c r="U94" s="84">
        <f>T94-S94</f>
        <v/>
      </c>
    </row>
    <row r="95" ht="16" customHeight="1">
      <c r="A95" s="43" t="inlineStr">
        <is>
          <t>Schmidt</t>
        </is>
      </c>
      <c r="B95" s="81">
        <f>COUNTIF(Dienstplan!B111:AE111,"FI")</f>
        <v/>
      </c>
      <c r="C95" s="81">
        <f>COUNTIF(Dienstplan!B111:AE111,"FII")</f>
        <v/>
      </c>
      <c r="D95" s="81">
        <f>COUNTIF(Dienstplan!B111:AE111,"SI")</f>
        <v/>
      </c>
      <c r="E95" s="81">
        <f>COUNTIF(Dienstplan!B111:AE111,"SII")</f>
        <v/>
      </c>
      <c r="F95" s="81">
        <f>COUNTIF(Dienstplan!B111:AE111,"NI")</f>
        <v/>
      </c>
      <c r="G95" s="81">
        <f>COUNTIF(Dienstplan!B111:AE111,"DI")</f>
        <v/>
      </c>
      <c r="H95" s="81">
        <f>COUNTIF(Dienstplan!B111:AE111,"DII")</f>
        <v/>
      </c>
      <c r="I95" s="81">
        <f>COUNTIF(Dienstplan!B111:AE111,"KU")</f>
        <v/>
      </c>
      <c r="J95" s="81">
        <f>COUNTIF(Dienstplan!B111:AE111,"EH")</f>
        <v/>
      </c>
      <c r="K95" s="81">
        <f>COUNTIF(Dienstplan!B111:AE111,"SD")</f>
        <v/>
      </c>
      <c r="L95" s="81">
        <f>COUNTIF(Dienstplan!B111:AE111,"GT")</f>
        <v/>
      </c>
      <c r="M95" s="81">
        <f>COUNTIF(Dienstplan!B111:AE111,"NST")</f>
        <v/>
      </c>
      <c r="N95" s="81">
        <f>COUNTIF(Dienstplan!B111:AE111,"KT")</f>
        <v/>
      </c>
      <c r="O95" s="81">
        <f>COUNTIF(Dienstplan!B111:AE111,"Fobi")</f>
        <v/>
      </c>
      <c r="P95" s="81">
        <f>COUNTIF(Dienstplan!B111:AE111,"U")</f>
        <v/>
      </c>
      <c r="Q95" s="81">
        <f>COUNTIF(Dienstplan!B111:AE111,"A")</f>
        <v/>
      </c>
      <c r="R95" s="81">
        <f>COUNTIF(Dienstplan!B111:AE111,"T-ZUG")</f>
        <v/>
      </c>
      <c r="S95" s="81">
        <f>22*$Y$13</f>
        <v/>
      </c>
      <c r="T95" s="81">
        <f>IF(ISNUMBER($AB$3),B95*$AB$3,B95*$Y$13)+IF(ISNUMBER($AB$4),C95*$AB$4,C95*$Y$13)+IF(ISNUMBER($AB$5),D95*$AB$5,D95*$Y$13)+IF(ISNUMBER($AB$6),E95*$AB$6,E95*$Y$13)+IF(ISNUMBER($AB$7),F95*$AB$7,F95*$Y$13)+IF(ISNUMBER($AB$8),G95*$AB$8,G95*$Y$13)+IF(ISNUMBER($AB$9),H95*$AB$9,H95*$Y$13)+IF(ISNUMBER($AB$10),I95*$AB$10,I95*$Y$13)+IF(ISNUMBER($AB$11),J95*$AB$11,J95*$Y$13)+IF(ISNUMBER($AB$12),K95*$AB$12,K95*$Y$13)+IF(ISNUMBER($AB$13),L95*$AB$13,L95*$Y$13)+IF(ISNUMBER($AB$14),M95*$AB$14,M95*$Y$13)+IF(ISNUMBER($AB$15),N95*$AB$15,N95*$Y$13)+IF(ISNUMBER($AB$16),O95*$AB$16,O95*$Y$13)+IF(ISNUMBER($AB$17),P95*$AB$17,P95*$Y$13)+IF(ISNUMBER($AB$18),Q95*$AB$18,Q95*$Y$13)+IF(ISNUMBER($AB$19),R95*$AB$19,R95*$Y$13)</f>
        <v/>
      </c>
      <c r="U95" s="82">
        <f>T95-S95</f>
        <v/>
      </c>
    </row>
    <row r="96" ht="16" customHeight="1">
      <c r="A96" s="43" t="inlineStr">
        <is>
          <t>Radimersky</t>
        </is>
      </c>
      <c r="B96" s="83">
        <f>COUNTIF(Dienstplan!B112:AE112,"FI")</f>
        <v/>
      </c>
      <c r="C96" s="83">
        <f>COUNTIF(Dienstplan!B112:AE112,"FII")</f>
        <v/>
      </c>
      <c r="D96" s="83">
        <f>COUNTIF(Dienstplan!B112:AE112,"SI")</f>
        <v/>
      </c>
      <c r="E96" s="83">
        <f>COUNTIF(Dienstplan!B112:AE112,"SII")</f>
        <v/>
      </c>
      <c r="F96" s="83">
        <f>COUNTIF(Dienstplan!B112:AE112,"NI")</f>
        <v/>
      </c>
      <c r="G96" s="83">
        <f>COUNTIF(Dienstplan!B112:AE112,"DI")</f>
        <v/>
      </c>
      <c r="H96" s="83">
        <f>COUNTIF(Dienstplan!B112:AE112,"DII")</f>
        <v/>
      </c>
      <c r="I96" s="83">
        <f>COUNTIF(Dienstplan!B112:AE112,"KU")</f>
        <v/>
      </c>
      <c r="J96" s="83">
        <f>COUNTIF(Dienstplan!B112:AE112,"EH")</f>
        <v/>
      </c>
      <c r="K96" s="83">
        <f>COUNTIF(Dienstplan!B112:AE112,"SD")</f>
        <v/>
      </c>
      <c r="L96" s="83">
        <f>COUNTIF(Dienstplan!B112:AE112,"GT")</f>
        <v/>
      </c>
      <c r="M96" s="83">
        <f>COUNTIF(Dienstplan!B112:AE112,"NST")</f>
        <v/>
      </c>
      <c r="N96" s="83">
        <f>COUNTIF(Dienstplan!B112:AE112,"KT")</f>
        <v/>
      </c>
      <c r="O96" s="83">
        <f>COUNTIF(Dienstplan!B112:AE112,"Fobi")</f>
        <v/>
      </c>
      <c r="P96" s="83">
        <f>COUNTIF(Dienstplan!B112:AE112,"U")</f>
        <v/>
      </c>
      <c r="Q96" s="83">
        <f>COUNTIF(Dienstplan!B112:AE112,"A")</f>
        <v/>
      </c>
      <c r="R96" s="83">
        <f>COUNTIF(Dienstplan!B112:AE112,"T-ZUG")</f>
        <v/>
      </c>
      <c r="S96" s="83">
        <f>22*$Y$14</f>
        <v/>
      </c>
      <c r="T96" s="83">
        <f>IF(ISNUMBER($AB$3),B96*$AB$3,B96*$Y$14)+IF(ISNUMBER($AB$4),C96*$AB$4,C96*$Y$14)+IF(ISNUMBER($AB$5),D96*$AB$5,D96*$Y$14)+IF(ISNUMBER($AB$6),E96*$AB$6,E96*$Y$14)+IF(ISNUMBER($AB$7),F96*$AB$7,F96*$Y$14)+IF(ISNUMBER($AB$8),G96*$AB$8,G96*$Y$14)+IF(ISNUMBER($AB$9),H96*$AB$9,H96*$Y$14)+IF(ISNUMBER($AB$10),I96*$AB$10,I96*$Y$14)+IF(ISNUMBER($AB$11),J96*$AB$11,J96*$Y$14)+IF(ISNUMBER($AB$12),K96*$AB$12,K96*$Y$14)+IF(ISNUMBER($AB$13),L96*$AB$13,L96*$Y$14)+IF(ISNUMBER($AB$14),M96*$AB$14,M96*$Y$14)+IF(ISNUMBER($AB$15),N96*$AB$15,N96*$Y$14)+IF(ISNUMBER($AB$16),O96*$AB$16,O96*$Y$14)+IF(ISNUMBER($AB$17),P96*$AB$17,P96*$Y$14)+IF(ISNUMBER($AB$18),Q96*$AB$18,Q96*$Y$14)+IF(ISNUMBER($AB$19),R96*$AB$19,R96*$Y$14)</f>
        <v/>
      </c>
      <c r="U96" s="84">
        <f>T96-S96</f>
        <v/>
      </c>
    </row>
    <row r="97" ht="18" customHeight="1">
      <c r="A97" s="88" t="inlineStr">
        <is>
          <t>Summe</t>
        </is>
      </c>
      <c r="B97" s="89">
        <f>SUM(B85:B96)</f>
        <v/>
      </c>
      <c r="C97" s="89">
        <f>SUM(C85:C96)</f>
        <v/>
      </c>
      <c r="D97" s="89">
        <f>SUM(D85:D96)</f>
        <v/>
      </c>
      <c r="E97" s="89">
        <f>SUM(E85:E96)</f>
        <v/>
      </c>
      <c r="F97" s="89">
        <f>SUM(F85:F96)</f>
        <v/>
      </c>
      <c r="G97" s="89">
        <f>SUM(G85:G96)</f>
        <v/>
      </c>
      <c r="H97" s="89">
        <f>SUM(H85:H96)</f>
        <v/>
      </c>
      <c r="I97" s="89">
        <f>SUM(I85:I96)</f>
        <v/>
      </c>
      <c r="J97" s="89">
        <f>SUM(J85:J96)</f>
        <v/>
      </c>
      <c r="K97" s="89">
        <f>SUM(K85:K96)</f>
        <v/>
      </c>
      <c r="L97" s="89">
        <f>SUM(L85:L96)</f>
        <v/>
      </c>
      <c r="M97" s="89">
        <f>SUM(M85:M96)</f>
        <v/>
      </c>
      <c r="N97" s="89">
        <f>SUM(N85:N96)</f>
        <v/>
      </c>
      <c r="O97" s="89">
        <f>SUM(O85:O96)</f>
        <v/>
      </c>
      <c r="P97" s="89">
        <f>SUM(P85:P96)</f>
        <v/>
      </c>
      <c r="Q97" s="89">
        <f>SUM(Q85:Q96)</f>
        <v/>
      </c>
      <c r="R97" s="89">
        <f>SUM(R85:R96)</f>
        <v/>
      </c>
      <c r="S97" s="89">
        <f>SUM(S85:S96)</f>
        <v/>
      </c>
      <c r="T97" s="89">
        <f>SUM(T85:T96)</f>
        <v/>
      </c>
      <c r="U97" s="90">
        <f>SUM(U85:U96)</f>
        <v/>
      </c>
    </row>
    <row r="99">
      <c r="A99" s="2" t="inlineStr">
        <is>
          <t>Juli</t>
        </is>
      </c>
      <c r="C99" t="inlineStr">
        <is>
          <t>AT:</t>
        </is>
      </c>
      <c r="D99" s="78" t="n">
        <v>22</v>
      </c>
      <c r="F99" t="inlineStr">
        <is>
          <t>Sa:</t>
        </is>
      </c>
      <c r="G99" s="78" t="n">
        <v>5</v>
      </c>
    </row>
    <row r="100" ht="18" customHeight="1">
      <c r="A100" s="34" t="inlineStr">
        <is>
          <t>MA</t>
        </is>
      </c>
      <c r="B100" s="36" t="inlineStr">
        <is>
          <t>FI</t>
        </is>
      </c>
      <c r="C100" s="36" t="inlineStr">
        <is>
          <t>FII</t>
        </is>
      </c>
      <c r="D100" s="36" t="inlineStr">
        <is>
          <t>SI</t>
        </is>
      </c>
      <c r="E100" s="36" t="inlineStr">
        <is>
          <t>SII</t>
        </is>
      </c>
      <c r="F100" s="36" t="inlineStr">
        <is>
          <t>NI</t>
        </is>
      </c>
      <c r="G100" s="36" t="inlineStr">
        <is>
          <t>DI</t>
        </is>
      </c>
      <c r="H100" s="36" t="inlineStr">
        <is>
          <t>DII</t>
        </is>
      </c>
      <c r="I100" s="36" t="inlineStr">
        <is>
          <t>KU</t>
        </is>
      </c>
      <c r="J100" s="36" t="inlineStr">
        <is>
          <t>EH</t>
        </is>
      </c>
      <c r="K100" s="36" t="inlineStr">
        <is>
          <t>SD</t>
        </is>
      </c>
      <c r="L100" s="36" t="inlineStr">
        <is>
          <t>GT</t>
        </is>
      </c>
      <c r="M100" s="36" t="inlineStr">
        <is>
          <t>NST</t>
        </is>
      </c>
      <c r="N100" s="36" t="inlineStr">
        <is>
          <t>KT</t>
        </is>
      </c>
      <c r="O100" s="36" t="inlineStr">
        <is>
          <t>Fobi</t>
        </is>
      </c>
      <c r="P100" s="36" t="inlineStr">
        <is>
          <t>U</t>
        </is>
      </c>
      <c r="Q100" s="36" t="inlineStr">
        <is>
          <t>A</t>
        </is>
      </c>
      <c r="R100" s="36" t="inlineStr">
        <is>
          <t>T-ZUG</t>
        </is>
      </c>
      <c r="S100" s="36" t="inlineStr">
        <is>
          <t>Soll</t>
        </is>
      </c>
      <c r="T100" s="36" t="inlineStr">
        <is>
          <t>Ist</t>
        </is>
      </c>
      <c r="U100" s="65" t="inlineStr">
        <is>
          <t>Diff</t>
        </is>
      </c>
    </row>
    <row r="101" ht="16" customHeight="1">
      <c r="A101" s="43" t="inlineStr">
        <is>
          <t>Breig</t>
        </is>
      </c>
      <c r="B101" s="81">
        <f>COUNTIF(Dienstplan!B120:AF120,"FI")</f>
        <v/>
      </c>
      <c r="C101" s="81">
        <f>COUNTIF(Dienstplan!B120:AF120,"FII")</f>
        <v/>
      </c>
      <c r="D101" s="81">
        <f>COUNTIF(Dienstplan!B120:AF120,"SI")</f>
        <v/>
      </c>
      <c r="E101" s="81">
        <f>COUNTIF(Dienstplan!B120:AF120,"SII")</f>
        <v/>
      </c>
      <c r="F101" s="81">
        <f>COUNTIF(Dienstplan!B120:AF120,"NI")</f>
        <v/>
      </c>
      <c r="G101" s="81">
        <f>COUNTIF(Dienstplan!B120:AF120,"DI")</f>
        <v/>
      </c>
      <c r="H101" s="81">
        <f>COUNTIF(Dienstplan!B120:AF120,"DII")</f>
        <v/>
      </c>
      <c r="I101" s="81">
        <f>COUNTIF(Dienstplan!B120:AF120,"KU")</f>
        <v/>
      </c>
      <c r="J101" s="81">
        <f>COUNTIF(Dienstplan!B120:AF120,"EH")</f>
        <v/>
      </c>
      <c r="K101" s="81">
        <f>COUNTIF(Dienstplan!B120:AF120,"SD")</f>
        <v/>
      </c>
      <c r="L101" s="81">
        <f>COUNTIF(Dienstplan!B120:AF120,"GT")</f>
        <v/>
      </c>
      <c r="M101" s="81">
        <f>COUNTIF(Dienstplan!B120:AF120,"NST")</f>
        <v/>
      </c>
      <c r="N101" s="81">
        <f>COUNTIF(Dienstplan!B120:AF120,"KT")</f>
        <v/>
      </c>
      <c r="O101" s="81">
        <f>COUNTIF(Dienstplan!B120:AF120,"Fobi")</f>
        <v/>
      </c>
      <c r="P101" s="81">
        <f>COUNTIF(Dienstplan!B120:AF120,"U")</f>
        <v/>
      </c>
      <c r="Q101" s="81">
        <f>COUNTIF(Dienstplan!B120:AF120,"A")</f>
        <v/>
      </c>
      <c r="R101" s="81">
        <f>COUNTIF(Dienstplan!B120:AF120,"T-ZUG")</f>
        <v/>
      </c>
      <c r="S101" s="81">
        <f>22*$Y$3</f>
        <v/>
      </c>
      <c r="T101" s="81">
        <f>IF(ISNUMBER($AB$3),B101*$AB$3,B101*$Y$3)+IF(ISNUMBER($AB$4),C101*$AB$4,C101*$Y$3)+IF(ISNUMBER($AB$5),D101*$AB$5,D101*$Y$3)+IF(ISNUMBER($AB$6),E101*$AB$6,E101*$Y$3)+IF(ISNUMBER($AB$7),F101*$AB$7,F101*$Y$3)+IF(ISNUMBER($AB$8),G101*$AB$8,G101*$Y$3)+IF(ISNUMBER($AB$9),H101*$AB$9,H101*$Y$3)+IF(ISNUMBER($AB$10),I101*$AB$10,I101*$Y$3)+IF(ISNUMBER($AB$11),J101*$AB$11,J101*$Y$3)+IF(ISNUMBER($AB$12),K101*$AB$12,K101*$Y$3)+IF(ISNUMBER($AB$13),L101*$AB$13,L101*$Y$3)+IF(ISNUMBER($AB$14),M101*$AB$14,M101*$Y$3)+IF(ISNUMBER($AB$15),N101*$AB$15,N101*$Y$3)+IF(ISNUMBER($AB$16),O101*$AB$16,O101*$Y$3)+IF(ISNUMBER($AB$17),P101*$AB$17,P101*$Y$3)+IF(ISNUMBER($AB$18),Q101*$AB$18,Q101*$Y$3)+IF(ISNUMBER($AB$19),R101*$AB$19,R101*$Y$3)</f>
        <v/>
      </c>
      <c r="U101" s="82">
        <f>T101-S101</f>
        <v/>
      </c>
    </row>
    <row r="102" ht="16" customHeight="1">
      <c r="A102" s="43" t="inlineStr">
        <is>
          <t>Siebert</t>
        </is>
      </c>
      <c r="B102" s="83">
        <f>COUNTIF(Dienstplan!B121:AF121,"FI")</f>
        <v/>
      </c>
      <c r="C102" s="83">
        <f>COUNTIF(Dienstplan!B121:AF121,"FII")</f>
        <v/>
      </c>
      <c r="D102" s="83">
        <f>COUNTIF(Dienstplan!B121:AF121,"SI")</f>
        <v/>
      </c>
      <c r="E102" s="83">
        <f>COUNTIF(Dienstplan!B121:AF121,"SII")</f>
        <v/>
      </c>
      <c r="F102" s="83">
        <f>COUNTIF(Dienstplan!B121:AF121,"NI")</f>
        <v/>
      </c>
      <c r="G102" s="83">
        <f>COUNTIF(Dienstplan!B121:AF121,"DI")</f>
        <v/>
      </c>
      <c r="H102" s="83">
        <f>COUNTIF(Dienstplan!B121:AF121,"DII")</f>
        <v/>
      </c>
      <c r="I102" s="83">
        <f>COUNTIF(Dienstplan!B121:AF121,"KU")</f>
        <v/>
      </c>
      <c r="J102" s="83">
        <f>COUNTIF(Dienstplan!B121:AF121,"EH")</f>
        <v/>
      </c>
      <c r="K102" s="83">
        <f>COUNTIF(Dienstplan!B121:AF121,"SD")</f>
        <v/>
      </c>
      <c r="L102" s="83">
        <f>COUNTIF(Dienstplan!B121:AF121,"GT")</f>
        <v/>
      </c>
      <c r="M102" s="83">
        <f>COUNTIF(Dienstplan!B121:AF121,"NST")</f>
        <v/>
      </c>
      <c r="N102" s="83">
        <f>COUNTIF(Dienstplan!B121:AF121,"KT")</f>
        <v/>
      </c>
      <c r="O102" s="83">
        <f>COUNTIF(Dienstplan!B121:AF121,"Fobi")</f>
        <v/>
      </c>
      <c r="P102" s="83">
        <f>COUNTIF(Dienstplan!B121:AF121,"U")</f>
        <v/>
      </c>
      <c r="Q102" s="83">
        <f>COUNTIF(Dienstplan!B121:AF121,"A")</f>
        <v/>
      </c>
      <c r="R102" s="83">
        <f>COUNTIF(Dienstplan!B121:AF121,"T-ZUG")</f>
        <v/>
      </c>
      <c r="S102" s="83">
        <f>22*$Y$4</f>
        <v/>
      </c>
      <c r="T102" s="83">
        <f>IF(ISNUMBER($AB$3),B102*$AB$3,B102*$Y$4)+IF(ISNUMBER($AB$4),C102*$AB$4,C102*$Y$4)+IF(ISNUMBER($AB$5),D102*$AB$5,D102*$Y$4)+IF(ISNUMBER($AB$6),E102*$AB$6,E102*$Y$4)+IF(ISNUMBER($AB$7),F102*$AB$7,F102*$Y$4)+IF(ISNUMBER($AB$8),G102*$AB$8,G102*$Y$4)+IF(ISNUMBER($AB$9),H102*$AB$9,H102*$Y$4)+IF(ISNUMBER($AB$10),I102*$AB$10,I102*$Y$4)+IF(ISNUMBER($AB$11),J102*$AB$11,J102*$Y$4)+IF(ISNUMBER($AB$12),K102*$AB$12,K102*$Y$4)+IF(ISNUMBER($AB$13),L102*$AB$13,L102*$Y$4)+IF(ISNUMBER($AB$14),M102*$AB$14,M102*$Y$4)+IF(ISNUMBER($AB$15),N102*$AB$15,N102*$Y$4)+IF(ISNUMBER($AB$16),O102*$AB$16,O102*$Y$4)+IF(ISNUMBER($AB$17),P102*$AB$17,P102*$Y$4)+IF(ISNUMBER($AB$18),Q102*$AB$18,Q102*$Y$4)+IF(ISNUMBER($AB$19),R102*$AB$19,R102*$Y$4)</f>
        <v/>
      </c>
      <c r="U102" s="84">
        <f>T102-S102</f>
        <v/>
      </c>
    </row>
    <row r="103" ht="16" customHeight="1">
      <c r="A103" s="43" t="inlineStr">
        <is>
          <t>Jochim</t>
        </is>
      </c>
      <c r="B103" s="81">
        <f>COUNTIF(Dienstplan!B122:AF122,"FI")</f>
        <v/>
      </c>
      <c r="C103" s="81">
        <f>COUNTIF(Dienstplan!B122:AF122,"FII")</f>
        <v/>
      </c>
      <c r="D103" s="81">
        <f>COUNTIF(Dienstplan!B122:AF122,"SI")</f>
        <v/>
      </c>
      <c r="E103" s="81">
        <f>COUNTIF(Dienstplan!B122:AF122,"SII")</f>
        <v/>
      </c>
      <c r="F103" s="81">
        <f>COUNTIF(Dienstplan!B122:AF122,"NI")</f>
        <v/>
      </c>
      <c r="G103" s="81">
        <f>COUNTIF(Dienstplan!B122:AF122,"DI")</f>
        <v/>
      </c>
      <c r="H103" s="81">
        <f>COUNTIF(Dienstplan!B122:AF122,"DII")</f>
        <v/>
      </c>
      <c r="I103" s="81">
        <f>COUNTIF(Dienstplan!B122:AF122,"KU")</f>
        <v/>
      </c>
      <c r="J103" s="81">
        <f>COUNTIF(Dienstplan!B122:AF122,"EH")</f>
        <v/>
      </c>
      <c r="K103" s="81">
        <f>COUNTIF(Dienstplan!B122:AF122,"SD")</f>
        <v/>
      </c>
      <c r="L103" s="81">
        <f>COUNTIF(Dienstplan!B122:AF122,"GT")</f>
        <v/>
      </c>
      <c r="M103" s="81">
        <f>COUNTIF(Dienstplan!B122:AF122,"NST")</f>
        <v/>
      </c>
      <c r="N103" s="81">
        <f>COUNTIF(Dienstplan!B122:AF122,"KT")</f>
        <v/>
      </c>
      <c r="O103" s="81">
        <f>COUNTIF(Dienstplan!B122:AF122,"Fobi")</f>
        <v/>
      </c>
      <c r="P103" s="81">
        <f>COUNTIF(Dienstplan!B122:AF122,"U")</f>
        <v/>
      </c>
      <c r="Q103" s="81">
        <f>COUNTIF(Dienstplan!B122:AF122,"A")</f>
        <v/>
      </c>
      <c r="R103" s="81">
        <f>COUNTIF(Dienstplan!B122:AF122,"T-ZUG")</f>
        <v/>
      </c>
      <c r="S103" s="81">
        <f>22*$Y$5</f>
        <v/>
      </c>
      <c r="T103" s="81">
        <f>IF(ISNUMBER($AB$3),B103*$AB$3,B103*$Y$5)+IF(ISNUMBER($AB$4),C103*$AB$4,C103*$Y$5)+IF(ISNUMBER($AB$5),D103*$AB$5,D103*$Y$5)+IF(ISNUMBER($AB$6),E103*$AB$6,E103*$Y$5)+IF(ISNUMBER($AB$7),F103*$AB$7,F103*$Y$5)+IF(ISNUMBER($AB$8),G103*$AB$8,G103*$Y$5)+IF(ISNUMBER($AB$9),H103*$AB$9,H103*$Y$5)+IF(ISNUMBER($AB$10),I103*$AB$10,I103*$Y$5)+IF(ISNUMBER($AB$11),J103*$AB$11,J103*$Y$5)+IF(ISNUMBER($AB$12),K103*$AB$12,K103*$Y$5)+IF(ISNUMBER($AB$13),L103*$AB$13,L103*$Y$5)+IF(ISNUMBER($AB$14),M103*$AB$14,M103*$Y$5)+IF(ISNUMBER($AB$15),N103*$AB$15,N103*$Y$5)+IF(ISNUMBER($AB$16),O103*$AB$16,O103*$Y$5)+IF(ISNUMBER($AB$17),P103*$AB$17,P103*$Y$5)+IF(ISNUMBER($AB$18),Q103*$AB$18,Q103*$Y$5)+IF(ISNUMBER($AB$19),R103*$AB$19,R103*$Y$5)</f>
        <v/>
      </c>
      <c r="U103" s="82">
        <f>T103-S103</f>
        <v/>
      </c>
    </row>
    <row r="104" ht="16" customHeight="1">
      <c r="A104" s="43" t="inlineStr">
        <is>
          <t>Wunsch</t>
        </is>
      </c>
      <c r="B104" s="83">
        <f>COUNTIF(Dienstplan!B123:AF123,"FI")</f>
        <v/>
      </c>
      <c r="C104" s="83">
        <f>COUNTIF(Dienstplan!B123:AF123,"FII")</f>
        <v/>
      </c>
      <c r="D104" s="83">
        <f>COUNTIF(Dienstplan!B123:AF123,"SI")</f>
        <v/>
      </c>
      <c r="E104" s="83">
        <f>COUNTIF(Dienstplan!B123:AF123,"SII")</f>
        <v/>
      </c>
      <c r="F104" s="83">
        <f>COUNTIF(Dienstplan!B123:AF123,"NI")</f>
        <v/>
      </c>
      <c r="G104" s="83">
        <f>COUNTIF(Dienstplan!B123:AF123,"DI")</f>
        <v/>
      </c>
      <c r="H104" s="83">
        <f>COUNTIF(Dienstplan!B123:AF123,"DII")</f>
        <v/>
      </c>
      <c r="I104" s="83">
        <f>COUNTIF(Dienstplan!B123:AF123,"KU")</f>
        <v/>
      </c>
      <c r="J104" s="83">
        <f>COUNTIF(Dienstplan!B123:AF123,"EH")</f>
        <v/>
      </c>
      <c r="K104" s="83">
        <f>COUNTIF(Dienstplan!B123:AF123,"SD")</f>
        <v/>
      </c>
      <c r="L104" s="83">
        <f>COUNTIF(Dienstplan!B123:AF123,"GT")</f>
        <v/>
      </c>
      <c r="M104" s="83">
        <f>COUNTIF(Dienstplan!B123:AF123,"NST")</f>
        <v/>
      </c>
      <c r="N104" s="83">
        <f>COUNTIF(Dienstplan!B123:AF123,"KT")</f>
        <v/>
      </c>
      <c r="O104" s="83">
        <f>COUNTIF(Dienstplan!B123:AF123,"Fobi")</f>
        <v/>
      </c>
      <c r="P104" s="83">
        <f>COUNTIF(Dienstplan!B123:AF123,"U")</f>
        <v/>
      </c>
      <c r="Q104" s="83">
        <f>COUNTIF(Dienstplan!B123:AF123,"A")</f>
        <v/>
      </c>
      <c r="R104" s="83">
        <f>COUNTIF(Dienstplan!B123:AF123,"T-ZUG")</f>
        <v/>
      </c>
      <c r="S104" s="83">
        <f>22*$Y$6</f>
        <v/>
      </c>
      <c r="T104" s="83">
        <f>IF(ISNUMBER($AB$3),B104*$AB$3,B104*$Y$6)+IF(ISNUMBER($AB$4),C104*$AB$4,C104*$Y$6)+IF(ISNUMBER($AB$5),D104*$AB$5,D104*$Y$6)+IF(ISNUMBER($AB$6),E104*$AB$6,E104*$Y$6)+IF(ISNUMBER($AB$7),F104*$AB$7,F104*$Y$6)+IF(ISNUMBER($AB$8),G104*$AB$8,G104*$Y$6)+IF(ISNUMBER($AB$9),H104*$AB$9,H104*$Y$6)+IF(ISNUMBER($AB$10),I104*$AB$10,I104*$Y$6)+IF(ISNUMBER($AB$11),J104*$AB$11,J104*$Y$6)+IF(ISNUMBER($AB$12),K104*$AB$12,K104*$Y$6)+IF(ISNUMBER($AB$13),L104*$AB$13,L104*$Y$6)+IF(ISNUMBER($AB$14),M104*$AB$14,M104*$Y$6)+IF(ISNUMBER($AB$15),N104*$AB$15,N104*$Y$6)+IF(ISNUMBER($AB$16),O104*$AB$16,O104*$Y$6)+IF(ISNUMBER($AB$17),P104*$AB$17,P104*$Y$6)+IF(ISNUMBER($AB$18),Q104*$AB$18,Q104*$Y$6)+IF(ISNUMBER($AB$19),R104*$AB$19,R104*$Y$6)</f>
        <v/>
      </c>
      <c r="U104" s="84">
        <f>T104-S104</f>
        <v/>
      </c>
    </row>
    <row r="105" ht="16" customHeight="1">
      <c r="A105" s="43" t="inlineStr">
        <is>
          <t>Göpfrich</t>
        </is>
      </c>
      <c r="B105" s="81">
        <f>COUNTIF(Dienstplan!B124:AF124,"FI")</f>
        <v/>
      </c>
      <c r="C105" s="81">
        <f>COUNTIF(Dienstplan!B124:AF124,"FII")</f>
        <v/>
      </c>
      <c r="D105" s="81">
        <f>COUNTIF(Dienstplan!B124:AF124,"SI")</f>
        <v/>
      </c>
      <c r="E105" s="81">
        <f>COUNTIF(Dienstplan!B124:AF124,"SII")</f>
        <v/>
      </c>
      <c r="F105" s="81">
        <f>COUNTIF(Dienstplan!B124:AF124,"NI")</f>
        <v/>
      </c>
      <c r="G105" s="81">
        <f>COUNTIF(Dienstplan!B124:AF124,"DI")</f>
        <v/>
      </c>
      <c r="H105" s="81">
        <f>COUNTIF(Dienstplan!B124:AF124,"DII")</f>
        <v/>
      </c>
      <c r="I105" s="81">
        <f>COUNTIF(Dienstplan!B124:AF124,"KU")</f>
        <v/>
      </c>
      <c r="J105" s="81">
        <f>COUNTIF(Dienstplan!B124:AF124,"EH")</f>
        <v/>
      </c>
      <c r="K105" s="81">
        <f>COUNTIF(Dienstplan!B124:AF124,"SD")</f>
        <v/>
      </c>
      <c r="L105" s="81">
        <f>COUNTIF(Dienstplan!B124:AF124,"GT")</f>
        <v/>
      </c>
      <c r="M105" s="81">
        <f>COUNTIF(Dienstplan!B124:AF124,"NST")</f>
        <v/>
      </c>
      <c r="N105" s="81">
        <f>COUNTIF(Dienstplan!B124:AF124,"KT")</f>
        <v/>
      </c>
      <c r="O105" s="81">
        <f>COUNTIF(Dienstplan!B124:AF124,"Fobi")</f>
        <v/>
      </c>
      <c r="P105" s="81">
        <f>COUNTIF(Dienstplan!B124:AF124,"U")</f>
        <v/>
      </c>
      <c r="Q105" s="81">
        <f>COUNTIF(Dienstplan!B124:AF124,"A")</f>
        <v/>
      </c>
      <c r="R105" s="81">
        <f>COUNTIF(Dienstplan!B124:AF124,"T-ZUG")</f>
        <v/>
      </c>
      <c r="S105" s="81">
        <f>22*$Y$7</f>
        <v/>
      </c>
      <c r="T105" s="81">
        <f>IF(ISNUMBER($AB$3),B105*$AB$3,B105*$Y$7)+IF(ISNUMBER($AB$4),C105*$AB$4,C105*$Y$7)+IF(ISNUMBER($AB$5),D105*$AB$5,D105*$Y$7)+IF(ISNUMBER($AB$6),E105*$AB$6,E105*$Y$7)+IF(ISNUMBER($AB$7),F105*$AB$7,F105*$Y$7)+IF(ISNUMBER($AB$8),G105*$AB$8,G105*$Y$7)+IF(ISNUMBER($AB$9),H105*$AB$9,H105*$Y$7)+IF(ISNUMBER($AB$10),I105*$AB$10,I105*$Y$7)+IF(ISNUMBER($AB$11),J105*$AB$11,J105*$Y$7)+IF(ISNUMBER($AB$12),K105*$AB$12,K105*$Y$7)+IF(ISNUMBER($AB$13),L105*$AB$13,L105*$Y$7)+IF(ISNUMBER($AB$14),M105*$AB$14,M105*$Y$7)+IF(ISNUMBER($AB$15),N105*$AB$15,N105*$Y$7)+IF(ISNUMBER($AB$16),O105*$AB$16,O105*$Y$7)+IF(ISNUMBER($AB$17),P105*$AB$17,P105*$Y$7)+IF(ISNUMBER($AB$18),Q105*$AB$18,Q105*$Y$7)+IF(ISNUMBER($AB$19),R105*$AB$19,R105*$Y$7)</f>
        <v/>
      </c>
      <c r="U105" s="82">
        <f>T105-S105</f>
        <v/>
      </c>
    </row>
    <row r="106" ht="16" customHeight="1">
      <c r="A106" s="43" t="inlineStr">
        <is>
          <t>Zeller</t>
        </is>
      </c>
      <c r="B106" s="83">
        <f>COUNTIF(Dienstplan!B125:AF125,"FI")</f>
        <v/>
      </c>
      <c r="C106" s="83">
        <f>COUNTIF(Dienstplan!B125:AF125,"FII")</f>
        <v/>
      </c>
      <c r="D106" s="83">
        <f>COUNTIF(Dienstplan!B125:AF125,"SI")</f>
        <v/>
      </c>
      <c r="E106" s="83">
        <f>COUNTIF(Dienstplan!B125:AF125,"SII")</f>
        <v/>
      </c>
      <c r="F106" s="83">
        <f>COUNTIF(Dienstplan!B125:AF125,"NI")</f>
        <v/>
      </c>
      <c r="G106" s="83">
        <f>COUNTIF(Dienstplan!B125:AF125,"DI")</f>
        <v/>
      </c>
      <c r="H106" s="83">
        <f>COUNTIF(Dienstplan!B125:AF125,"DII")</f>
        <v/>
      </c>
      <c r="I106" s="83">
        <f>COUNTIF(Dienstplan!B125:AF125,"KU")</f>
        <v/>
      </c>
      <c r="J106" s="83">
        <f>COUNTIF(Dienstplan!B125:AF125,"EH")</f>
        <v/>
      </c>
      <c r="K106" s="83">
        <f>COUNTIF(Dienstplan!B125:AF125,"SD")</f>
        <v/>
      </c>
      <c r="L106" s="83">
        <f>COUNTIF(Dienstplan!B125:AF125,"GT")</f>
        <v/>
      </c>
      <c r="M106" s="83">
        <f>COUNTIF(Dienstplan!B125:AF125,"NST")</f>
        <v/>
      </c>
      <c r="N106" s="83">
        <f>COUNTIF(Dienstplan!B125:AF125,"KT")</f>
        <v/>
      </c>
      <c r="O106" s="83">
        <f>COUNTIF(Dienstplan!B125:AF125,"Fobi")</f>
        <v/>
      </c>
      <c r="P106" s="83">
        <f>COUNTIF(Dienstplan!B125:AF125,"U")</f>
        <v/>
      </c>
      <c r="Q106" s="83">
        <f>COUNTIF(Dienstplan!B125:AF125,"A")</f>
        <v/>
      </c>
      <c r="R106" s="83">
        <f>COUNTIF(Dienstplan!B125:AF125,"T-ZUG")</f>
        <v/>
      </c>
      <c r="S106" s="83">
        <f>22*$Y$8</f>
        <v/>
      </c>
      <c r="T106" s="83">
        <f>IF(ISNUMBER($AB$3),B106*$AB$3,B106*$Y$8)+IF(ISNUMBER($AB$4),C106*$AB$4,C106*$Y$8)+IF(ISNUMBER($AB$5),D106*$AB$5,D106*$Y$8)+IF(ISNUMBER($AB$6),E106*$AB$6,E106*$Y$8)+IF(ISNUMBER($AB$7),F106*$AB$7,F106*$Y$8)+IF(ISNUMBER($AB$8),G106*$AB$8,G106*$Y$8)+IF(ISNUMBER($AB$9),H106*$AB$9,H106*$Y$8)+IF(ISNUMBER($AB$10),I106*$AB$10,I106*$Y$8)+IF(ISNUMBER($AB$11),J106*$AB$11,J106*$Y$8)+IF(ISNUMBER($AB$12),K106*$AB$12,K106*$Y$8)+IF(ISNUMBER($AB$13),L106*$AB$13,L106*$Y$8)+IF(ISNUMBER($AB$14),M106*$AB$14,M106*$Y$8)+IF(ISNUMBER($AB$15),N106*$AB$15,N106*$Y$8)+IF(ISNUMBER($AB$16),O106*$AB$16,O106*$Y$8)+IF(ISNUMBER($AB$17),P106*$AB$17,P106*$Y$8)+IF(ISNUMBER($AB$18),Q106*$AB$18,Q106*$Y$8)+IF(ISNUMBER($AB$19),R106*$AB$19,R106*$Y$8)</f>
        <v/>
      </c>
      <c r="U106" s="84">
        <f>T106-S106</f>
        <v/>
      </c>
    </row>
    <row r="107" ht="16" customHeight="1">
      <c r="A107" s="43" t="inlineStr">
        <is>
          <t>Behrendt</t>
        </is>
      </c>
      <c r="B107" s="81">
        <f>COUNTIF(Dienstplan!B126:AF126,"FI")</f>
        <v/>
      </c>
      <c r="C107" s="81">
        <f>COUNTIF(Dienstplan!B126:AF126,"FII")</f>
        <v/>
      </c>
      <c r="D107" s="81">
        <f>COUNTIF(Dienstplan!B126:AF126,"SI")</f>
        <v/>
      </c>
      <c r="E107" s="81">
        <f>COUNTIF(Dienstplan!B126:AF126,"SII")</f>
        <v/>
      </c>
      <c r="F107" s="81">
        <f>COUNTIF(Dienstplan!B126:AF126,"NI")</f>
        <v/>
      </c>
      <c r="G107" s="81">
        <f>COUNTIF(Dienstplan!B126:AF126,"DI")</f>
        <v/>
      </c>
      <c r="H107" s="81">
        <f>COUNTIF(Dienstplan!B126:AF126,"DII")</f>
        <v/>
      </c>
      <c r="I107" s="81">
        <f>COUNTIF(Dienstplan!B126:AF126,"KU")</f>
        <v/>
      </c>
      <c r="J107" s="81">
        <f>COUNTIF(Dienstplan!B126:AF126,"EH")</f>
        <v/>
      </c>
      <c r="K107" s="81">
        <f>COUNTIF(Dienstplan!B126:AF126,"SD")</f>
        <v/>
      </c>
      <c r="L107" s="81">
        <f>COUNTIF(Dienstplan!B126:AF126,"GT")</f>
        <v/>
      </c>
      <c r="M107" s="81">
        <f>COUNTIF(Dienstplan!B126:AF126,"NST")</f>
        <v/>
      </c>
      <c r="N107" s="81">
        <f>COUNTIF(Dienstplan!B126:AF126,"KT")</f>
        <v/>
      </c>
      <c r="O107" s="81">
        <f>COUNTIF(Dienstplan!B126:AF126,"Fobi")</f>
        <v/>
      </c>
      <c r="P107" s="81">
        <f>COUNTIF(Dienstplan!B126:AF126,"U")</f>
        <v/>
      </c>
      <c r="Q107" s="81">
        <f>COUNTIF(Dienstplan!B126:AF126,"A")</f>
        <v/>
      </c>
      <c r="R107" s="81">
        <f>COUNTIF(Dienstplan!B126:AF126,"T-ZUG")</f>
        <v/>
      </c>
      <c r="S107" s="81">
        <f>22*$Y$9</f>
        <v/>
      </c>
      <c r="T107" s="81">
        <f>IF(ISNUMBER($AB$3),B107*$AB$3,B107*$Y$9)+IF(ISNUMBER($AB$4),C107*$AB$4,C107*$Y$9)+IF(ISNUMBER($AB$5),D107*$AB$5,D107*$Y$9)+IF(ISNUMBER($AB$6),E107*$AB$6,E107*$Y$9)+IF(ISNUMBER($AB$7),F107*$AB$7,F107*$Y$9)+IF(ISNUMBER($AB$8),G107*$AB$8,G107*$Y$9)+IF(ISNUMBER($AB$9),H107*$AB$9,H107*$Y$9)+IF(ISNUMBER($AB$10),I107*$AB$10,I107*$Y$9)+IF(ISNUMBER($AB$11),J107*$AB$11,J107*$Y$9)+IF(ISNUMBER($AB$12),K107*$AB$12,K107*$Y$9)+IF(ISNUMBER($AB$13),L107*$AB$13,L107*$Y$9)+IF(ISNUMBER($AB$14),M107*$AB$14,M107*$Y$9)+IF(ISNUMBER($AB$15),N107*$AB$15,N107*$Y$9)+IF(ISNUMBER($AB$16),O107*$AB$16,O107*$Y$9)+IF(ISNUMBER($AB$17),P107*$AB$17,P107*$Y$9)+IF(ISNUMBER($AB$18),Q107*$AB$18,Q107*$Y$9)+IF(ISNUMBER($AB$19),R107*$AB$19,R107*$Y$9)</f>
        <v/>
      </c>
      <c r="U107" s="82">
        <f>T107-S107</f>
        <v/>
      </c>
    </row>
    <row r="108" ht="16" customHeight="1">
      <c r="A108" s="43" t="inlineStr">
        <is>
          <t>Krempl</t>
        </is>
      </c>
      <c r="B108" s="83">
        <f>COUNTIF(Dienstplan!B127:AF127,"FI")</f>
        <v/>
      </c>
      <c r="C108" s="83">
        <f>COUNTIF(Dienstplan!B127:AF127,"FII")</f>
        <v/>
      </c>
      <c r="D108" s="83">
        <f>COUNTIF(Dienstplan!B127:AF127,"SI")</f>
        <v/>
      </c>
      <c r="E108" s="83">
        <f>COUNTIF(Dienstplan!B127:AF127,"SII")</f>
        <v/>
      </c>
      <c r="F108" s="83">
        <f>COUNTIF(Dienstplan!B127:AF127,"NI")</f>
        <v/>
      </c>
      <c r="G108" s="83">
        <f>COUNTIF(Dienstplan!B127:AF127,"DI")</f>
        <v/>
      </c>
      <c r="H108" s="83">
        <f>COUNTIF(Dienstplan!B127:AF127,"DII")</f>
        <v/>
      </c>
      <c r="I108" s="83">
        <f>COUNTIF(Dienstplan!B127:AF127,"KU")</f>
        <v/>
      </c>
      <c r="J108" s="83">
        <f>COUNTIF(Dienstplan!B127:AF127,"EH")</f>
        <v/>
      </c>
      <c r="K108" s="83">
        <f>COUNTIF(Dienstplan!B127:AF127,"SD")</f>
        <v/>
      </c>
      <c r="L108" s="83">
        <f>COUNTIF(Dienstplan!B127:AF127,"GT")</f>
        <v/>
      </c>
      <c r="M108" s="83">
        <f>COUNTIF(Dienstplan!B127:AF127,"NST")</f>
        <v/>
      </c>
      <c r="N108" s="83">
        <f>COUNTIF(Dienstplan!B127:AF127,"KT")</f>
        <v/>
      </c>
      <c r="O108" s="83">
        <f>COUNTIF(Dienstplan!B127:AF127,"Fobi")</f>
        <v/>
      </c>
      <c r="P108" s="83">
        <f>COUNTIF(Dienstplan!B127:AF127,"U")</f>
        <v/>
      </c>
      <c r="Q108" s="83">
        <f>COUNTIF(Dienstplan!B127:AF127,"A")</f>
        <v/>
      </c>
      <c r="R108" s="83">
        <f>COUNTIF(Dienstplan!B127:AF127,"T-ZUG")</f>
        <v/>
      </c>
      <c r="S108" s="83">
        <f>22*$Y$10</f>
        <v/>
      </c>
      <c r="T108" s="83">
        <f>IF(ISNUMBER($AB$3),B108*$AB$3,B108*$Y$10)+IF(ISNUMBER($AB$4),C108*$AB$4,C108*$Y$10)+IF(ISNUMBER($AB$5),D108*$AB$5,D108*$Y$10)+IF(ISNUMBER($AB$6),E108*$AB$6,E108*$Y$10)+IF(ISNUMBER($AB$7),F108*$AB$7,F108*$Y$10)+IF(ISNUMBER($AB$8),G108*$AB$8,G108*$Y$10)+IF(ISNUMBER($AB$9),H108*$AB$9,H108*$Y$10)+IF(ISNUMBER($AB$10),I108*$AB$10,I108*$Y$10)+IF(ISNUMBER($AB$11),J108*$AB$11,J108*$Y$10)+IF(ISNUMBER($AB$12),K108*$AB$12,K108*$Y$10)+IF(ISNUMBER($AB$13),L108*$AB$13,L108*$Y$10)+IF(ISNUMBER($AB$14),M108*$AB$14,M108*$Y$10)+IF(ISNUMBER($AB$15),N108*$AB$15,N108*$Y$10)+IF(ISNUMBER($AB$16),O108*$AB$16,O108*$Y$10)+IF(ISNUMBER($AB$17),P108*$AB$17,P108*$Y$10)+IF(ISNUMBER($AB$18),Q108*$AB$18,Q108*$Y$10)+IF(ISNUMBER($AB$19),R108*$AB$19,R108*$Y$10)</f>
        <v/>
      </c>
      <c r="U108" s="84">
        <f>T108-S108</f>
        <v/>
      </c>
    </row>
    <row r="109" ht="16" customHeight="1">
      <c r="A109" s="43" t="inlineStr">
        <is>
          <t>Putschler</t>
        </is>
      </c>
      <c r="B109" s="81">
        <f>COUNTIF(Dienstplan!B128:AF128,"FI")</f>
        <v/>
      </c>
      <c r="C109" s="81">
        <f>COUNTIF(Dienstplan!B128:AF128,"FII")</f>
        <v/>
      </c>
      <c r="D109" s="81">
        <f>COUNTIF(Dienstplan!B128:AF128,"SI")</f>
        <v/>
      </c>
      <c r="E109" s="81">
        <f>COUNTIF(Dienstplan!B128:AF128,"SII")</f>
        <v/>
      </c>
      <c r="F109" s="81">
        <f>COUNTIF(Dienstplan!B128:AF128,"NI")</f>
        <v/>
      </c>
      <c r="G109" s="81">
        <f>COUNTIF(Dienstplan!B128:AF128,"DI")</f>
        <v/>
      </c>
      <c r="H109" s="81">
        <f>COUNTIF(Dienstplan!B128:AF128,"DII")</f>
        <v/>
      </c>
      <c r="I109" s="81">
        <f>COUNTIF(Dienstplan!B128:AF128,"KU")</f>
        <v/>
      </c>
      <c r="J109" s="81">
        <f>COUNTIF(Dienstplan!B128:AF128,"EH")</f>
        <v/>
      </c>
      <c r="K109" s="81">
        <f>COUNTIF(Dienstplan!B128:AF128,"SD")</f>
        <v/>
      </c>
      <c r="L109" s="81">
        <f>COUNTIF(Dienstplan!B128:AF128,"GT")</f>
        <v/>
      </c>
      <c r="M109" s="81">
        <f>COUNTIF(Dienstplan!B128:AF128,"NST")</f>
        <v/>
      </c>
      <c r="N109" s="81">
        <f>COUNTIF(Dienstplan!B128:AF128,"KT")</f>
        <v/>
      </c>
      <c r="O109" s="81">
        <f>COUNTIF(Dienstplan!B128:AF128,"Fobi")</f>
        <v/>
      </c>
      <c r="P109" s="81">
        <f>COUNTIF(Dienstplan!B128:AF128,"U")</f>
        <v/>
      </c>
      <c r="Q109" s="81">
        <f>COUNTIF(Dienstplan!B128:AF128,"A")</f>
        <v/>
      </c>
      <c r="R109" s="81">
        <f>COUNTIF(Dienstplan!B128:AF128,"T-ZUG")</f>
        <v/>
      </c>
      <c r="S109" s="81">
        <f>22*$Y$11</f>
        <v/>
      </c>
      <c r="T109" s="81">
        <f>IF(ISNUMBER($AB$3),B109*$AB$3,B109*$Y$11)+IF(ISNUMBER($AB$4),C109*$AB$4,C109*$Y$11)+IF(ISNUMBER($AB$5),D109*$AB$5,D109*$Y$11)+IF(ISNUMBER($AB$6),E109*$AB$6,E109*$Y$11)+IF(ISNUMBER($AB$7),F109*$AB$7,F109*$Y$11)+IF(ISNUMBER($AB$8),G109*$AB$8,G109*$Y$11)+IF(ISNUMBER($AB$9),H109*$AB$9,H109*$Y$11)+IF(ISNUMBER($AB$10),I109*$AB$10,I109*$Y$11)+IF(ISNUMBER($AB$11),J109*$AB$11,J109*$Y$11)+IF(ISNUMBER($AB$12),K109*$AB$12,K109*$Y$11)+IF(ISNUMBER($AB$13),L109*$AB$13,L109*$Y$11)+IF(ISNUMBER($AB$14),M109*$AB$14,M109*$Y$11)+IF(ISNUMBER($AB$15),N109*$AB$15,N109*$Y$11)+IF(ISNUMBER($AB$16),O109*$AB$16,O109*$Y$11)+IF(ISNUMBER($AB$17),P109*$AB$17,P109*$Y$11)+IF(ISNUMBER($AB$18),Q109*$AB$18,Q109*$Y$11)+IF(ISNUMBER($AB$19),R109*$AB$19,R109*$Y$11)</f>
        <v/>
      </c>
      <c r="U109" s="82">
        <f>T109-S109</f>
        <v/>
      </c>
    </row>
    <row r="110" ht="16" customHeight="1">
      <c r="A110" s="43" t="inlineStr">
        <is>
          <t>Kunz</t>
        </is>
      </c>
      <c r="B110" s="83">
        <f>COUNTIF(Dienstplan!B129:AF129,"FI")</f>
        <v/>
      </c>
      <c r="C110" s="83">
        <f>COUNTIF(Dienstplan!B129:AF129,"FII")</f>
        <v/>
      </c>
      <c r="D110" s="83">
        <f>COUNTIF(Dienstplan!B129:AF129,"SI")</f>
        <v/>
      </c>
      <c r="E110" s="83">
        <f>COUNTIF(Dienstplan!B129:AF129,"SII")</f>
        <v/>
      </c>
      <c r="F110" s="83">
        <f>COUNTIF(Dienstplan!B129:AF129,"NI")</f>
        <v/>
      </c>
      <c r="G110" s="83">
        <f>COUNTIF(Dienstplan!B129:AF129,"DI")</f>
        <v/>
      </c>
      <c r="H110" s="83">
        <f>COUNTIF(Dienstplan!B129:AF129,"DII")</f>
        <v/>
      </c>
      <c r="I110" s="83">
        <f>COUNTIF(Dienstplan!B129:AF129,"KU")</f>
        <v/>
      </c>
      <c r="J110" s="83">
        <f>COUNTIF(Dienstplan!B129:AF129,"EH")</f>
        <v/>
      </c>
      <c r="K110" s="83">
        <f>COUNTIF(Dienstplan!B129:AF129,"SD")</f>
        <v/>
      </c>
      <c r="L110" s="83">
        <f>COUNTIF(Dienstplan!B129:AF129,"GT")</f>
        <v/>
      </c>
      <c r="M110" s="83">
        <f>COUNTIF(Dienstplan!B129:AF129,"NST")</f>
        <v/>
      </c>
      <c r="N110" s="83">
        <f>COUNTIF(Dienstplan!B129:AF129,"KT")</f>
        <v/>
      </c>
      <c r="O110" s="83">
        <f>COUNTIF(Dienstplan!B129:AF129,"Fobi")</f>
        <v/>
      </c>
      <c r="P110" s="83">
        <f>COUNTIF(Dienstplan!B129:AF129,"U")</f>
        <v/>
      </c>
      <c r="Q110" s="83">
        <f>COUNTIF(Dienstplan!B129:AF129,"A")</f>
        <v/>
      </c>
      <c r="R110" s="83">
        <f>COUNTIF(Dienstplan!B129:AF129,"T-ZUG")</f>
        <v/>
      </c>
      <c r="S110" s="83">
        <f>22*$Y$12</f>
        <v/>
      </c>
      <c r="T110" s="83">
        <f>IF(ISNUMBER($AB$3),B110*$AB$3,B110*$Y$12)+IF(ISNUMBER($AB$4),C110*$AB$4,C110*$Y$12)+IF(ISNUMBER($AB$5),D110*$AB$5,D110*$Y$12)+IF(ISNUMBER($AB$6),E110*$AB$6,E110*$Y$12)+IF(ISNUMBER($AB$7),F110*$AB$7,F110*$Y$12)+IF(ISNUMBER($AB$8),G110*$AB$8,G110*$Y$12)+IF(ISNUMBER($AB$9),H110*$AB$9,H110*$Y$12)+IF(ISNUMBER($AB$10),I110*$AB$10,I110*$Y$12)+IF(ISNUMBER($AB$11),J110*$AB$11,J110*$Y$12)+IF(ISNUMBER($AB$12),K110*$AB$12,K110*$Y$12)+IF(ISNUMBER($AB$13),L110*$AB$13,L110*$Y$12)+IF(ISNUMBER($AB$14),M110*$AB$14,M110*$Y$12)+IF(ISNUMBER($AB$15),N110*$AB$15,N110*$Y$12)+IF(ISNUMBER($AB$16),O110*$AB$16,O110*$Y$12)+IF(ISNUMBER($AB$17),P110*$AB$17,P110*$Y$12)+IF(ISNUMBER($AB$18),Q110*$AB$18,Q110*$Y$12)+IF(ISNUMBER($AB$19),R110*$AB$19,R110*$Y$12)</f>
        <v/>
      </c>
      <c r="U110" s="84">
        <f>T110-S110</f>
        <v/>
      </c>
    </row>
    <row r="111" ht="16" customHeight="1">
      <c r="A111" s="43" t="inlineStr">
        <is>
          <t>Schmidt</t>
        </is>
      </c>
      <c r="B111" s="81">
        <f>COUNTIF(Dienstplan!B130:AF130,"FI")</f>
        <v/>
      </c>
      <c r="C111" s="81">
        <f>COUNTIF(Dienstplan!B130:AF130,"FII")</f>
        <v/>
      </c>
      <c r="D111" s="81">
        <f>COUNTIF(Dienstplan!B130:AF130,"SI")</f>
        <v/>
      </c>
      <c r="E111" s="81">
        <f>COUNTIF(Dienstplan!B130:AF130,"SII")</f>
        <v/>
      </c>
      <c r="F111" s="81">
        <f>COUNTIF(Dienstplan!B130:AF130,"NI")</f>
        <v/>
      </c>
      <c r="G111" s="81">
        <f>COUNTIF(Dienstplan!B130:AF130,"DI")</f>
        <v/>
      </c>
      <c r="H111" s="81">
        <f>COUNTIF(Dienstplan!B130:AF130,"DII")</f>
        <v/>
      </c>
      <c r="I111" s="81">
        <f>COUNTIF(Dienstplan!B130:AF130,"KU")</f>
        <v/>
      </c>
      <c r="J111" s="81">
        <f>COUNTIF(Dienstplan!B130:AF130,"EH")</f>
        <v/>
      </c>
      <c r="K111" s="81">
        <f>COUNTIF(Dienstplan!B130:AF130,"SD")</f>
        <v/>
      </c>
      <c r="L111" s="81">
        <f>COUNTIF(Dienstplan!B130:AF130,"GT")</f>
        <v/>
      </c>
      <c r="M111" s="81">
        <f>COUNTIF(Dienstplan!B130:AF130,"NST")</f>
        <v/>
      </c>
      <c r="N111" s="81">
        <f>COUNTIF(Dienstplan!B130:AF130,"KT")</f>
        <v/>
      </c>
      <c r="O111" s="81">
        <f>COUNTIF(Dienstplan!B130:AF130,"Fobi")</f>
        <v/>
      </c>
      <c r="P111" s="81">
        <f>COUNTIF(Dienstplan!B130:AF130,"U")</f>
        <v/>
      </c>
      <c r="Q111" s="81">
        <f>COUNTIF(Dienstplan!B130:AF130,"A")</f>
        <v/>
      </c>
      <c r="R111" s="81">
        <f>COUNTIF(Dienstplan!B130:AF130,"T-ZUG")</f>
        <v/>
      </c>
      <c r="S111" s="81">
        <f>22*$Y$13</f>
        <v/>
      </c>
      <c r="T111" s="81">
        <f>IF(ISNUMBER($AB$3),B111*$AB$3,B111*$Y$13)+IF(ISNUMBER($AB$4),C111*$AB$4,C111*$Y$13)+IF(ISNUMBER($AB$5),D111*$AB$5,D111*$Y$13)+IF(ISNUMBER($AB$6),E111*$AB$6,E111*$Y$13)+IF(ISNUMBER($AB$7),F111*$AB$7,F111*$Y$13)+IF(ISNUMBER($AB$8),G111*$AB$8,G111*$Y$13)+IF(ISNUMBER($AB$9),H111*$AB$9,H111*$Y$13)+IF(ISNUMBER($AB$10),I111*$AB$10,I111*$Y$13)+IF(ISNUMBER($AB$11),J111*$AB$11,J111*$Y$13)+IF(ISNUMBER($AB$12),K111*$AB$12,K111*$Y$13)+IF(ISNUMBER($AB$13),L111*$AB$13,L111*$Y$13)+IF(ISNUMBER($AB$14),M111*$AB$14,M111*$Y$13)+IF(ISNUMBER($AB$15),N111*$AB$15,N111*$Y$13)+IF(ISNUMBER($AB$16),O111*$AB$16,O111*$Y$13)+IF(ISNUMBER($AB$17),P111*$AB$17,P111*$Y$13)+IF(ISNUMBER($AB$18),Q111*$AB$18,Q111*$Y$13)+IF(ISNUMBER($AB$19),R111*$AB$19,R111*$Y$13)</f>
        <v/>
      </c>
      <c r="U111" s="82">
        <f>T111-S111</f>
        <v/>
      </c>
    </row>
    <row r="112" ht="16" customHeight="1">
      <c r="A112" s="43" t="inlineStr">
        <is>
          <t>Radimersky</t>
        </is>
      </c>
      <c r="B112" s="83">
        <f>COUNTIF(Dienstplan!B131:AF131,"FI")</f>
        <v/>
      </c>
      <c r="C112" s="83">
        <f>COUNTIF(Dienstplan!B131:AF131,"FII")</f>
        <v/>
      </c>
      <c r="D112" s="83">
        <f>COUNTIF(Dienstplan!B131:AF131,"SI")</f>
        <v/>
      </c>
      <c r="E112" s="83">
        <f>COUNTIF(Dienstplan!B131:AF131,"SII")</f>
        <v/>
      </c>
      <c r="F112" s="83">
        <f>COUNTIF(Dienstplan!B131:AF131,"NI")</f>
        <v/>
      </c>
      <c r="G112" s="83">
        <f>COUNTIF(Dienstplan!B131:AF131,"DI")</f>
        <v/>
      </c>
      <c r="H112" s="83">
        <f>COUNTIF(Dienstplan!B131:AF131,"DII")</f>
        <v/>
      </c>
      <c r="I112" s="83">
        <f>COUNTIF(Dienstplan!B131:AF131,"KU")</f>
        <v/>
      </c>
      <c r="J112" s="83">
        <f>COUNTIF(Dienstplan!B131:AF131,"EH")</f>
        <v/>
      </c>
      <c r="K112" s="83">
        <f>COUNTIF(Dienstplan!B131:AF131,"SD")</f>
        <v/>
      </c>
      <c r="L112" s="83">
        <f>COUNTIF(Dienstplan!B131:AF131,"GT")</f>
        <v/>
      </c>
      <c r="M112" s="83">
        <f>COUNTIF(Dienstplan!B131:AF131,"NST")</f>
        <v/>
      </c>
      <c r="N112" s="83">
        <f>COUNTIF(Dienstplan!B131:AF131,"KT")</f>
        <v/>
      </c>
      <c r="O112" s="83">
        <f>COUNTIF(Dienstplan!B131:AF131,"Fobi")</f>
        <v/>
      </c>
      <c r="P112" s="83">
        <f>COUNTIF(Dienstplan!B131:AF131,"U")</f>
        <v/>
      </c>
      <c r="Q112" s="83">
        <f>COUNTIF(Dienstplan!B131:AF131,"A")</f>
        <v/>
      </c>
      <c r="R112" s="83">
        <f>COUNTIF(Dienstplan!B131:AF131,"T-ZUG")</f>
        <v/>
      </c>
      <c r="S112" s="83">
        <f>22*$Y$14</f>
        <v/>
      </c>
      <c r="T112" s="83">
        <f>IF(ISNUMBER($AB$3),B112*$AB$3,B112*$Y$14)+IF(ISNUMBER($AB$4),C112*$AB$4,C112*$Y$14)+IF(ISNUMBER($AB$5),D112*$AB$5,D112*$Y$14)+IF(ISNUMBER($AB$6),E112*$AB$6,E112*$Y$14)+IF(ISNUMBER($AB$7),F112*$AB$7,F112*$Y$14)+IF(ISNUMBER($AB$8),G112*$AB$8,G112*$Y$14)+IF(ISNUMBER($AB$9),H112*$AB$9,H112*$Y$14)+IF(ISNUMBER($AB$10),I112*$AB$10,I112*$Y$14)+IF(ISNUMBER($AB$11),J112*$AB$11,J112*$Y$14)+IF(ISNUMBER($AB$12),K112*$AB$12,K112*$Y$14)+IF(ISNUMBER($AB$13),L112*$AB$13,L112*$Y$14)+IF(ISNUMBER($AB$14),M112*$AB$14,M112*$Y$14)+IF(ISNUMBER($AB$15),N112*$AB$15,N112*$Y$14)+IF(ISNUMBER($AB$16),O112*$AB$16,O112*$Y$14)+IF(ISNUMBER($AB$17),P112*$AB$17,P112*$Y$14)+IF(ISNUMBER($AB$18),Q112*$AB$18,Q112*$Y$14)+IF(ISNUMBER($AB$19),R112*$AB$19,R112*$Y$14)</f>
        <v/>
      </c>
      <c r="U112" s="84">
        <f>T112-S112</f>
        <v/>
      </c>
    </row>
    <row r="113" ht="18" customHeight="1">
      <c r="A113" s="88" t="inlineStr">
        <is>
          <t>Summe</t>
        </is>
      </c>
      <c r="B113" s="89">
        <f>SUM(B101:B112)</f>
        <v/>
      </c>
      <c r="C113" s="89">
        <f>SUM(C101:C112)</f>
        <v/>
      </c>
      <c r="D113" s="89">
        <f>SUM(D101:D112)</f>
        <v/>
      </c>
      <c r="E113" s="89">
        <f>SUM(E101:E112)</f>
        <v/>
      </c>
      <c r="F113" s="89">
        <f>SUM(F101:F112)</f>
        <v/>
      </c>
      <c r="G113" s="89">
        <f>SUM(G101:G112)</f>
        <v/>
      </c>
      <c r="H113" s="89">
        <f>SUM(H101:H112)</f>
        <v/>
      </c>
      <c r="I113" s="89">
        <f>SUM(I101:I112)</f>
        <v/>
      </c>
      <c r="J113" s="89">
        <f>SUM(J101:J112)</f>
        <v/>
      </c>
      <c r="K113" s="89">
        <f>SUM(K101:K112)</f>
        <v/>
      </c>
      <c r="L113" s="89">
        <f>SUM(L101:L112)</f>
        <v/>
      </c>
      <c r="M113" s="89">
        <f>SUM(M101:M112)</f>
        <v/>
      </c>
      <c r="N113" s="89">
        <f>SUM(N101:N112)</f>
        <v/>
      </c>
      <c r="O113" s="89">
        <f>SUM(O101:O112)</f>
        <v/>
      </c>
      <c r="P113" s="89">
        <f>SUM(P101:P112)</f>
        <v/>
      </c>
      <c r="Q113" s="89">
        <f>SUM(Q101:Q112)</f>
        <v/>
      </c>
      <c r="R113" s="89">
        <f>SUM(R101:R112)</f>
        <v/>
      </c>
      <c r="S113" s="89">
        <f>SUM(S101:S112)</f>
        <v/>
      </c>
      <c r="T113" s="89">
        <f>SUM(T101:T112)</f>
        <v/>
      </c>
      <c r="U113" s="90">
        <f>SUM(U101:U112)</f>
        <v/>
      </c>
    </row>
    <row r="115">
      <c r="A115" s="2" t="inlineStr">
        <is>
          <t>August</t>
        </is>
      </c>
      <c r="C115" t="inlineStr">
        <is>
          <t>AT:</t>
        </is>
      </c>
      <c r="D115" s="78" t="n">
        <v>22</v>
      </c>
      <c r="F115" t="inlineStr">
        <is>
          <t>Sa:</t>
        </is>
      </c>
      <c r="G115" s="78" t="n">
        <v>4</v>
      </c>
    </row>
    <row r="116" ht="18" customHeight="1">
      <c r="A116" s="34" t="inlineStr">
        <is>
          <t>MA</t>
        </is>
      </c>
      <c r="B116" s="36" t="inlineStr">
        <is>
          <t>FI</t>
        </is>
      </c>
      <c r="C116" s="36" t="inlineStr">
        <is>
          <t>FII</t>
        </is>
      </c>
      <c r="D116" s="36" t="inlineStr">
        <is>
          <t>SI</t>
        </is>
      </c>
      <c r="E116" s="36" t="inlineStr">
        <is>
          <t>SII</t>
        </is>
      </c>
      <c r="F116" s="36" t="inlineStr">
        <is>
          <t>NI</t>
        </is>
      </c>
      <c r="G116" s="36" t="inlineStr">
        <is>
          <t>DI</t>
        </is>
      </c>
      <c r="H116" s="36" t="inlineStr">
        <is>
          <t>DII</t>
        </is>
      </c>
      <c r="I116" s="36" t="inlineStr">
        <is>
          <t>KU</t>
        </is>
      </c>
      <c r="J116" s="36" t="inlineStr">
        <is>
          <t>EH</t>
        </is>
      </c>
      <c r="K116" s="36" t="inlineStr">
        <is>
          <t>SD</t>
        </is>
      </c>
      <c r="L116" s="36" t="inlineStr">
        <is>
          <t>GT</t>
        </is>
      </c>
      <c r="M116" s="36" t="inlineStr">
        <is>
          <t>NST</t>
        </is>
      </c>
      <c r="N116" s="36" t="inlineStr">
        <is>
          <t>KT</t>
        </is>
      </c>
      <c r="O116" s="36" t="inlineStr">
        <is>
          <t>Fobi</t>
        </is>
      </c>
      <c r="P116" s="36" t="inlineStr">
        <is>
          <t>U</t>
        </is>
      </c>
      <c r="Q116" s="36" t="inlineStr">
        <is>
          <t>A</t>
        </is>
      </c>
      <c r="R116" s="36" t="inlineStr">
        <is>
          <t>T-ZUG</t>
        </is>
      </c>
      <c r="S116" s="36" t="inlineStr">
        <is>
          <t>Soll</t>
        </is>
      </c>
      <c r="T116" s="36" t="inlineStr">
        <is>
          <t>Ist</t>
        </is>
      </c>
      <c r="U116" s="65" t="inlineStr">
        <is>
          <t>Diff</t>
        </is>
      </c>
    </row>
    <row r="117" ht="16" customHeight="1">
      <c r="A117" s="43" t="inlineStr">
        <is>
          <t>Breig</t>
        </is>
      </c>
      <c r="B117" s="81">
        <f>COUNTIF(Dienstplan!B139:AF139,"FI")</f>
        <v/>
      </c>
      <c r="C117" s="81">
        <f>COUNTIF(Dienstplan!B139:AF139,"FII")</f>
        <v/>
      </c>
      <c r="D117" s="81">
        <f>COUNTIF(Dienstplan!B139:AF139,"SI")</f>
        <v/>
      </c>
      <c r="E117" s="81">
        <f>COUNTIF(Dienstplan!B139:AF139,"SII")</f>
        <v/>
      </c>
      <c r="F117" s="81">
        <f>COUNTIF(Dienstplan!B139:AF139,"NI")</f>
        <v/>
      </c>
      <c r="G117" s="81">
        <f>COUNTIF(Dienstplan!B139:AF139,"DI")</f>
        <v/>
      </c>
      <c r="H117" s="81">
        <f>COUNTIF(Dienstplan!B139:AF139,"DII")</f>
        <v/>
      </c>
      <c r="I117" s="81">
        <f>COUNTIF(Dienstplan!B139:AF139,"KU")</f>
        <v/>
      </c>
      <c r="J117" s="81">
        <f>COUNTIF(Dienstplan!B139:AF139,"EH")</f>
        <v/>
      </c>
      <c r="K117" s="81">
        <f>COUNTIF(Dienstplan!B139:AF139,"SD")</f>
        <v/>
      </c>
      <c r="L117" s="81">
        <f>COUNTIF(Dienstplan!B139:AF139,"GT")</f>
        <v/>
      </c>
      <c r="M117" s="81">
        <f>COUNTIF(Dienstplan!B139:AF139,"NST")</f>
        <v/>
      </c>
      <c r="N117" s="81">
        <f>COUNTIF(Dienstplan!B139:AF139,"KT")</f>
        <v/>
      </c>
      <c r="O117" s="81">
        <f>COUNTIF(Dienstplan!B139:AF139,"Fobi")</f>
        <v/>
      </c>
      <c r="P117" s="81">
        <f>COUNTIF(Dienstplan!B139:AF139,"U")</f>
        <v/>
      </c>
      <c r="Q117" s="81">
        <f>COUNTIF(Dienstplan!B139:AF139,"A")</f>
        <v/>
      </c>
      <c r="R117" s="81">
        <f>COUNTIF(Dienstplan!B139:AF139,"T-ZUG")</f>
        <v/>
      </c>
      <c r="S117" s="81">
        <f>22*$Y$3</f>
        <v/>
      </c>
      <c r="T117" s="81">
        <f>IF(ISNUMBER($AB$3),B117*$AB$3,B117*$Y$3)+IF(ISNUMBER($AB$4),C117*$AB$4,C117*$Y$3)+IF(ISNUMBER($AB$5),D117*$AB$5,D117*$Y$3)+IF(ISNUMBER($AB$6),E117*$AB$6,E117*$Y$3)+IF(ISNUMBER($AB$7),F117*$AB$7,F117*$Y$3)+IF(ISNUMBER($AB$8),G117*$AB$8,G117*$Y$3)+IF(ISNUMBER($AB$9),H117*$AB$9,H117*$Y$3)+IF(ISNUMBER($AB$10),I117*$AB$10,I117*$Y$3)+IF(ISNUMBER($AB$11),J117*$AB$11,J117*$Y$3)+IF(ISNUMBER($AB$12),K117*$AB$12,K117*$Y$3)+IF(ISNUMBER($AB$13),L117*$AB$13,L117*$Y$3)+IF(ISNUMBER($AB$14),M117*$AB$14,M117*$Y$3)+IF(ISNUMBER($AB$15),N117*$AB$15,N117*$Y$3)+IF(ISNUMBER($AB$16),O117*$AB$16,O117*$Y$3)+IF(ISNUMBER($AB$17),P117*$AB$17,P117*$Y$3)+IF(ISNUMBER($AB$18),Q117*$AB$18,Q117*$Y$3)+IF(ISNUMBER($AB$19),R117*$AB$19,R117*$Y$3)</f>
        <v/>
      </c>
      <c r="U117" s="82">
        <f>T117-S117</f>
        <v/>
      </c>
    </row>
    <row r="118" ht="16" customHeight="1">
      <c r="A118" s="43" t="inlineStr">
        <is>
          <t>Siebert</t>
        </is>
      </c>
      <c r="B118" s="83">
        <f>COUNTIF(Dienstplan!B140:AF140,"FI")</f>
        <v/>
      </c>
      <c r="C118" s="83">
        <f>COUNTIF(Dienstplan!B140:AF140,"FII")</f>
        <v/>
      </c>
      <c r="D118" s="83">
        <f>COUNTIF(Dienstplan!B140:AF140,"SI")</f>
        <v/>
      </c>
      <c r="E118" s="83">
        <f>COUNTIF(Dienstplan!B140:AF140,"SII")</f>
        <v/>
      </c>
      <c r="F118" s="83">
        <f>COUNTIF(Dienstplan!B140:AF140,"NI")</f>
        <v/>
      </c>
      <c r="G118" s="83">
        <f>COUNTIF(Dienstplan!B140:AF140,"DI")</f>
        <v/>
      </c>
      <c r="H118" s="83">
        <f>COUNTIF(Dienstplan!B140:AF140,"DII")</f>
        <v/>
      </c>
      <c r="I118" s="83">
        <f>COUNTIF(Dienstplan!B140:AF140,"KU")</f>
        <v/>
      </c>
      <c r="J118" s="83">
        <f>COUNTIF(Dienstplan!B140:AF140,"EH")</f>
        <v/>
      </c>
      <c r="K118" s="83">
        <f>COUNTIF(Dienstplan!B140:AF140,"SD")</f>
        <v/>
      </c>
      <c r="L118" s="83">
        <f>COUNTIF(Dienstplan!B140:AF140,"GT")</f>
        <v/>
      </c>
      <c r="M118" s="83">
        <f>COUNTIF(Dienstplan!B140:AF140,"NST")</f>
        <v/>
      </c>
      <c r="N118" s="83">
        <f>COUNTIF(Dienstplan!B140:AF140,"KT")</f>
        <v/>
      </c>
      <c r="O118" s="83">
        <f>COUNTIF(Dienstplan!B140:AF140,"Fobi")</f>
        <v/>
      </c>
      <c r="P118" s="83">
        <f>COUNTIF(Dienstplan!B140:AF140,"U")</f>
        <v/>
      </c>
      <c r="Q118" s="83">
        <f>COUNTIF(Dienstplan!B140:AF140,"A")</f>
        <v/>
      </c>
      <c r="R118" s="83">
        <f>COUNTIF(Dienstplan!B140:AF140,"T-ZUG")</f>
        <v/>
      </c>
      <c r="S118" s="83">
        <f>22*$Y$4</f>
        <v/>
      </c>
      <c r="T118" s="83">
        <f>IF(ISNUMBER($AB$3),B118*$AB$3,B118*$Y$4)+IF(ISNUMBER($AB$4),C118*$AB$4,C118*$Y$4)+IF(ISNUMBER($AB$5),D118*$AB$5,D118*$Y$4)+IF(ISNUMBER($AB$6),E118*$AB$6,E118*$Y$4)+IF(ISNUMBER($AB$7),F118*$AB$7,F118*$Y$4)+IF(ISNUMBER($AB$8),G118*$AB$8,G118*$Y$4)+IF(ISNUMBER($AB$9),H118*$AB$9,H118*$Y$4)+IF(ISNUMBER($AB$10),I118*$AB$10,I118*$Y$4)+IF(ISNUMBER($AB$11),J118*$AB$11,J118*$Y$4)+IF(ISNUMBER($AB$12),K118*$AB$12,K118*$Y$4)+IF(ISNUMBER($AB$13),L118*$AB$13,L118*$Y$4)+IF(ISNUMBER($AB$14),M118*$AB$14,M118*$Y$4)+IF(ISNUMBER($AB$15),N118*$AB$15,N118*$Y$4)+IF(ISNUMBER($AB$16),O118*$AB$16,O118*$Y$4)+IF(ISNUMBER($AB$17),P118*$AB$17,P118*$Y$4)+IF(ISNUMBER($AB$18),Q118*$AB$18,Q118*$Y$4)+IF(ISNUMBER($AB$19),R118*$AB$19,R118*$Y$4)</f>
        <v/>
      </c>
      <c r="U118" s="84">
        <f>T118-S118</f>
        <v/>
      </c>
    </row>
    <row r="119" ht="16" customHeight="1">
      <c r="A119" s="43" t="inlineStr">
        <is>
          <t>Jochim</t>
        </is>
      </c>
      <c r="B119" s="81">
        <f>COUNTIF(Dienstplan!B141:AF141,"FI")</f>
        <v/>
      </c>
      <c r="C119" s="81">
        <f>COUNTIF(Dienstplan!B141:AF141,"FII")</f>
        <v/>
      </c>
      <c r="D119" s="81">
        <f>COUNTIF(Dienstplan!B141:AF141,"SI")</f>
        <v/>
      </c>
      <c r="E119" s="81">
        <f>COUNTIF(Dienstplan!B141:AF141,"SII")</f>
        <v/>
      </c>
      <c r="F119" s="81">
        <f>COUNTIF(Dienstplan!B141:AF141,"NI")</f>
        <v/>
      </c>
      <c r="G119" s="81">
        <f>COUNTIF(Dienstplan!B141:AF141,"DI")</f>
        <v/>
      </c>
      <c r="H119" s="81">
        <f>COUNTIF(Dienstplan!B141:AF141,"DII")</f>
        <v/>
      </c>
      <c r="I119" s="81">
        <f>COUNTIF(Dienstplan!B141:AF141,"KU")</f>
        <v/>
      </c>
      <c r="J119" s="81">
        <f>COUNTIF(Dienstplan!B141:AF141,"EH")</f>
        <v/>
      </c>
      <c r="K119" s="81">
        <f>COUNTIF(Dienstplan!B141:AF141,"SD")</f>
        <v/>
      </c>
      <c r="L119" s="81">
        <f>COUNTIF(Dienstplan!B141:AF141,"GT")</f>
        <v/>
      </c>
      <c r="M119" s="81">
        <f>COUNTIF(Dienstplan!B141:AF141,"NST")</f>
        <v/>
      </c>
      <c r="N119" s="81">
        <f>COUNTIF(Dienstplan!B141:AF141,"KT")</f>
        <v/>
      </c>
      <c r="O119" s="81">
        <f>COUNTIF(Dienstplan!B141:AF141,"Fobi")</f>
        <v/>
      </c>
      <c r="P119" s="81">
        <f>COUNTIF(Dienstplan!B141:AF141,"U")</f>
        <v/>
      </c>
      <c r="Q119" s="81">
        <f>COUNTIF(Dienstplan!B141:AF141,"A")</f>
        <v/>
      </c>
      <c r="R119" s="81">
        <f>COUNTIF(Dienstplan!B141:AF141,"T-ZUG")</f>
        <v/>
      </c>
      <c r="S119" s="81">
        <f>22*$Y$5</f>
        <v/>
      </c>
      <c r="T119" s="81">
        <f>IF(ISNUMBER($AB$3),B119*$AB$3,B119*$Y$5)+IF(ISNUMBER($AB$4),C119*$AB$4,C119*$Y$5)+IF(ISNUMBER($AB$5),D119*$AB$5,D119*$Y$5)+IF(ISNUMBER($AB$6),E119*$AB$6,E119*$Y$5)+IF(ISNUMBER($AB$7),F119*$AB$7,F119*$Y$5)+IF(ISNUMBER($AB$8),G119*$AB$8,G119*$Y$5)+IF(ISNUMBER($AB$9),H119*$AB$9,H119*$Y$5)+IF(ISNUMBER($AB$10),I119*$AB$10,I119*$Y$5)+IF(ISNUMBER($AB$11),J119*$AB$11,J119*$Y$5)+IF(ISNUMBER($AB$12),K119*$AB$12,K119*$Y$5)+IF(ISNUMBER($AB$13),L119*$AB$13,L119*$Y$5)+IF(ISNUMBER($AB$14),M119*$AB$14,M119*$Y$5)+IF(ISNUMBER($AB$15),N119*$AB$15,N119*$Y$5)+IF(ISNUMBER($AB$16),O119*$AB$16,O119*$Y$5)+IF(ISNUMBER($AB$17),P119*$AB$17,P119*$Y$5)+IF(ISNUMBER($AB$18),Q119*$AB$18,Q119*$Y$5)+IF(ISNUMBER($AB$19),R119*$AB$19,R119*$Y$5)</f>
        <v/>
      </c>
      <c r="U119" s="82">
        <f>T119-S119</f>
        <v/>
      </c>
    </row>
    <row r="120" ht="16" customHeight="1">
      <c r="A120" s="43" t="inlineStr">
        <is>
          <t>Wunsch</t>
        </is>
      </c>
      <c r="B120" s="83">
        <f>COUNTIF(Dienstplan!B142:AF142,"FI")</f>
        <v/>
      </c>
      <c r="C120" s="83">
        <f>COUNTIF(Dienstplan!B142:AF142,"FII")</f>
        <v/>
      </c>
      <c r="D120" s="83">
        <f>COUNTIF(Dienstplan!B142:AF142,"SI")</f>
        <v/>
      </c>
      <c r="E120" s="83">
        <f>COUNTIF(Dienstplan!B142:AF142,"SII")</f>
        <v/>
      </c>
      <c r="F120" s="83">
        <f>COUNTIF(Dienstplan!B142:AF142,"NI")</f>
        <v/>
      </c>
      <c r="G120" s="83">
        <f>COUNTIF(Dienstplan!B142:AF142,"DI")</f>
        <v/>
      </c>
      <c r="H120" s="83">
        <f>COUNTIF(Dienstplan!B142:AF142,"DII")</f>
        <v/>
      </c>
      <c r="I120" s="83">
        <f>COUNTIF(Dienstplan!B142:AF142,"KU")</f>
        <v/>
      </c>
      <c r="J120" s="83">
        <f>COUNTIF(Dienstplan!B142:AF142,"EH")</f>
        <v/>
      </c>
      <c r="K120" s="83">
        <f>COUNTIF(Dienstplan!B142:AF142,"SD")</f>
        <v/>
      </c>
      <c r="L120" s="83">
        <f>COUNTIF(Dienstplan!B142:AF142,"GT")</f>
        <v/>
      </c>
      <c r="M120" s="83">
        <f>COUNTIF(Dienstplan!B142:AF142,"NST")</f>
        <v/>
      </c>
      <c r="N120" s="83">
        <f>COUNTIF(Dienstplan!B142:AF142,"KT")</f>
        <v/>
      </c>
      <c r="O120" s="83">
        <f>COUNTIF(Dienstplan!B142:AF142,"Fobi")</f>
        <v/>
      </c>
      <c r="P120" s="83">
        <f>COUNTIF(Dienstplan!B142:AF142,"U")</f>
        <v/>
      </c>
      <c r="Q120" s="83">
        <f>COUNTIF(Dienstplan!B142:AF142,"A")</f>
        <v/>
      </c>
      <c r="R120" s="83">
        <f>COUNTIF(Dienstplan!B142:AF142,"T-ZUG")</f>
        <v/>
      </c>
      <c r="S120" s="83">
        <f>22*$Y$6</f>
        <v/>
      </c>
      <c r="T120" s="83">
        <f>IF(ISNUMBER($AB$3),B120*$AB$3,B120*$Y$6)+IF(ISNUMBER($AB$4),C120*$AB$4,C120*$Y$6)+IF(ISNUMBER($AB$5),D120*$AB$5,D120*$Y$6)+IF(ISNUMBER($AB$6),E120*$AB$6,E120*$Y$6)+IF(ISNUMBER($AB$7),F120*$AB$7,F120*$Y$6)+IF(ISNUMBER($AB$8),G120*$AB$8,G120*$Y$6)+IF(ISNUMBER($AB$9),H120*$AB$9,H120*$Y$6)+IF(ISNUMBER($AB$10),I120*$AB$10,I120*$Y$6)+IF(ISNUMBER($AB$11),J120*$AB$11,J120*$Y$6)+IF(ISNUMBER($AB$12),K120*$AB$12,K120*$Y$6)+IF(ISNUMBER($AB$13),L120*$AB$13,L120*$Y$6)+IF(ISNUMBER($AB$14),M120*$AB$14,M120*$Y$6)+IF(ISNUMBER($AB$15),N120*$AB$15,N120*$Y$6)+IF(ISNUMBER($AB$16),O120*$AB$16,O120*$Y$6)+IF(ISNUMBER($AB$17),P120*$AB$17,P120*$Y$6)+IF(ISNUMBER($AB$18),Q120*$AB$18,Q120*$Y$6)+IF(ISNUMBER($AB$19),R120*$AB$19,R120*$Y$6)</f>
        <v/>
      </c>
      <c r="U120" s="84">
        <f>T120-S120</f>
        <v/>
      </c>
    </row>
    <row r="121" ht="16" customHeight="1">
      <c r="A121" s="43" t="inlineStr">
        <is>
          <t>Göpfrich</t>
        </is>
      </c>
      <c r="B121" s="81">
        <f>COUNTIF(Dienstplan!B143:AF143,"FI")</f>
        <v/>
      </c>
      <c r="C121" s="81">
        <f>COUNTIF(Dienstplan!B143:AF143,"FII")</f>
        <v/>
      </c>
      <c r="D121" s="81">
        <f>COUNTIF(Dienstplan!B143:AF143,"SI")</f>
        <v/>
      </c>
      <c r="E121" s="81">
        <f>COUNTIF(Dienstplan!B143:AF143,"SII")</f>
        <v/>
      </c>
      <c r="F121" s="81">
        <f>COUNTIF(Dienstplan!B143:AF143,"NI")</f>
        <v/>
      </c>
      <c r="G121" s="81">
        <f>COUNTIF(Dienstplan!B143:AF143,"DI")</f>
        <v/>
      </c>
      <c r="H121" s="81">
        <f>COUNTIF(Dienstplan!B143:AF143,"DII")</f>
        <v/>
      </c>
      <c r="I121" s="81">
        <f>COUNTIF(Dienstplan!B143:AF143,"KU")</f>
        <v/>
      </c>
      <c r="J121" s="81">
        <f>COUNTIF(Dienstplan!B143:AF143,"EH")</f>
        <v/>
      </c>
      <c r="K121" s="81">
        <f>COUNTIF(Dienstplan!B143:AF143,"SD")</f>
        <v/>
      </c>
      <c r="L121" s="81">
        <f>COUNTIF(Dienstplan!B143:AF143,"GT")</f>
        <v/>
      </c>
      <c r="M121" s="81">
        <f>COUNTIF(Dienstplan!B143:AF143,"NST")</f>
        <v/>
      </c>
      <c r="N121" s="81">
        <f>COUNTIF(Dienstplan!B143:AF143,"KT")</f>
        <v/>
      </c>
      <c r="O121" s="81">
        <f>COUNTIF(Dienstplan!B143:AF143,"Fobi")</f>
        <v/>
      </c>
      <c r="P121" s="81">
        <f>COUNTIF(Dienstplan!B143:AF143,"U")</f>
        <v/>
      </c>
      <c r="Q121" s="81">
        <f>COUNTIF(Dienstplan!B143:AF143,"A")</f>
        <v/>
      </c>
      <c r="R121" s="81">
        <f>COUNTIF(Dienstplan!B143:AF143,"T-ZUG")</f>
        <v/>
      </c>
      <c r="S121" s="81">
        <f>22*$Y$7</f>
        <v/>
      </c>
      <c r="T121" s="81">
        <f>IF(ISNUMBER($AB$3),B121*$AB$3,B121*$Y$7)+IF(ISNUMBER($AB$4),C121*$AB$4,C121*$Y$7)+IF(ISNUMBER($AB$5),D121*$AB$5,D121*$Y$7)+IF(ISNUMBER($AB$6),E121*$AB$6,E121*$Y$7)+IF(ISNUMBER($AB$7),F121*$AB$7,F121*$Y$7)+IF(ISNUMBER($AB$8),G121*$AB$8,G121*$Y$7)+IF(ISNUMBER($AB$9),H121*$AB$9,H121*$Y$7)+IF(ISNUMBER($AB$10),I121*$AB$10,I121*$Y$7)+IF(ISNUMBER($AB$11),J121*$AB$11,J121*$Y$7)+IF(ISNUMBER($AB$12),K121*$AB$12,K121*$Y$7)+IF(ISNUMBER($AB$13),L121*$AB$13,L121*$Y$7)+IF(ISNUMBER($AB$14),M121*$AB$14,M121*$Y$7)+IF(ISNUMBER($AB$15),N121*$AB$15,N121*$Y$7)+IF(ISNUMBER($AB$16),O121*$AB$16,O121*$Y$7)+IF(ISNUMBER($AB$17),P121*$AB$17,P121*$Y$7)+IF(ISNUMBER($AB$18),Q121*$AB$18,Q121*$Y$7)+IF(ISNUMBER($AB$19),R121*$AB$19,R121*$Y$7)</f>
        <v/>
      </c>
      <c r="U121" s="82">
        <f>T121-S121</f>
        <v/>
      </c>
    </row>
    <row r="122" ht="16" customHeight="1">
      <c r="A122" s="43" t="inlineStr">
        <is>
          <t>Zeller</t>
        </is>
      </c>
      <c r="B122" s="83">
        <f>COUNTIF(Dienstplan!B144:AF144,"FI")</f>
        <v/>
      </c>
      <c r="C122" s="83">
        <f>COUNTIF(Dienstplan!B144:AF144,"FII")</f>
        <v/>
      </c>
      <c r="D122" s="83">
        <f>COUNTIF(Dienstplan!B144:AF144,"SI")</f>
        <v/>
      </c>
      <c r="E122" s="83">
        <f>COUNTIF(Dienstplan!B144:AF144,"SII")</f>
        <v/>
      </c>
      <c r="F122" s="83">
        <f>COUNTIF(Dienstplan!B144:AF144,"NI")</f>
        <v/>
      </c>
      <c r="G122" s="83">
        <f>COUNTIF(Dienstplan!B144:AF144,"DI")</f>
        <v/>
      </c>
      <c r="H122" s="83">
        <f>COUNTIF(Dienstplan!B144:AF144,"DII")</f>
        <v/>
      </c>
      <c r="I122" s="83">
        <f>COUNTIF(Dienstplan!B144:AF144,"KU")</f>
        <v/>
      </c>
      <c r="J122" s="83">
        <f>COUNTIF(Dienstplan!B144:AF144,"EH")</f>
        <v/>
      </c>
      <c r="K122" s="83">
        <f>COUNTIF(Dienstplan!B144:AF144,"SD")</f>
        <v/>
      </c>
      <c r="L122" s="83">
        <f>COUNTIF(Dienstplan!B144:AF144,"GT")</f>
        <v/>
      </c>
      <c r="M122" s="83">
        <f>COUNTIF(Dienstplan!B144:AF144,"NST")</f>
        <v/>
      </c>
      <c r="N122" s="83">
        <f>COUNTIF(Dienstplan!B144:AF144,"KT")</f>
        <v/>
      </c>
      <c r="O122" s="83">
        <f>COUNTIF(Dienstplan!B144:AF144,"Fobi")</f>
        <v/>
      </c>
      <c r="P122" s="83">
        <f>COUNTIF(Dienstplan!B144:AF144,"U")</f>
        <v/>
      </c>
      <c r="Q122" s="83">
        <f>COUNTIF(Dienstplan!B144:AF144,"A")</f>
        <v/>
      </c>
      <c r="R122" s="83">
        <f>COUNTIF(Dienstplan!B144:AF144,"T-ZUG")</f>
        <v/>
      </c>
      <c r="S122" s="83">
        <f>22*$Y$8</f>
        <v/>
      </c>
      <c r="T122" s="83">
        <f>IF(ISNUMBER($AB$3),B122*$AB$3,B122*$Y$8)+IF(ISNUMBER($AB$4),C122*$AB$4,C122*$Y$8)+IF(ISNUMBER($AB$5),D122*$AB$5,D122*$Y$8)+IF(ISNUMBER($AB$6),E122*$AB$6,E122*$Y$8)+IF(ISNUMBER($AB$7),F122*$AB$7,F122*$Y$8)+IF(ISNUMBER($AB$8),G122*$AB$8,G122*$Y$8)+IF(ISNUMBER($AB$9),H122*$AB$9,H122*$Y$8)+IF(ISNUMBER($AB$10),I122*$AB$10,I122*$Y$8)+IF(ISNUMBER($AB$11),J122*$AB$11,J122*$Y$8)+IF(ISNUMBER($AB$12),K122*$AB$12,K122*$Y$8)+IF(ISNUMBER($AB$13),L122*$AB$13,L122*$Y$8)+IF(ISNUMBER($AB$14),M122*$AB$14,M122*$Y$8)+IF(ISNUMBER($AB$15),N122*$AB$15,N122*$Y$8)+IF(ISNUMBER($AB$16),O122*$AB$16,O122*$Y$8)+IF(ISNUMBER($AB$17),P122*$AB$17,P122*$Y$8)+IF(ISNUMBER($AB$18),Q122*$AB$18,Q122*$Y$8)+IF(ISNUMBER($AB$19),R122*$AB$19,R122*$Y$8)</f>
        <v/>
      </c>
      <c r="U122" s="84">
        <f>T122-S122</f>
        <v/>
      </c>
    </row>
    <row r="123" ht="16" customHeight="1">
      <c r="A123" s="43" t="inlineStr">
        <is>
          <t>Behrendt</t>
        </is>
      </c>
      <c r="B123" s="81">
        <f>COUNTIF(Dienstplan!B145:AF145,"FI")</f>
        <v/>
      </c>
      <c r="C123" s="81">
        <f>COUNTIF(Dienstplan!B145:AF145,"FII")</f>
        <v/>
      </c>
      <c r="D123" s="81">
        <f>COUNTIF(Dienstplan!B145:AF145,"SI")</f>
        <v/>
      </c>
      <c r="E123" s="81">
        <f>COUNTIF(Dienstplan!B145:AF145,"SII")</f>
        <v/>
      </c>
      <c r="F123" s="81">
        <f>COUNTIF(Dienstplan!B145:AF145,"NI")</f>
        <v/>
      </c>
      <c r="G123" s="81">
        <f>COUNTIF(Dienstplan!B145:AF145,"DI")</f>
        <v/>
      </c>
      <c r="H123" s="81">
        <f>COUNTIF(Dienstplan!B145:AF145,"DII")</f>
        <v/>
      </c>
      <c r="I123" s="81">
        <f>COUNTIF(Dienstplan!B145:AF145,"KU")</f>
        <v/>
      </c>
      <c r="J123" s="81">
        <f>COUNTIF(Dienstplan!B145:AF145,"EH")</f>
        <v/>
      </c>
      <c r="K123" s="81">
        <f>COUNTIF(Dienstplan!B145:AF145,"SD")</f>
        <v/>
      </c>
      <c r="L123" s="81">
        <f>COUNTIF(Dienstplan!B145:AF145,"GT")</f>
        <v/>
      </c>
      <c r="M123" s="81">
        <f>COUNTIF(Dienstplan!B145:AF145,"NST")</f>
        <v/>
      </c>
      <c r="N123" s="81">
        <f>COUNTIF(Dienstplan!B145:AF145,"KT")</f>
        <v/>
      </c>
      <c r="O123" s="81">
        <f>COUNTIF(Dienstplan!B145:AF145,"Fobi")</f>
        <v/>
      </c>
      <c r="P123" s="81">
        <f>COUNTIF(Dienstplan!B145:AF145,"U")</f>
        <v/>
      </c>
      <c r="Q123" s="81">
        <f>COUNTIF(Dienstplan!B145:AF145,"A")</f>
        <v/>
      </c>
      <c r="R123" s="81">
        <f>COUNTIF(Dienstplan!B145:AF145,"T-ZUG")</f>
        <v/>
      </c>
      <c r="S123" s="81">
        <f>22*$Y$9</f>
        <v/>
      </c>
      <c r="T123" s="81">
        <f>IF(ISNUMBER($AB$3),B123*$AB$3,B123*$Y$9)+IF(ISNUMBER($AB$4),C123*$AB$4,C123*$Y$9)+IF(ISNUMBER($AB$5),D123*$AB$5,D123*$Y$9)+IF(ISNUMBER($AB$6),E123*$AB$6,E123*$Y$9)+IF(ISNUMBER($AB$7),F123*$AB$7,F123*$Y$9)+IF(ISNUMBER($AB$8),G123*$AB$8,G123*$Y$9)+IF(ISNUMBER($AB$9),H123*$AB$9,H123*$Y$9)+IF(ISNUMBER($AB$10),I123*$AB$10,I123*$Y$9)+IF(ISNUMBER($AB$11),J123*$AB$11,J123*$Y$9)+IF(ISNUMBER($AB$12),K123*$AB$12,K123*$Y$9)+IF(ISNUMBER($AB$13),L123*$AB$13,L123*$Y$9)+IF(ISNUMBER($AB$14),M123*$AB$14,M123*$Y$9)+IF(ISNUMBER($AB$15),N123*$AB$15,N123*$Y$9)+IF(ISNUMBER($AB$16),O123*$AB$16,O123*$Y$9)+IF(ISNUMBER($AB$17),P123*$AB$17,P123*$Y$9)+IF(ISNUMBER($AB$18),Q123*$AB$18,Q123*$Y$9)+IF(ISNUMBER($AB$19),R123*$AB$19,R123*$Y$9)</f>
        <v/>
      </c>
      <c r="U123" s="82">
        <f>T123-S123</f>
        <v/>
      </c>
    </row>
    <row r="124" ht="16" customHeight="1">
      <c r="A124" s="43" t="inlineStr">
        <is>
          <t>Krempl</t>
        </is>
      </c>
      <c r="B124" s="83">
        <f>COUNTIF(Dienstplan!B146:AF146,"FI")</f>
        <v/>
      </c>
      <c r="C124" s="83">
        <f>COUNTIF(Dienstplan!B146:AF146,"FII")</f>
        <v/>
      </c>
      <c r="D124" s="83">
        <f>COUNTIF(Dienstplan!B146:AF146,"SI")</f>
        <v/>
      </c>
      <c r="E124" s="83">
        <f>COUNTIF(Dienstplan!B146:AF146,"SII")</f>
        <v/>
      </c>
      <c r="F124" s="83">
        <f>COUNTIF(Dienstplan!B146:AF146,"NI")</f>
        <v/>
      </c>
      <c r="G124" s="83">
        <f>COUNTIF(Dienstplan!B146:AF146,"DI")</f>
        <v/>
      </c>
      <c r="H124" s="83">
        <f>COUNTIF(Dienstplan!B146:AF146,"DII")</f>
        <v/>
      </c>
      <c r="I124" s="83">
        <f>COUNTIF(Dienstplan!B146:AF146,"KU")</f>
        <v/>
      </c>
      <c r="J124" s="83">
        <f>COUNTIF(Dienstplan!B146:AF146,"EH")</f>
        <v/>
      </c>
      <c r="K124" s="83">
        <f>COUNTIF(Dienstplan!B146:AF146,"SD")</f>
        <v/>
      </c>
      <c r="L124" s="83">
        <f>COUNTIF(Dienstplan!B146:AF146,"GT")</f>
        <v/>
      </c>
      <c r="M124" s="83">
        <f>COUNTIF(Dienstplan!B146:AF146,"NST")</f>
        <v/>
      </c>
      <c r="N124" s="83">
        <f>COUNTIF(Dienstplan!B146:AF146,"KT")</f>
        <v/>
      </c>
      <c r="O124" s="83">
        <f>COUNTIF(Dienstplan!B146:AF146,"Fobi")</f>
        <v/>
      </c>
      <c r="P124" s="83">
        <f>COUNTIF(Dienstplan!B146:AF146,"U")</f>
        <v/>
      </c>
      <c r="Q124" s="83">
        <f>COUNTIF(Dienstplan!B146:AF146,"A")</f>
        <v/>
      </c>
      <c r="R124" s="83">
        <f>COUNTIF(Dienstplan!B146:AF146,"T-ZUG")</f>
        <v/>
      </c>
      <c r="S124" s="83">
        <f>22*$Y$10</f>
        <v/>
      </c>
      <c r="T124" s="83">
        <f>IF(ISNUMBER($AB$3),B124*$AB$3,B124*$Y$10)+IF(ISNUMBER($AB$4),C124*$AB$4,C124*$Y$10)+IF(ISNUMBER($AB$5),D124*$AB$5,D124*$Y$10)+IF(ISNUMBER($AB$6),E124*$AB$6,E124*$Y$10)+IF(ISNUMBER($AB$7),F124*$AB$7,F124*$Y$10)+IF(ISNUMBER($AB$8),G124*$AB$8,G124*$Y$10)+IF(ISNUMBER($AB$9),H124*$AB$9,H124*$Y$10)+IF(ISNUMBER($AB$10),I124*$AB$10,I124*$Y$10)+IF(ISNUMBER($AB$11),J124*$AB$11,J124*$Y$10)+IF(ISNUMBER($AB$12),K124*$AB$12,K124*$Y$10)+IF(ISNUMBER($AB$13),L124*$AB$13,L124*$Y$10)+IF(ISNUMBER($AB$14),M124*$AB$14,M124*$Y$10)+IF(ISNUMBER($AB$15),N124*$AB$15,N124*$Y$10)+IF(ISNUMBER($AB$16),O124*$AB$16,O124*$Y$10)+IF(ISNUMBER($AB$17),P124*$AB$17,P124*$Y$10)+IF(ISNUMBER($AB$18),Q124*$AB$18,Q124*$Y$10)+IF(ISNUMBER($AB$19),R124*$AB$19,R124*$Y$10)</f>
        <v/>
      </c>
      <c r="U124" s="84">
        <f>T124-S124</f>
        <v/>
      </c>
    </row>
    <row r="125" ht="16" customHeight="1">
      <c r="A125" s="43" t="inlineStr">
        <is>
          <t>Putschler</t>
        </is>
      </c>
      <c r="B125" s="81">
        <f>COUNTIF(Dienstplan!B147:AF147,"FI")</f>
        <v/>
      </c>
      <c r="C125" s="81">
        <f>COUNTIF(Dienstplan!B147:AF147,"FII")</f>
        <v/>
      </c>
      <c r="D125" s="81">
        <f>COUNTIF(Dienstplan!B147:AF147,"SI")</f>
        <v/>
      </c>
      <c r="E125" s="81">
        <f>COUNTIF(Dienstplan!B147:AF147,"SII")</f>
        <v/>
      </c>
      <c r="F125" s="81">
        <f>COUNTIF(Dienstplan!B147:AF147,"NI")</f>
        <v/>
      </c>
      <c r="G125" s="81">
        <f>COUNTIF(Dienstplan!B147:AF147,"DI")</f>
        <v/>
      </c>
      <c r="H125" s="81">
        <f>COUNTIF(Dienstplan!B147:AF147,"DII")</f>
        <v/>
      </c>
      <c r="I125" s="81">
        <f>COUNTIF(Dienstplan!B147:AF147,"KU")</f>
        <v/>
      </c>
      <c r="J125" s="81">
        <f>COUNTIF(Dienstplan!B147:AF147,"EH")</f>
        <v/>
      </c>
      <c r="K125" s="81">
        <f>COUNTIF(Dienstplan!B147:AF147,"SD")</f>
        <v/>
      </c>
      <c r="L125" s="81">
        <f>COUNTIF(Dienstplan!B147:AF147,"GT")</f>
        <v/>
      </c>
      <c r="M125" s="81">
        <f>COUNTIF(Dienstplan!B147:AF147,"NST")</f>
        <v/>
      </c>
      <c r="N125" s="81">
        <f>COUNTIF(Dienstplan!B147:AF147,"KT")</f>
        <v/>
      </c>
      <c r="O125" s="81">
        <f>COUNTIF(Dienstplan!B147:AF147,"Fobi")</f>
        <v/>
      </c>
      <c r="P125" s="81">
        <f>COUNTIF(Dienstplan!B147:AF147,"U")</f>
        <v/>
      </c>
      <c r="Q125" s="81">
        <f>COUNTIF(Dienstplan!B147:AF147,"A")</f>
        <v/>
      </c>
      <c r="R125" s="81">
        <f>COUNTIF(Dienstplan!B147:AF147,"T-ZUG")</f>
        <v/>
      </c>
      <c r="S125" s="81">
        <f>22*$Y$11</f>
        <v/>
      </c>
      <c r="T125" s="81">
        <f>IF(ISNUMBER($AB$3),B125*$AB$3,B125*$Y$11)+IF(ISNUMBER($AB$4),C125*$AB$4,C125*$Y$11)+IF(ISNUMBER($AB$5),D125*$AB$5,D125*$Y$11)+IF(ISNUMBER($AB$6),E125*$AB$6,E125*$Y$11)+IF(ISNUMBER($AB$7),F125*$AB$7,F125*$Y$11)+IF(ISNUMBER($AB$8),G125*$AB$8,G125*$Y$11)+IF(ISNUMBER($AB$9),H125*$AB$9,H125*$Y$11)+IF(ISNUMBER($AB$10),I125*$AB$10,I125*$Y$11)+IF(ISNUMBER($AB$11),J125*$AB$11,J125*$Y$11)+IF(ISNUMBER($AB$12),K125*$AB$12,K125*$Y$11)+IF(ISNUMBER($AB$13),L125*$AB$13,L125*$Y$11)+IF(ISNUMBER($AB$14),M125*$AB$14,M125*$Y$11)+IF(ISNUMBER($AB$15),N125*$AB$15,N125*$Y$11)+IF(ISNUMBER($AB$16),O125*$AB$16,O125*$Y$11)+IF(ISNUMBER($AB$17),P125*$AB$17,P125*$Y$11)+IF(ISNUMBER($AB$18),Q125*$AB$18,Q125*$Y$11)+IF(ISNUMBER($AB$19),R125*$AB$19,R125*$Y$11)</f>
        <v/>
      </c>
      <c r="U125" s="82">
        <f>T125-S125</f>
        <v/>
      </c>
    </row>
    <row r="126" ht="16" customHeight="1">
      <c r="A126" s="43" t="inlineStr">
        <is>
          <t>Kunz</t>
        </is>
      </c>
      <c r="B126" s="83">
        <f>COUNTIF(Dienstplan!B148:AF148,"FI")</f>
        <v/>
      </c>
      <c r="C126" s="83">
        <f>COUNTIF(Dienstplan!B148:AF148,"FII")</f>
        <v/>
      </c>
      <c r="D126" s="83">
        <f>COUNTIF(Dienstplan!B148:AF148,"SI")</f>
        <v/>
      </c>
      <c r="E126" s="83">
        <f>COUNTIF(Dienstplan!B148:AF148,"SII")</f>
        <v/>
      </c>
      <c r="F126" s="83">
        <f>COUNTIF(Dienstplan!B148:AF148,"NI")</f>
        <v/>
      </c>
      <c r="G126" s="83">
        <f>COUNTIF(Dienstplan!B148:AF148,"DI")</f>
        <v/>
      </c>
      <c r="H126" s="83">
        <f>COUNTIF(Dienstplan!B148:AF148,"DII")</f>
        <v/>
      </c>
      <c r="I126" s="83">
        <f>COUNTIF(Dienstplan!B148:AF148,"KU")</f>
        <v/>
      </c>
      <c r="J126" s="83">
        <f>COUNTIF(Dienstplan!B148:AF148,"EH")</f>
        <v/>
      </c>
      <c r="K126" s="83">
        <f>COUNTIF(Dienstplan!B148:AF148,"SD")</f>
        <v/>
      </c>
      <c r="L126" s="83">
        <f>COUNTIF(Dienstplan!B148:AF148,"GT")</f>
        <v/>
      </c>
      <c r="M126" s="83">
        <f>COUNTIF(Dienstplan!B148:AF148,"NST")</f>
        <v/>
      </c>
      <c r="N126" s="83">
        <f>COUNTIF(Dienstplan!B148:AF148,"KT")</f>
        <v/>
      </c>
      <c r="O126" s="83">
        <f>COUNTIF(Dienstplan!B148:AF148,"Fobi")</f>
        <v/>
      </c>
      <c r="P126" s="83">
        <f>COUNTIF(Dienstplan!B148:AF148,"U")</f>
        <v/>
      </c>
      <c r="Q126" s="83">
        <f>COUNTIF(Dienstplan!B148:AF148,"A")</f>
        <v/>
      </c>
      <c r="R126" s="83">
        <f>COUNTIF(Dienstplan!B148:AF148,"T-ZUG")</f>
        <v/>
      </c>
      <c r="S126" s="83">
        <f>22*$Y$12</f>
        <v/>
      </c>
      <c r="T126" s="83">
        <f>IF(ISNUMBER($AB$3),B126*$AB$3,B126*$Y$12)+IF(ISNUMBER($AB$4),C126*$AB$4,C126*$Y$12)+IF(ISNUMBER($AB$5),D126*$AB$5,D126*$Y$12)+IF(ISNUMBER($AB$6),E126*$AB$6,E126*$Y$12)+IF(ISNUMBER($AB$7),F126*$AB$7,F126*$Y$12)+IF(ISNUMBER($AB$8),G126*$AB$8,G126*$Y$12)+IF(ISNUMBER($AB$9),H126*$AB$9,H126*$Y$12)+IF(ISNUMBER($AB$10),I126*$AB$10,I126*$Y$12)+IF(ISNUMBER($AB$11),J126*$AB$11,J126*$Y$12)+IF(ISNUMBER($AB$12),K126*$AB$12,K126*$Y$12)+IF(ISNUMBER($AB$13),L126*$AB$13,L126*$Y$12)+IF(ISNUMBER($AB$14),M126*$AB$14,M126*$Y$12)+IF(ISNUMBER($AB$15),N126*$AB$15,N126*$Y$12)+IF(ISNUMBER($AB$16),O126*$AB$16,O126*$Y$12)+IF(ISNUMBER($AB$17),P126*$AB$17,P126*$Y$12)+IF(ISNUMBER($AB$18),Q126*$AB$18,Q126*$Y$12)+IF(ISNUMBER($AB$19),R126*$AB$19,R126*$Y$12)</f>
        <v/>
      </c>
      <c r="U126" s="84">
        <f>T126-S126</f>
        <v/>
      </c>
    </row>
    <row r="127" ht="16" customHeight="1">
      <c r="A127" s="43" t="inlineStr">
        <is>
          <t>Schmidt</t>
        </is>
      </c>
      <c r="B127" s="81">
        <f>COUNTIF(Dienstplan!B149:AF149,"FI")</f>
        <v/>
      </c>
      <c r="C127" s="81">
        <f>COUNTIF(Dienstplan!B149:AF149,"FII")</f>
        <v/>
      </c>
      <c r="D127" s="81">
        <f>COUNTIF(Dienstplan!B149:AF149,"SI")</f>
        <v/>
      </c>
      <c r="E127" s="81">
        <f>COUNTIF(Dienstplan!B149:AF149,"SII")</f>
        <v/>
      </c>
      <c r="F127" s="81">
        <f>COUNTIF(Dienstplan!B149:AF149,"NI")</f>
        <v/>
      </c>
      <c r="G127" s="81">
        <f>COUNTIF(Dienstplan!B149:AF149,"DI")</f>
        <v/>
      </c>
      <c r="H127" s="81">
        <f>COUNTIF(Dienstplan!B149:AF149,"DII")</f>
        <v/>
      </c>
      <c r="I127" s="81">
        <f>COUNTIF(Dienstplan!B149:AF149,"KU")</f>
        <v/>
      </c>
      <c r="J127" s="81">
        <f>COUNTIF(Dienstplan!B149:AF149,"EH")</f>
        <v/>
      </c>
      <c r="K127" s="81">
        <f>COUNTIF(Dienstplan!B149:AF149,"SD")</f>
        <v/>
      </c>
      <c r="L127" s="81">
        <f>COUNTIF(Dienstplan!B149:AF149,"GT")</f>
        <v/>
      </c>
      <c r="M127" s="81">
        <f>COUNTIF(Dienstplan!B149:AF149,"NST")</f>
        <v/>
      </c>
      <c r="N127" s="81">
        <f>COUNTIF(Dienstplan!B149:AF149,"KT")</f>
        <v/>
      </c>
      <c r="O127" s="81">
        <f>COUNTIF(Dienstplan!B149:AF149,"Fobi")</f>
        <v/>
      </c>
      <c r="P127" s="81">
        <f>COUNTIF(Dienstplan!B149:AF149,"U")</f>
        <v/>
      </c>
      <c r="Q127" s="81">
        <f>COUNTIF(Dienstplan!B149:AF149,"A")</f>
        <v/>
      </c>
      <c r="R127" s="81">
        <f>COUNTIF(Dienstplan!B149:AF149,"T-ZUG")</f>
        <v/>
      </c>
      <c r="S127" s="81">
        <f>22*$Y$13</f>
        <v/>
      </c>
      <c r="T127" s="81">
        <f>IF(ISNUMBER($AB$3),B127*$AB$3,B127*$Y$13)+IF(ISNUMBER($AB$4),C127*$AB$4,C127*$Y$13)+IF(ISNUMBER($AB$5),D127*$AB$5,D127*$Y$13)+IF(ISNUMBER($AB$6),E127*$AB$6,E127*$Y$13)+IF(ISNUMBER($AB$7),F127*$AB$7,F127*$Y$13)+IF(ISNUMBER($AB$8),G127*$AB$8,G127*$Y$13)+IF(ISNUMBER($AB$9),H127*$AB$9,H127*$Y$13)+IF(ISNUMBER($AB$10),I127*$AB$10,I127*$Y$13)+IF(ISNUMBER($AB$11),J127*$AB$11,J127*$Y$13)+IF(ISNUMBER($AB$12),K127*$AB$12,K127*$Y$13)+IF(ISNUMBER($AB$13),L127*$AB$13,L127*$Y$13)+IF(ISNUMBER($AB$14),M127*$AB$14,M127*$Y$13)+IF(ISNUMBER($AB$15),N127*$AB$15,N127*$Y$13)+IF(ISNUMBER($AB$16),O127*$AB$16,O127*$Y$13)+IF(ISNUMBER($AB$17),P127*$AB$17,P127*$Y$13)+IF(ISNUMBER($AB$18),Q127*$AB$18,Q127*$Y$13)+IF(ISNUMBER($AB$19),R127*$AB$19,R127*$Y$13)</f>
        <v/>
      </c>
      <c r="U127" s="82">
        <f>T127-S127</f>
        <v/>
      </c>
    </row>
    <row r="128" ht="16" customHeight="1">
      <c r="A128" s="43" t="inlineStr">
        <is>
          <t>Radimersky</t>
        </is>
      </c>
      <c r="B128" s="83">
        <f>COUNTIF(Dienstplan!B150:AF150,"FI")</f>
        <v/>
      </c>
      <c r="C128" s="83">
        <f>COUNTIF(Dienstplan!B150:AF150,"FII")</f>
        <v/>
      </c>
      <c r="D128" s="83">
        <f>COUNTIF(Dienstplan!B150:AF150,"SI")</f>
        <v/>
      </c>
      <c r="E128" s="83">
        <f>COUNTIF(Dienstplan!B150:AF150,"SII")</f>
        <v/>
      </c>
      <c r="F128" s="83">
        <f>COUNTIF(Dienstplan!B150:AF150,"NI")</f>
        <v/>
      </c>
      <c r="G128" s="83">
        <f>COUNTIF(Dienstplan!B150:AF150,"DI")</f>
        <v/>
      </c>
      <c r="H128" s="83">
        <f>COUNTIF(Dienstplan!B150:AF150,"DII")</f>
        <v/>
      </c>
      <c r="I128" s="83">
        <f>COUNTIF(Dienstplan!B150:AF150,"KU")</f>
        <v/>
      </c>
      <c r="J128" s="83">
        <f>COUNTIF(Dienstplan!B150:AF150,"EH")</f>
        <v/>
      </c>
      <c r="K128" s="83">
        <f>COUNTIF(Dienstplan!B150:AF150,"SD")</f>
        <v/>
      </c>
      <c r="L128" s="83">
        <f>COUNTIF(Dienstplan!B150:AF150,"GT")</f>
        <v/>
      </c>
      <c r="M128" s="83">
        <f>COUNTIF(Dienstplan!B150:AF150,"NST")</f>
        <v/>
      </c>
      <c r="N128" s="83">
        <f>COUNTIF(Dienstplan!B150:AF150,"KT")</f>
        <v/>
      </c>
      <c r="O128" s="83">
        <f>COUNTIF(Dienstplan!B150:AF150,"Fobi")</f>
        <v/>
      </c>
      <c r="P128" s="83">
        <f>COUNTIF(Dienstplan!B150:AF150,"U")</f>
        <v/>
      </c>
      <c r="Q128" s="83">
        <f>COUNTIF(Dienstplan!B150:AF150,"A")</f>
        <v/>
      </c>
      <c r="R128" s="83">
        <f>COUNTIF(Dienstplan!B150:AF150,"T-ZUG")</f>
        <v/>
      </c>
      <c r="S128" s="83">
        <f>22*$Y$14</f>
        <v/>
      </c>
      <c r="T128" s="83">
        <f>IF(ISNUMBER($AB$3),B128*$AB$3,B128*$Y$14)+IF(ISNUMBER($AB$4),C128*$AB$4,C128*$Y$14)+IF(ISNUMBER($AB$5),D128*$AB$5,D128*$Y$14)+IF(ISNUMBER($AB$6),E128*$AB$6,E128*$Y$14)+IF(ISNUMBER($AB$7),F128*$AB$7,F128*$Y$14)+IF(ISNUMBER($AB$8),G128*$AB$8,G128*$Y$14)+IF(ISNUMBER($AB$9),H128*$AB$9,H128*$Y$14)+IF(ISNUMBER($AB$10),I128*$AB$10,I128*$Y$14)+IF(ISNUMBER($AB$11),J128*$AB$11,J128*$Y$14)+IF(ISNUMBER($AB$12),K128*$AB$12,K128*$Y$14)+IF(ISNUMBER($AB$13),L128*$AB$13,L128*$Y$14)+IF(ISNUMBER($AB$14),M128*$AB$14,M128*$Y$14)+IF(ISNUMBER($AB$15),N128*$AB$15,N128*$Y$14)+IF(ISNUMBER($AB$16),O128*$AB$16,O128*$Y$14)+IF(ISNUMBER($AB$17),P128*$AB$17,P128*$Y$14)+IF(ISNUMBER($AB$18),Q128*$AB$18,Q128*$Y$14)+IF(ISNUMBER($AB$19),R128*$AB$19,R128*$Y$14)</f>
        <v/>
      </c>
      <c r="U128" s="84">
        <f>T128-S128</f>
        <v/>
      </c>
    </row>
    <row r="129" ht="18" customHeight="1">
      <c r="A129" s="88" t="inlineStr">
        <is>
          <t>Summe</t>
        </is>
      </c>
      <c r="B129" s="89">
        <f>SUM(B117:B128)</f>
        <v/>
      </c>
      <c r="C129" s="89">
        <f>SUM(C117:C128)</f>
        <v/>
      </c>
      <c r="D129" s="89">
        <f>SUM(D117:D128)</f>
        <v/>
      </c>
      <c r="E129" s="89">
        <f>SUM(E117:E128)</f>
        <v/>
      </c>
      <c r="F129" s="89">
        <f>SUM(F117:F128)</f>
        <v/>
      </c>
      <c r="G129" s="89">
        <f>SUM(G117:G128)</f>
        <v/>
      </c>
      <c r="H129" s="89">
        <f>SUM(H117:H128)</f>
        <v/>
      </c>
      <c r="I129" s="89">
        <f>SUM(I117:I128)</f>
        <v/>
      </c>
      <c r="J129" s="89">
        <f>SUM(J117:J128)</f>
        <v/>
      </c>
      <c r="K129" s="89">
        <f>SUM(K117:K128)</f>
        <v/>
      </c>
      <c r="L129" s="89">
        <f>SUM(L117:L128)</f>
        <v/>
      </c>
      <c r="M129" s="89">
        <f>SUM(M117:M128)</f>
        <v/>
      </c>
      <c r="N129" s="89">
        <f>SUM(N117:N128)</f>
        <v/>
      </c>
      <c r="O129" s="89">
        <f>SUM(O117:O128)</f>
        <v/>
      </c>
      <c r="P129" s="89">
        <f>SUM(P117:P128)</f>
        <v/>
      </c>
      <c r="Q129" s="89">
        <f>SUM(Q117:Q128)</f>
        <v/>
      </c>
      <c r="R129" s="89">
        <f>SUM(R117:R128)</f>
        <v/>
      </c>
      <c r="S129" s="89">
        <f>SUM(S117:S128)</f>
        <v/>
      </c>
      <c r="T129" s="89">
        <f>SUM(T117:T128)</f>
        <v/>
      </c>
      <c r="U129" s="90">
        <f>SUM(U117:U128)</f>
        <v/>
      </c>
    </row>
    <row r="131">
      <c r="A131" s="2" t="inlineStr">
        <is>
          <t>September</t>
        </is>
      </c>
      <c r="C131" t="inlineStr">
        <is>
          <t>AT:</t>
        </is>
      </c>
      <c r="D131" s="78" t="n">
        <v>22</v>
      </c>
      <c r="F131" t="inlineStr">
        <is>
          <t>Sa:</t>
        </is>
      </c>
      <c r="G131" s="78" t="n">
        <v>4</v>
      </c>
    </row>
    <row r="132" ht="18" customHeight="1">
      <c r="A132" s="34" t="inlineStr">
        <is>
          <t>MA</t>
        </is>
      </c>
      <c r="B132" s="36" t="inlineStr">
        <is>
          <t>FI</t>
        </is>
      </c>
      <c r="C132" s="36" t="inlineStr">
        <is>
          <t>FII</t>
        </is>
      </c>
      <c r="D132" s="36" t="inlineStr">
        <is>
          <t>SI</t>
        </is>
      </c>
      <c r="E132" s="36" t="inlineStr">
        <is>
          <t>SII</t>
        </is>
      </c>
      <c r="F132" s="36" t="inlineStr">
        <is>
          <t>NI</t>
        </is>
      </c>
      <c r="G132" s="36" t="inlineStr">
        <is>
          <t>DI</t>
        </is>
      </c>
      <c r="H132" s="36" t="inlineStr">
        <is>
          <t>DII</t>
        </is>
      </c>
      <c r="I132" s="36" t="inlineStr">
        <is>
          <t>KU</t>
        </is>
      </c>
      <c r="J132" s="36" t="inlineStr">
        <is>
          <t>EH</t>
        </is>
      </c>
      <c r="K132" s="36" t="inlineStr">
        <is>
          <t>SD</t>
        </is>
      </c>
      <c r="L132" s="36" t="inlineStr">
        <is>
          <t>GT</t>
        </is>
      </c>
      <c r="M132" s="36" t="inlineStr">
        <is>
          <t>NST</t>
        </is>
      </c>
      <c r="N132" s="36" t="inlineStr">
        <is>
          <t>KT</t>
        </is>
      </c>
      <c r="O132" s="36" t="inlineStr">
        <is>
          <t>Fobi</t>
        </is>
      </c>
      <c r="P132" s="36" t="inlineStr">
        <is>
          <t>U</t>
        </is>
      </c>
      <c r="Q132" s="36" t="inlineStr">
        <is>
          <t>A</t>
        </is>
      </c>
      <c r="R132" s="36" t="inlineStr">
        <is>
          <t>T-ZUG</t>
        </is>
      </c>
      <c r="S132" s="36" t="inlineStr">
        <is>
          <t>Soll</t>
        </is>
      </c>
      <c r="T132" s="36" t="inlineStr">
        <is>
          <t>Ist</t>
        </is>
      </c>
      <c r="U132" s="65" t="inlineStr">
        <is>
          <t>Diff</t>
        </is>
      </c>
    </row>
    <row r="133" ht="16" customHeight="1">
      <c r="A133" s="43" t="inlineStr">
        <is>
          <t>Breig</t>
        </is>
      </c>
      <c r="B133" s="81">
        <f>COUNTIF(Dienstplan!B158:AE158,"FI")</f>
        <v/>
      </c>
      <c r="C133" s="81">
        <f>COUNTIF(Dienstplan!B158:AE158,"FII")</f>
        <v/>
      </c>
      <c r="D133" s="81">
        <f>COUNTIF(Dienstplan!B158:AE158,"SI")</f>
        <v/>
      </c>
      <c r="E133" s="81">
        <f>COUNTIF(Dienstplan!B158:AE158,"SII")</f>
        <v/>
      </c>
      <c r="F133" s="81">
        <f>COUNTIF(Dienstplan!B158:AE158,"NI")</f>
        <v/>
      </c>
      <c r="G133" s="81">
        <f>COUNTIF(Dienstplan!B158:AE158,"DI")</f>
        <v/>
      </c>
      <c r="H133" s="81">
        <f>COUNTIF(Dienstplan!B158:AE158,"DII")</f>
        <v/>
      </c>
      <c r="I133" s="81">
        <f>COUNTIF(Dienstplan!B158:AE158,"KU")</f>
        <v/>
      </c>
      <c r="J133" s="81">
        <f>COUNTIF(Dienstplan!B158:AE158,"EH")</f>
        <v/>
      </c>
      <c r="K133" s="81">
        <f>COUNTIF(Dienstplan!B158:AE158,"SD")</f>
        <v/>
      </c>
      <c r="L133" s="81">
        <f>COUNTIF(Dienstplan!B158:AE158,"GT")</f>
        <v/>
      </c>
      <c r="M133" s="81">
        <f>COUNTIF(Dienstplan!B158:AE158,"NST")</f>
        <v/>
      </c>
      <c r="N133" s="81">
        <f>COUNTIF(Dienstplan!B158:AE158,"KT")</f>
        <v/>
      </c>
      <c r="O133" s="81">
        <f>COUNTIF(Dienstplan!B158:AE158,"Fobi")</f>
        <v/>
      </c>
      <c r="P133" s="81">
        <f>COUNTIF(Dienstplan!B158:AE158,"U")</f>
        <v/>
      </c>
      <c r="Q133" s="81">
        <f>COUNTIF(Dienstplan!B158:AE158,"A")</f>
        <v/>
      </c>
      <c r="R133" s="81">
        <f>COUNTIF(Dienstplan!B158:AE158,"T-ZUG")</f>
        <v/>
      </c>
      <c r="S133" s="81">
        <f>22*$Y$3</f>
        <v/>
      </c>
      <c r="T133" s="81">
        <f>IF(ISNUMBER($AB$3),B133*$AB$3,B133*$Y$3)+IF(ISNUMBER($AB$4),C133*$AB$4,C133*$Y$3)+IF(ISNUMBER($AB$5),D133*$AB$5,D133*$Y$3)+IF(ISNUMBER($AB$6),E133*$AB$6,E133*$Y$3)+IF(ISNUMBER($AB$7),F133*$AB$7,F133*$Y$3)+IF(ISNUMBER($AB$8),G133*$AB$8,G133*$Y$3)+IF(ISNUMBER($AB$9),H133*$AB$9,H133*$Y$3)+IF(ISNUMBER($AB$10),I133*$AB$10,I133*$Y$3)+IF(ISNUMBER($AB$11),J133*$AB$11,J133*$Y$3)+IF(ISNUMBER($AB$12),K133*$AB$12,K133*$Y$3)+IF(ISNUMBER($AB$13),L133*$AB$13,L133*$Y$3)+IF(ISNUMBER($AB$14),M133*$AB$14,M133*$Y$3)+IF(ISNUMBER($AB$15),N133*$AB$15,N133*$Y$3)+IF(ISNUMBER($AB$16),O133*$AB$16,O133*$Y$3)+IF(ISNUMBER($AB$17),P133*$AB$17,P133*$Y$3)+IF(ISNUMBER($AB$18),Q133*$AB$18,Q133*$Y$3)+IF(ISNUMBER($AB$19),R133*$AB$19,R133*$Y$3)</f>
        <v/>
      </c>
      <c r="U133" s="82">
        <f>T133-S133</f>
        <v/>
      </c>
    </row>
    <row r="134" ht="16" customHeight="1">
      <c r="A134" s="43" t="inlineStr">
        <is>
          <t>Siebert</t>
        </is>
      </c>
      <c r="B134" s="83">
        <f>COUNTIF(Dienstplan!B159:AE159,"FI")</f>
        <v/>
      </c>
      <c r="C134" s="83">
        <f>COUNTIF(Dienstplan!B159:AE159,"FII")</f>
        <v/>
      </c>
      <c r="D134" s="83">
        <f>COUNTIF(Dienstplan!B159:AE159,"SI")</f>
        <v/>
      </c>
      <c r="E134" s="83">
        <f>COUNTIF(Dienstplan!B159:AE159,"SII")</f>
        <v/>
      </c>
      <c r="F134" s="83">
        <f>COUNTIF(Dienstplan!B159:AE159,"NI")</f>
        <v/>
      </c>
      <c r="G134" s="83">
        <f>COUNTIF(Dienstplan!B159:AE159,"DI")</f>
        <v/>
      </c>
      <c r="H134" s="83">
        <f>COUNTIF(Dienstplan!B159:AE159,"DII")</f>
        <v/>
      </c>
      <c r="I134" s="83">
        <f>COUNTIF(Dienstplan!B159:AE159,"KU")</f>
        <v/>
      </c>
      <c r="J134" s="83">
        <f>COUNTIF(Dienstplan!B159:AE159,"EH")</f>
        <v/>
      </c>
      <c r="K134" s="83">
        <f>COUNTIF(Dienstplan!B159:AE159,"SD")</f>
        <v/>
      </c>
      <c r="L134" s="83">
        <f>COUNTIF(Dienstplan!B159:AE159,"GT")</f>
        <v/>
      </c>
      <c r="M134" s="83">
        <f>COUNTIF(Dienstplan!B159:AE159,"NST")</f>
        <v/>
      </c>
      <c r="N134" s="83">
        <f>COUNTIF(Dienstplan!B159:AE159,"KT")</f>
        <v/>
      </c>
      <c r="O134" s="83">
        <f>COUNTIF(Dienstplan!B159:AE159,"Fobi")</f>
        <v/>
      </c>
      <c r="P134" s="83">
        <f>COUNTIF(Dienstplan!B159:AE159,"U")</f>
        <v/>
      </c>
      <c r="Q134" s="83">
        <f>COUNTIF(Dienstplan!B159:AE159,"A")</f>
        <v/>
      </c>
      <c r="R134" s="83">
        <f>COUNTIF(Dienstplan!B159:AE159,"T-ZUG")</f>
        <v/>
      </c>
      <c r="S134" s="83">
        <f>22*$Y$4</f>
        <v/>
      </c>
      <c r="T134" s="83">
        <f>IF(ISNUMBER($AB$3),B134*$AB$3,B134*$Y$4)+IF(ISNUMBER($AB$4),C134*$AB$4,C134*$Y$4)+IF(ISNUMBER($AB$5),D134*$AB$5,D134*$Y$4)+IF(ISNUMBER($AB$6),E134*$AB$6,E134*$Y$4)+IF(ISNUMBER($AB$7),F134*$AB$7,F134*$Y$4)+IF(ISNUMBER($AB$8),G134*$AB$8,G134*$Y$4)+IF(ISNUMBER($AB$9),H134*$AB$9,H134*$Y$4)+IF(ISNUMBER($AB$10),I134*$AB$10,I134*$Y$4)+IF(ISNUMBER($AB$11),J134*$AB$11,J134*$Y$4)+IF(ISNUMBER($AB$12),K134*$AB$12,K134*$Y$4)+IF(ISNUMBER($AB$13),L134*$AB$13,L134*$Y$4)+IF(ISNUMBER($AB$14),M134*$AB$14,M134*$Y$4)+IF(ISNUMBER($AB$15),N134*$AB$15,N134*$Y$4)+IF(ISNUMBER($AB$16),O134*$AB$16,O134*$Y$4)+IF(ISNUMBER($AB$17),P134*$AB$17,P134*$Y$4)+IF(ISNUMBER($AB$18),Q134*$AB$18,Q134*$Y$4)+IF(ISNUMBER($AB$19),R134*$AB$19,R134*$Y$4)</f>
        <v/>
      </c>
      <c r="U134" s="84">
        <f>T134-S134</f>
        <v/>
      </c>
    </row>
    <row r="135" ht="16" customHeight="1">
      <c r="A135" s="43" t="inlineStr">
        <is>
          <t>Jochim</t>
        </is>
      </c>
      <c r="B135" s="81">
        <f>COUNTIF(Dienstplan!B160:AE160,"FI")</f>
        <v/>
      </c>
      <c r="C135" s="81">
        <f>COUNTIF(Dienstplan!B160:AE160,"FII")</f>
        <v/>
      </c>
      <c r="D135" s="81">
        <f>COUNTIF(Dienstplan!B160:AE160,"SI")</f>
        <v/>
      </c>
      <c r="E135" s="81">
        <f>COUNTIF(Dienstplan!B160:AE160,"SII")</f>
        <v/>
      </c>
      <c r="F135" s="81">
        <f>COUNTIF(Dienstplan!B160:AE160,"NI")</f>
        <v/>
      </c>
      <c r="G135" s="81">
        <f>COUNTIF(Dienstplan!B160:AE160,"DI")</f>
        <v/>
      </c>
      <c r="H135" s="81">
        <f>COUNTIF(Dienstplan!B160:AE160,"DII")</f>
        <v/>
      </c>
      <c r="I135" s="81">
        <f>COUNTIF(Dienstplan!B160:AE160,"KU")</f>
        <v/>
      </c>
      <c r="J135" s="81">
        <f>COUNTIF(Dienstplan!B160:AE160,"EH")</f>
        <v/>
      </c>
      <c r="K135" s="81">
        <f>COUNTIF(Dienstplan!B160:AE160,"SD")</f>
        <v/>
      </c>
      <c r="L135" s="81">
        <f>COUNTIF(Dienstplan!B160:AE160,"GT")</f>
        <v/>
      </c>
      <c r="M135" s="81">
        <f>COUNTIF(Dienstplan!B160:AE160,"NST")</f>
        <v/>
      </c>
      <c r="N135" s="81">
        <f>COUNTIF(Dienstplan!B160:AE160,"KT")</f>
        <v/>
      </c>
      <c r="O135" s="81">
        <f>COUNTIF(Dienstplan!B160:AE160,"Fobi")</f>
        <v/>
      </c>
      <c r="P135" s="81">
        <f>COUNTIF(Dienstplan!B160:AE160,"U")</f>
        <v/>
      </c>
      <c r="Q135" s="81">
        <f>COUNTIF(Dienstplan!B160:AE160,"A")</f>
        <v/>
      </c>
      <c r="R135" s="81">
        <f>COUNTIF(Dienstplan!B160:AE160,"T-ZUG")</f>
        <v/>
      </c>
      <c r="S135" s="81">
        <f>22*$Y$5</f>
        <v/>
      </c>
      <c r="T135" s="81">
        <f>IF(ISNUMBER($AB$3),B135*$AB$3,B135*$Y$5)+IF(ISNUMBER($AB$4),C135*$AB$4,C135*$Y$5)+IF(ISNUMBER($AB$5),D135*$AB$5,D135*$Y$5)+IF(ISNUMBER($AB$6),E135*$AB$6,E135*$Y$5)+IF(ISNUMBER($AB$7),F135*$AB$7,F135*$Y$5)+IF(ISNUMBER($AB$8),G135*$AB$8,G135*$Y$5)+IF(ISNUMBER($AB$9),H135*$AB$9,H135*$Y$5)+IF(ISNUMBER($AB$10),I135*$AB$10,I135*$Y$5)+IF(ISNUMBER($AB$11),J135*$AB$11,J135*$Y$5)+IF(ISNUMBER($AB$12),K135*$AB$12,K135*$Y$5)+IF(ISNUMBER($AB$13),L135*$AB$13,L135*$Y$5)+IF(ISNUMBER($AB$14),M135*$AB$14,M135*$Y$5)+IF(ISNUMBER($AB$15),N135*$AB$15,N135*$Y$5)+IF(ISNUMBER($AB$16),O135*$AB$16,O135*$Y$5)+IF(ISNUMBER($AB$17),P135*$AB$17,P135*$Y$5)+IF(ISNUMBER($AB$18),Q135*$AB$18,Q135*$Y$5)+IF(ISNUMBER($AB$19),R135*$AB$19,R135*$Y$5)</f>
        <v/>
      </c>
      <c r="U135" s="82">
        <f>T135-S135</f>
        <v/>
      </c>
    </row>
    <row r="136" ht="16" customHeight="1">
      <c r="A136" s="43" t="inlineStr">
        <is>
          <t>Wunsch</t>
        </is>
      </c>
      <c r="B136" s="83">
        <f>COUNTIF(Dienstplan!B161:AE161,"FI")</f>
        <v/>
      </c>
      <c r="C136" s="83">
        <f>COUNTIF(Dienstplan!B161:AE161,"FII")</f>
        <v/>
      </c>
      <c r="D136" s="83">
        <f>COUNTIF(Dienstplan!B161:AE161,"SI")</f>
        <v/>
      </c>
      <c r="E136" s="83">
        <f>COUNTIF(Dienstplan!B161:AE161,"SII")</f>
        <v/>
      </c>
      <c r="F136" s="83">
        <f>COUNTIF(Dienstplan!B161:AE161,"NI")</f>
        <v/>
      </c>
      <c r="G136" s="83">
        <f>COUNTIF(Dienstplan!B161:AE161,"DI")</f>
        <v/>
      </c>
      <c r="H136" s="83">
        <f>COUNTIF(Dienstplan!B161:AE161,"DII")</f>
        <v/>
      </c>
      <c r="I136" s="83">
        <f>COUNTIF(Dienstplan!B161:AE161,"KU")</f>
        <v/>
      </c>
      <c r="J136" s="83">
        <f>COUNTIF(Dienstplan!B161:AE161,"EH")</f>
        <v/>
      </c>
      <c r="K136" s="83">
        <f>COUNTIF(Dienstplan!B161:AE161,"SD")</f>
        <v/>
      </c>
      <c r="L136" s="83">
        <f>COUNTIF(Dienstplan!B161:AE161,"GT")</f>
        <v/>
      </c>
      <c r="M136" s="83">
        <f>COUNTIF(Dienstplan!B161:AE161,"NST")</f>
        <v/>
      </c>
      <c r="N136" s="83">
        <f>COUNTIF(Dienstplan!B161:AE161,"KT")</f>
        <v/>
      </c>
      <c r="O136" s="83">
        <f>COUNTIF(Dienstplan!B161:AE161,"Fobi")</f>
        <v/>
      </c>
      <c r="P136" s="83">
        <f>COUNTIF(Dienstplan!B161:AE161,"U")</f>
        <v/>
      </c>
      <c r="Q136" s="83">
        <f>COUNTIF(Dienstplan!B161:AE161,"A")</f>
        <v/>
      </c>
      <c r="R136" s="83">
        <f>COUNTIF(Dienstplan!B161:AE161,"T-ZUG")</f>
        <v/>
      </c>
      <c r="S136" s="83">
        <f>22*$Y$6</f>
        <v/>
      </c>
      <c r="T136" s="83">
        <f>IF(ISNUMBER($AB$3),B136*$AB$3,B136*$Y$6)+IF(ISNUMBER($AB$4),C136*$AB$4,C136*$Y$6)+IF(ISNUMBER($AB$5),D136*$AB$5,D136*$Y$6)+IF(ISNUMBER($AB$6),E136*$AB$6,E136*$Y$6)+IF(ISNUMBER($AB$7),F136*$AB$7,F136*$Y$6)+IF(ISNUMBER($AB$8),G136*$AB$8,G136*$Y$6)+IF(ISNUMBER($AB$9),H136*$AB$9,H136*$Y$6)+IF(ISNUMBER($AB$10),I136*$AB$10,I136*$Y$6)+IF(ISNUMBER($AB$11),J136*$AB$11,J136*$Y$6)+IF(ISNUMBER($AB$12),K136*$AB$12,K136*$Y$6)+IF(ISNUMBER($AB$13),L136*$AB$13,L136*$Y$6)+IF(ISNUMBER($AB$14),M136*$AB$14,M136*$Y$6)+IF(ISNUMBER($AB$15),N136*$AB$15,N136*$Y$6)+IF(ISNUMBER($AB$16),O136*$AB$16,O136*$Y$6)+IF(ISNUMBER($AB$17),P136*$AB$17,P136*$Y$6)+IF(ISNUMBER($AB$18),Q136*$AB$18,Q136*$Y$6)+IF(ISNUMBER($AB$19),R136*$AB$19,R136*$Y$6)</f>
        <v/>
      </c>
      <c r="U136" s="84">
        <f>T136-S136</f>
        <v/>
      </c>
    </row>
    <row r="137" ht="16" customHeight="1">
      <c r="A137" s="43" t="inlineStr">
        <is>
          <t>Göpfrich</t>
        </is>
      </c>
      <c r="B137" s="81">
        <f>COUNTIF(Dienstplan!B162:AE162,"FI")</f>
        <v/>
      </c>
      <c r="C137" s="81">
        <f>COUNTIF(Dienstplan!B162:AE162,"FII")</f>
        <v/>
      </c>
      <c r="D137" s="81">
        <f>COUNTIF(Dienstplan!B162:AE162,"SI")</f>
        <v/>
      </c>
      <c r="E137" s="81">
        <f>COUNTIF(Dienstplan!B162:AE162,"SII")</f>
        <v/>
      </c>
      <c r="F137" s="81">
        <f>COUNTIF(Dienstplan!B162:AE162,"NI")</f>
        <v/>
      </c>
      <c r="G137" s="81">
        <f>COUNTIF(Dienstplan!B162:AE162,"DI")</f>
        <v/>
      </c>
      <c r="H137" s="81">
        <f>COUNTIF(Dienstplan!B162:AE162,"DII")</f>
        <v/>
      </c>
      <c r="I137" s="81">
        <f>COUNTIF(Dienstplan!B162:AE162,"KU")</f>
        <v/>
      </c>
      <c r="J137" s="81">
        <f>COUNTIF(Dienstplan!B162:AE162,"EH")</f>
        <v/>
      </c>
      <c r="K137" s="81">
        <f>COUNTIF(Dienstplan!B162:AE162,"SD")</f>
        <v/>
      </c>
      <c r="L137" s="81">
        <f>COUNTIF(Dienstplan!B162:AE162,"GT")</f>
        <v/>
      </c>
      <c r="M137" s="81">
        <f>COUNTIF(Dienstplan!B162:AE162,"NST")</f>
        <v/>
      </c>
      <c r="N137" s="81">
        <f>COUNTIF(Dienstplan!B162:AE162,"KT")</f>
        <v/>
      </c>
      <c r="O137" s="81">
        <f>COUNTIF(Dienstplan!B162:AE162,"Fobi")</f>
        <v/>
      </c>
      <c r="P137" s="81">
        <f>COUNTIF(Dienstplan!B162:AE162,"U")</f>
        <v/>
      </c>
      <c r="Q137" s="81">
        <f>COUNTIF(Dienstplan!B162:AE162,"A")</f>
        <v/>
      </c>
      <c r="R137" s="81">
        <f>COUNTIF(Dienstplan!B162:AE162,"T-ZUG")</f>
        <v/>
      </c>
      <c r="S137" s="81">
        <f>22*$Y$7</f>
        <v/>
      </c>
      <c r="T137" s="81">
        <f>IF(ISNUMBER($AB$3),B137*$AB$3,B137*$Y$7)+IF(ISNUMBER($AB$4),C137*$AB$4,C137*$Y$7)+IF(ISNUMBER($AB$5),D137*$AB$5,D137*$Y$7)+IF(ISNUMBER($AB$6),E137*$AB$6,E137*$Y$7)+IF(ISNUMBER($AB$7),F137*$AB$7,F137*$Y$7)+IF(ISNUMBER($AB$8),G137*$AB$8,G137*$Y$7)+IF(ISNUMBER($AB$9),H137*$AB$9,H137*$Y$7)+IF(ISNUMBER($AB$10),I137*$AB$10,I137*$Y$7)+IF(ISNUMBER($AB$11),J137*$AB$11,J137*$Y$7)+IF(ISNUMBER($AB$12),K137*$AB$12,K137*$Y$7)+IF(ISNUMBER($AB$13),L137*$AB$13,L137*$Y$7)+IF(ISNUMBER($AB$14),M137*$AB$14,M137*$Y$7)+IF(ISNUMBER($AB$15),N137*$AB$15,N137*$Y$7)+IF(ISNUMBER($AB$16),O137*$AB$16,O137*$Y$7)+IF(ISNUMBER($AB$17),P137*$AB$17,P137*$Y$7)+IF(ISNUMBER($AB$18),Q137*$AB$18,Q137*$Y$7)+IF(ISNUMBER($AB$19),R137*$AB$19,R137*$Y$7)</f>
        <v/>
      </c>
      <c r="U137" s="82">
        <f>T137-S137</f>
        <v/>
      </c>
    </row>
    <row r="138" ht="16" customHeight="1">
      <c r="A138" s="43" t="inlineStr">
        <is>
          <t>Zeller</t>
        </is>
      </c>
      <c r="B138" s="83">
        <f>COUNTIF(Dienstplan!B163:AE163,"FI")</f>
        <v/>
      </c>
      <c r="C138" s="83">
        <f>COUNTIF(Dienstplan!B163:AE163,"FII")</f>
        <v/>
      </c>
      <c r="D138" s="83">
        <f>COUNTIF(Dienstplan!B163:AE163,"SI")</f>
        <v/>
      </c>
      <c r="E138" s="83">
        <f>COUNTIF(Dienstplan!B163:AE163,"SII")</f>
        <v/>
      </c>
      <c r="F138" s="83">
        <f>COUNTIF(Dienstplan!B163:AE163,"NI")</f>
        <v/>
      </c>
      <c r="G138" s="83">
        <f>COUNTIF(Dienstplan!B163:AE163,"DI")</f>
        <v/>
      </c>
      <c r="H138" s="83">
        <f>COUNTIF(Dienstplan!B163:AE163,"DII")</f>
        <v/>
      </c>
      <c r="I138" s="83">
        <f>COUNTIF(Dienstplan!B163:AE163,"KU")</f>
        <v/>
      </c>
      <c r="J138" s="83">
        <f>COUNTIF(Dienstplan!B163:AE163,"EH")</f>
        <v/>
      </c>
      <c r="K138" s="83">
        <f>COUNTIF(Dienstplan!B163:AE163,"SD")</f>
        <v/>
      </c>
      <c r="L138" s="83">
        <f>COUNTIF(Dienstplan!B163:AE163,"GT")</f>
        <v/>
      </c>
      <c r="M138" s="83">
        <f>COUNTIF(Dienstplan!B163:AE163,"NST")</f>
        <v/>
      </c>
      <c r="N138" s="83">
        <f>COUNTIF(Dienstplan!B163:AE163,"KT")</f>
        <v/>
      </c>
      <c r="O138" s="83">
        <f>COUNTIF(Dienstplan!B163:AE163,"Fobi")</f>
        <v/>
      </c>
      <c r="P138" s="83">
        <f>COUNTIF(Dienstplan!B163:AE163,"U")</f>
        <v/>
      </c>
      <c r="Q138" s="83">
        <f>COUNTIF(Dienstplan!B163:AE163,"A")</f>
        <v/>
      </c>
      <c r="R138" s="83">
        <f>COUNTIF(Dienstplan!B163:AE163,"T-ZUG")</f>
        <v/>
      </c>
      <c r="S138" s="83">
        <f>22*$Y$8</f>
        <v/>
      </c>
      <c r="T138" s="83">
        <f>IF(ISNUMBER($AB$3),B138*$AB$3,B138*$Y$8)+IF(ISNUMBER($AB$4),C138*$AB$4,C138*$Y$8)+IF(ISNUMBER($AB$5),D138*$AB$5,D138*$Y$8)+IF(ISNUMBER($AB$6),E138*$AB$6,E138*$Y$8)+IF(ISNUMBER($AB$7),F138*$AB$7,F138*$Y$8)+IF(ISNUMBER($AB$8),G138*$AB$8,G138*$Y$8)+IF(ISNUMBER($AB$9),H138*$AB$9,H138*$Y$8)+IF(ISNUMBER($AB$10),I138*$AB$10,I138*$Y$8)+IF(ISNUMBER($AB$11),J138*$AB$11,J138*$Y$8)+IF(ISNUMBER($AB$12),K138*$AB$12,K138*$Y$8)+IF(ISNUMBER($AB$13),L138*$AB$13,L138*$Y$8)+IF(ISNUMBER($AB$14),M138*$AB$14,M138*$Y$8)+IF(ISNUMBER($AB$15),N138*$AB$15,N138*$Y$8)+IF(ISNUMBER($AB$16),O138*$AB$16,O138*$Y$8)+IF(ISNUMBER($AB$17),P138*$AB$17,P138*$Y$8)+IF(ISNUMBER($AB$18),Q138*$AB$18,Q138*$Y$8)+IF(ISNUMBER($AB$19),R138*$AB$19,R138*$Y$8)</f>
        <v/>
      </c>
      <c r="U138" s="84">
        <f>T138-S138</f>
        <v/>
      </c>
    </row>
    <row r="139" ht="16" customHeight="1">
      <c r="A139" s="43" t="inlineStr">
        <is>
          <t>Behrendt</t>
        </is>
      </c>
      <c r="B139" s="81">
        <f>COUNTIF(Dienstplan!B164:AE164,"FI")</f>
        <v/>
      </c>
      <c r="C139" s="81">
        <f>COUNTIF(Dienstplan!B164:AE164,"FII")</f>
        <v/>
      </c>
      <c r="D139" s="81">
        <f>COUNTIF(Dienstplan!B164:AE164,"SI")</f>
        <v/>
      </c>
      <c r="E139" s="81">
        <f>COUNTIF(Dienstplan!B164:AE164,"SII")</f>
        <v/>
      </c>
      <c r="F139" s="81">
        <f>COUNTIF(Dienstplan!B164:AE164,"NI")</f>
        <v/>
      </c>
      <c r="G139" s="81">
        <f>COUNTIF(Dienstplan!B164:AE164,"DI")</f>
        <v/>
      </c>
      <c r="H139" s="81">
        <f>COUNTIF(Dienstplan!B164:AE164,"DII")</f>
        <v/>
      </c>
      <c r="I139" s="81">
        <f>COUNTIF(Dienstplan!B164:AE164,"KU")</f>
        <v/>
      </c>
      <c r="J139" s="81">
        <f>COUNTIF(Dienstplan!B164:AE164,"EH")</f>
        <v/>
      </c>
      <c r="K139" s="81">
        <f>COUNTIF(Dienstplan!B164:AE164,"SD")</f>
        <v/>
      </c>
      <c r="L139" s="81">
        <f>COUNTIF(Dienstplan!B164:AE164,"GT")</f>
        <v/>
      </c>
      <c r="M139" s="81">
        <f>COUNTIF(Dienstplan!B164:AE164,"NST")</f>
        <v/>
      </c>
      <c r="N139" s="81">
        <f>COUNTIF(Dienstplan!B164:AE164,"KT")</f>
        <v/>
      </c>
      <c r="O139" s="81">
        <f>COUNTIF(Dienstplan!B164:AE164,"Fobi")</f>
        <v/>
      </c>
      <c r="P139" s="81">
        <f>COUNTIF(Dienstplan!B164:AE164,"U")</f>
        <v/>
      </c>
      <c r="Q139" s="81">
        <f>COUNTIF(Dienstplan!B164:AE164,"A")</f>
        <v/>
      </c>
      <c r="R139" s="81">
        <f>COUNTIF(Dienstplan!B164:AE164,"T-ZUG")</f>
        <v/>
      </c>
      <c r="S139" s="81">
        <f>22*$Y$9</f>
        <v/>
      </c>
      <c r="T139" s="81">
        <f>IF(ISNUMBER($AB$3),B139*$AB$3,B139*$Y$9)+IF(ISNUMBER($AB$4),C139*$AB$4,C139*$Y$9)+IF(ISNUMBER($AB$5),D139*$AB$5,D139*$Y$9)+IF(ISNUMBER($AB$6),E139*$AB$6,E139*$Y$9)+IF(ISNUMBER($AB$7),F139*$AB$7,F139*$Y$9)+IF(ISNUMBER($AB$8),G139*$AB$8,G139*$Y$9)+IF(ISNUMBER($AB$9),H139*$AB$9,H139*$Y$9)+IF(ISNUMBER($AB$10),I139*$AB$10,I139*$Y$9)+IF(ISNUMBER($AB$11),J139*$AB$11,J139*$Y$9)+IF(ISNUMBER($AB$12),K139*$AB$12,K139*$Y$9)+IF(ISNUMBER($AB$13),L139*$AB$13,L139*$Y$9)+IF(ISNUMBER($AB$14),M139*$AB$14,M139*$Y$9)+IF(ISNUMBER($AB$15),N139*$AB$15,N139*$Y$9)+IF(ISNUMBER($AB$16),O139*$AB$16,O139*$Y$9)+IF(ISNUMBER($AB$17),P139*$AB$17,P139*$Y$9)+IF(ISNUMBER($AB$18),Q139*$AB$18,Q139*$Y$9)+IF(ISNUMBER($AB$19),R139*$AB$19,R139*$Y$9)</f>
        <v/>
      </c>
      <c r="U139" s="82">
        <f>T139-S139</f>
        <v/>
      </c>
    </row>
    <row r="140" ht="16" customHeight="1">
      <c r="A140" s="43" t="inlineStr">
        <is>
          <t>Krempl</t>
        </is>
      </c>
      <c r="B140" s="83">
        <f>COUNTIF(Dienstplan!B165:AE165,"FI")</f>
        <v/>
      </c>
      <c r="C140" s="83">
        <f>COUNTIF(Dienstplan!B165:AE165,"FII")</f>
        <v/>
      </c>
      <c r="D140" s="83">
        <f>COUNTIF(Dienstplan!B165:AE165,"SI")</f>
        <v/>
      </c>
      <c r="E140" s="83">
        <f>COUNTIF(Dienstplan!B165:AE165,"SII")</f>
        <v/>
      </c>
      <c r="F140" s="83">
        <f>COUNTIF(Dienstplan!B165:AE165,"NI")</f>
        <v/>
      </c>
      <c r="G140" s="83">
        <f>COUNTIF(Dienstplan!B165:AE165,"DI")</f>
        <v/>
      </c>
      <c r="H140" s="83">
        <f>COUNTIF(Dienstplan!B165:AE165,"DII")</f>
        <v/>
      </c>
      <c r="I140" s="83">
        <f>COUNTIF(Dienstplan!B165:AE165,"KU")</f>
        <v/>
      </c>
      <c r="J140" s="83">
        <f>COUNTIF(Dienstplan!B165:AE165,"EH")</f>
        <v/>
      </c>
      <c r="K140" s="83">
        <f>COUNTIF(Dienstplan!B165:AE165,"SD")</f>
        <v/>
      </c>
      <c r="L140" s="83">
        <f>COUNTIF(Dienstplan!B165:AE165,"GT")</f>
        <v/>
      </c>
      <c r="M140" s="83">
        <f>COUNTIF(Dienstplan!B165:AE165,"NST")</f>
        <v/>
      </c>
      <c r="N140" s="83">
        <f>COUNTIF(Dienstplan!B165:AE165,"KT")</f>
        <v/>
      </c>
      <c r="O140" s="83">
        <f>COUNTIF(Dienstplan!B165:AE165,"Fobi")</f>
        <v/>
      </c>
      <c r="P140" s="83">
        <f>COUNTIF(Dienstplan!B165:AE165,"U")</f>
        <v/>
      </c>
      <c r="Q140" s="83">
        <f>COUNTIF(Dienstplan!B165:AE165,"A")</f>
        <v/>
      </c>
      <c r="R140" s="83">
        <f>COUNTIF(Dienstplan!B165:AE165,"T-ZUG")</f>
        <v/>
      </c>
      <c r="S140" s="83">
        <f>22*$Y$10</f>
        <v/>
      </c>
      <c r="T140" s="83">
        <f>IF(ISNUMBER($AB$3),B140*$AB$3,B140*$Y$10)+IF(ISNUMBER($AB$4),C140*$AB$4,C140*$Y$10)+IF(ISNUMBER($AB$5),D140*$AB$5,D140*$Y$10)+IF(ISNUMBER($AB$6),E140*$AB$6,E140*$Y$10)+IF(ISNUMBER($AB$7),F140*$AB$7,F140*$Y$10)+IF(ISNUMBER($AB$8),G140*$AB$8,G140*$Y$10)+IF(ISNUMBER($AB$9),H140*$AB$9,H140*$Y$10)+IF(ISNUMBER($AB$10),I140*$AB$10,I140*$Y$10)+IF(ISNUMBER($AB$11),J140*$AB$11,J140*$Y$10)+IF(ISNUMBER($AB$12),K140*$AB$12,K140*$Y$10)+IF(ISNUMBER($AB$13),L140*$AB$13,L140*$Y$10)+IF(ISNUMBER($AB$14),M140*$AB$14,M140*$Y$10)+IF(ISNUMBER($AB$15),N140*$AB$15,N140*$Y$10)+IF(ISNUMBER($AB$16),O140*$AB$16,O140*$Y$10)+IF(ISNUMBER($AB$17),P140*$AB$17,P140*$Y$10)+IF(ISNUMBER($AB$18),Q140*$AB$18,Q140*$Y$10)+IF(ISNUMBER($AB$19),R140*$AB$19,R140*$Y$10)</f>
        <v/>
      </c>
      <c r="U140" s="84">
        <f>T140-S140</f>
        <v/>
      </c>
    </row>
    <row r="141" ht="16" customHeight="1">
      <c r="A141" s="43" t="inlineStr">
        <is>
          <t>Putschler</t>
        </is>
      </c>
      <c r="B141" s="81">
        <f>COUNTIF(Dienstplan!B166:AE166,"FI")</f>
        <v/>
      </c>
      <c r="C141" s="81">
        <f>COUNTIF(Dienstplan!B166:AE166,"FII")</f>
        <v/>
      </c>
      <c r="D141" s="81">
        <f>COUNTIF(Dienstplan!B166:AE166,"SI")</f>
        <v/>
      </c>
      <c r="E141" s="81">
        <f>COUNTIF(Dienstplan!B166:AE166,"SII")</f>
        <v/>
      </c>
      <c r="F141" s="81">
        <f>COUNTIF(Dienstplan!B166:AE166,"NI")</f>
        <v/>
      </c>
      <c r="G141" s="81">
        <f>COUNTIF(Dienstplan!B166:AE166,"DI")</f>
        <v/>
      </c>
      <c r="H141" s="81">
        <f>COUNTIF(Dienstplan!B166:AE166,"DII")</f>
        <v/>
      </c>
      <c r="I141" s="81">
        <f>COUNTIF(Dienstplan!B166:AE166,"KU")</f>
        <v/>
      </c>
      <c r="J141" s="81">
        <f>COUNTIF(Dienstplan!B166:AE166,"EH")</f>
        <v/>
      </c>
      <c r="K141" s="81">
        <f>COUNTIF(Dienstplan!B166:AE166,"SD")</f>
        <v/>
      </c>
      <c r="L141" s="81">
        <f>COUNTIF(Dienstplan!B166:AE166,"GT")</f>
        <v/>
      </c>
      <c r="M141" s="81">
        <f>COUNTIF(Dienstplan!B166:AE166,"NST")</f>
        <v/>
      </c>
      <c r="N141" s="81">
        <f>COUNTIF(Dienstplan!B166:AE166,"KT")</f>
        <v/>
      </c>
      <c r="O141" s="81">
        <f>COUNTIF(Dienstplan!B166:AE166,"Fobi")</f>
        <v/>
      </c>
      <c r="P141" s="81">
        <f>COUNTIF(Dienstplan!B166:AE166,"U")</f>
        <v/>
      </c>
      <c r="Q141" s="81">
        <f>COUNTIF(Dienstplan!B166:AE166,"A")</f>
        <v/>
      </c>
      <c r="R141" s="81">
        <f>COUNTIF(Dienstplan!B166:AE166,"T-ZUG")</f>
        <v/>
      </c>
      <c r="S141" s="81">
        <f>22*$Y$11</f>
        <v/>
      </c>
      <c r="T141" s="81">
        <f>IF(ISNUMBER($AB$3),B141*$AB$3,B141*$Y$11)+IF(ISNUMBER($AB$4),C141*$AB$4,C141*$Y$11)+IF(ISNUMBER($AB$5),D141*$AB$5,D141*$Y$11)+IF(ISNUMBER($AB$6),E141*$AB$6,E141*$Y$11)+IF(ISNUMBER($AB$7),F141*$AB$7,F141*$Y$11)+IF(ISNUMBER($AB$8),G141*$AB$8,G141*$Y$11)+IF(ISNUMBER($AB$9),H141*$AB$9,H141*$Y$11)+IF(ISNUMBER($AB$10),I141*$AB$10,I141*$Y$11)+IF(ISNUMBER($AB$11),J141*$AB$11,J141*$Y$11)+IF(ISNUMBER($AB$12),K141*$AB$12,K141*$Y$11)+IF(ISNUMBER($AB$13),L141*$AB$13,L141*$Y$11)+IF(ISNUMBER($AB$14),M141*$AB$14,M141*$Y$11)+IF(ISNUMBER($AB$15),N141*$AB$15,N141*$Y$11)+IF(ISNUMBER($AB$16),O141*$AB$16,O141*$Y$11)+IF(ISNUMBER($AB$17),P141*$AB$17,P141*$Y$11)+IF(ISNUMBER($AB$18),Q141*$AB$18,Q141*$Y$11)+IF(ISNUMBER($AB$19),R141*$AB$19,R141*$Y$11)</f>
        <v/>
      </c>
      <c r="U141" s="82">
        <f>T141-S141</f>
        <v/>
      </c>
    </row>
    <row r="142" ht="16" customHeight="1">
      <c r="A142" s="43" t="inlineStr">
        <is>
          <t>Kunz</t>
        </is>
      </c>
      <c r="B142" s="83">
        <f>COUNTIF(Dienstplan!B167:AE167,"FI")</f>
        <v/>
      </c>
      <c r="C142" s="83">
        <f>COUNTIF(Dienstplan!B167:AE167,"FII")</f>
        <v/>
      </c>
      <c r="D142" s="83">
        <f>COUNTIF(Dienstplan!B167:AE167,"SI")</f>
        <v/>
      </c>
      <c r="E142" s="83">
        <f>COUNTIF(Dienstplan!B167:AE167,"SII")</f>
        <v/>
      </c>
      <c r="F142" s="83">
        <f>COUNTIF(Dienstplan!B167:AE167,"NI")</f>
        <v/>
      </c>
      <c r="G142" s="83">
        <f>COUNTIF(Dienstplan!B167:AE167,"DI")</f>
        <v/>
      </c>
      <c r="H142" s="83">
        <f>COUNTIF(Dienstplan!B167:AE167,"DII")</f>
        <v/>
      </c>
      <c r="I142" s="83">
        <f>COUNTIF(Dienstplan!B167:AE167,"KU")</f>
        <v/>
      </c>
      <c r="J142" s="83">
        <f>COUNTIF(Dienstplan!B167:AE167,"EH")</f>
        <v/>
      </c>
      <c r="K142" s="83">
        <f>COUNTIF(Dienstplan!B167:AE167,"SD")</f>
        <v/>
      </c>
      <c r="L142" s="83">
        <f>COUNTIF(Dienstplan!B167:AE167,"GT")</f>
        <v/>
      </c>
      <c r="M142" s="83">
        <f>COUNTIF(Dienstplan!B167:AE167,"NST")</f>
        <v/>
      </c>
      <c r="N142" s="83">
        <f>COUNTIF(Dienstplan!B167:AE167,"KT")</f>
        <v/>
      </c>
      <c r="O142" s="83">
        <f>COUNTIF(Dienstplan!B167:AE167,"Fobi")</f>
        <v/>
      </c>
      <c r="P142" s="83">
        <f>COUNTIF(Dienstplan!B167:AE167,"U")</f>
        <v/>
      </c>
      <c r="Q142" s="83">
        <f>COUNTIF(Dienstplan!B167:AE167,"A")</f>
        <v/>
      </c>
      <c r="R142" s="83">
        <f>COUNTIF(Dienstplan!B167:AE167,"T-ZUG")</f>
        <v/>
      </c>
      <c r="S142" s="83">
        <f>22*$Y$12</f>
        <v/>
      </c>
      <c r="T142" s="83">
        <f>IF(ISNUMBER($AB$3),B142*$AB$3,B142*$Y$12)+IF(ISNUMBER($AB$4),C142*$AB$4,C142*$Y$12)+IF(ISNUMBER($AB$5),D142*$AB$5,D142*$Y$12)+IF(ISNUMBER($AB$6),E142*$AB$6,E142*$Y$12)+IF(ISNUMBER($AB$7),F142*$AB$7,F142*$Y$12)+IF(ISNUMBER($AB$8),G142*$AB$8,G142*$Y$12)+IF(ISNUMBER($AB$9),H142*$AB$9,H142*$Y$12)+IF(ISNUMBER($AB$10),I142*$AB$10,I142*$Y$12)+IF(ISNUMBER($AB$11),J142*$AB$11,J142*$Y$12)+IF(ISNUMBER($AB$12),K142*$AB$12,K142*$Y$12)+IF(ISNUMBER($AB$13),L142*$AB$13,L142*$Y$12)+IF(ISNUMBER($AB$14),M142*$AB$14,M142*$Y$12)+IF(ISNUMBER($AB$15),N142*$AB$15,N142*$Y$12)+IF(ISNUMBER($AB$16),O142*$AB$16,O142*$Y$12)+IF(ISNUMBER($AB$17),P142*$AB$17,P142*$Y$12)+IF(ISNUMBER($AB$18),Q142*$AB$18,Q142*$Y$12)+IF(ISNUMBER($AB$19),R142*$AB$19,R142*$Y$12)</f>
        <v/>
      </c>
      <c r="U142" s="84">
        <f>T142-S142</f>
        <v/>
      </c>
    </row>
    <row r="143" ht="16" customHeight="1">
      <c r="A143" s="43" t="inlineStr">
        <is>
          <t>Schmidt</t>
        </is>
      </c>
      <c r="B143" s="81">
        <f>COUNTIF(Dienstplan!B168:AE168,"FI")</f>
        <v/>
      </c>
      <c r="C143" s="81">
        <f>COUNTIF(Dienstplan!B168:AE168,"FII")</f>
        <v/>
      </c>
      <c r="D143" s="81">
        <f>COUNTIF(Dienstplan!B168:AE168,"SI")</f>
        <v/>
      </c>
      <c r="E143" s="81">
        <f>COUNTIF(Dienstplan!B168:AE168,"SII")</f>
        <v/>
      </c>
      <c r="F143" s="81">
        <f>COUNTIF(Dienstplan!B168:AE168,"NI")</f>
        <v/>
      </c>
      <c r="G143" s="81">
        <f>COUNTIF(Dienstplan!B168:AE168,"DI")</f>
        <v/>
      </c>
      <c r="H143" s="81">
        <f>COUNTIF(Dienstplan!B168:AE168,"DII")</f>
        <v/>
      </c>
      <c r="I143" s="81">
        <f>COUNTIF(Dienstplan!B168:AE168,"KU")</f>
        <v/>
      </c>
      <c r="J143" s="81">
        <f>COUNTIF(Dienstplan!B168:AE168,"EH")</f>
        <v/>
      </c>
      <c r="K143" s="81">
        <f>COUNTIF(Dienstplan!B168:AE168,"SD")</f>
        <v/>
      </c>
      <c r="L143" s="81">
        <f>COUNTIF(Dienstplan!B168:AE168,"GT")</f>
        <v/>
      </c>
      <c r="M143" s="81">
        <f>COUNTIF(Dienstplan!B168:AE168,"NST")</f>
        <v/>
      </c>
      <c r="N143" s="81">
        <f>COUNTIF(Dienstplan!B168:AE168,"KT")</f>
        <v/>
      </c>
      <c r="O143" s="81">
        <f>COUNTIF(Dienstplan!B168:AE168,"Fobi")</f>
        <v/>
      </c>
      <c r="P143" s="81">
        <f>COUNTIF(Dienstplan!B168:AE168,"U")</f>
        <v/>
      </c>
      <c r="Q143" s="81">
        <f>COUNTIF(Dienstplan!B168:AE168,"A")</f>
        <v/>
      </c>
      <c r="R143" s="81">
        <f>COUNTIF(Dienstplan!B168:AE168,"T-ZUG")</f>
        <v/>
      </c>
      <c r="S143" s="81">
        <f>22*$Y$13</f>
        <v/>
      </c>
      <c r="T143" s="81">
        <f>IF(ISNUMBER($AB$3),B143*$AB$3,B143*$Y$13)+IF(ISNUMBER($AB$4),C143*$AB$4,C143*$Y$13)+IF(ISNUMBER($AB$5),D143*$AB$5,D143*$Y$13)+IF(ISNUMBER($AB$6),E143*$AB$6,E143*$Y$13)+IF(ISNUMBER($AB$7),F143*$AB$7,F143*$Y$13)+IF(ISNUMBER($AB$8),G143*$AB$8,G143*$Y$13)+IF(ISNUMBER($AB$9),H143*$AB$9,H143*$Y$13)+IF(ISNUMBER($AB$10),I143*$AB$10,I143*$Y$13)+IF(ISNUMBER($AB$11),J143*$AB$11,J143*$Y$13)+IF(ISNUMBER($AB$12),K143*$AB$12,K143*$Y$13)+IF(ISNUMBER($AB$13),L143*$AB$13,L143*$Y$13)+IF(ISNUMBER($AB$14),M143*$AB$14,M143*$Y$13)+IF(ISNUMBER($AB$15),N143*$AB$15,N143*$Y$13)+IF(ISNUMBER($AB$16),O143*$AB$16,O143*$Y$13)+IF(ISNUMBER($AB$17),P143*$AB$17,P143*$Y$13)+IF(ISNUMBER($AB$18),Q143*$AB$18,Q143*$Y$13)+IF(ISNUMBER($AB$19),R143*$AB$19,R143*$Y$13)</f>
        <v/>
      </c>
      <c r="U143" s="82">
        <f>T143-S143</f>
        <v/>
      </c>
    </row>
    <row r="144" ht="16" customHeight="1">
      <c r="A144" s="43" t="inlineStr">
        <is>
          <t>Radimersky</t>
        </is>
      </c>
      <c r="B144" s="83">
        <f>COUNTIF(Dienstplan!B169:AE169,"FI")</f>
        <v/>
      </c>
      <c r="C144" s="83">
        <f>COUNTIF(Dienstplan!B169:AE169,"FII")</f>
        <v/>
      </c>
      <c r="D144" s="83">
        <f>COUNTIF(Dienstplan!B169:AE169,"SI")</f>
        <v/>
      </c>
      <c r="E144" s="83">
        <f>COUNTIF(Dienstplan!B169:AE169,"SII")</f>
        <v/>
      </c>
      <c r="F144" s="83">
        <f>COUNTIF(Dienstplan!B169:AE169,"NI")</f>
        <v/>
      </c>
      <c r="G144" s="83">
        <f>COUNTIF(Dienstplan!B169:AE169,"DI")</f>
        <v/>
      </c>
      <c r="H144" s="83">
        <f>COUNTIF(Dienstplan!B169:AE169,"DII")</f>
        <v/>
      </c>
      <c r="I144" s="83">
        <f>COUNTIF(Dienstplan!B169:AE169,"KU")</f>
        <v/>
      </c>
      <c r="J144" s="83">
        <f>COUNTIF(Dienstplan!B169:AE169,"EH")</f>
        <v/>
      </c>
      <c r="K144" s="83">
        <f>COUNTIF(Dienstplan!B169:AE169,"SD")</f>
        <v/>
      </c>
      <c r="L144" s="83">
        <f>COUNTIF(Dienstplan!B169:AE169,"GT")</f>
        <v/>
      </c>
      <c r="M144" s="83">
        <f>COUNTIF(Dienstplan!B169:AE169,"NST")</f>
        <v/>
      </c>
      <c r="N144" s="83">
        <f>COUNTIF(Dienstplan!B169:AE169,"KT")</f>
        <v/>
      </c>
      <c r="O144" s="83">
        <f>COUNTIF(Dienstplan!B169:AE169,"Fobi")</f>
        <v/>
      </c>
      <c r="P144" s="83">
        <f>COUNTIF(Dienstplan!B169:AE169,"U")</f>
        <v/>
      </c>
      <c r="Q144" s="83">
        <f>COUNTIF(Dienstplan!B169:AE169,"A")</f>
        <v/>
      </c>
      <c r="R144" s="83">
        <f>COUNTIF(Dienstplan!B169:AE169,"T-ZUG")</f>
        <v/>
      </c>
      <c r="S144" s="83">
        <f>22*$Y$14</f>
        <v/>
      </c>
      <c r="T144" s="83">
        <f>IF(ISNUMBER($AB$3),B144*$AB$3,B144*$Y$14)+IF(ISNUMBER($AB$4),C144*$AB$4,C144*$Y$14)+IF(ISNUMBER($AB$5),D144*$AB$5,D144*$Y$14)+IF(ISNUMBER($AB$6),E144*$AB$6,E144*$Y$14)+IF(ISNUMBER($AB$7),F144*$AB$7,F144*$Y$14)+IF(ISNUMBER($AB$8),G144*$AB$8,G144*$Y$14)+IF(ISNUMBER($AB$9),H144*$AB$9,H144*$Y$14)+IF(ISNUMBER($AB$10),I144*$AB$10,I144*$Y$14)+IF(ISNUMBER($AB$11),J144*$AB$11,J144*$Y$14)+IF(ISNUMBER($AB$12),K144*$AB$12,K144*$Y$14)+IF(ISNUMBER($AB$13),L144*$AB$13,L144*$Y$14)+IF(ISNUMBER($AB$14),M144*$AB$14,M144*$Y$14)+IF(ISNUMBER($AB$15),N144*$AB$15,N144*$Y$14)+IF(ISNUMBER($AB$16),O144*$AB$16,O144*$Y$14)+IF(ISNUMBER($AB$17),P144*$AB$17,P144*$Y$14)+IF(ISNUMBER($AB$18),Q144*$AB$18,Q144*$Y$14)+IF(ISNUMBER($AB$19),R144*$AB$19,R144*$Y$14)</f>
        <v/>
      </c>
      <c r="U144" s="84">
        <f>T144-S144</f>
        <v/>
      </c>
    </row>
    <row r="145" ht="18" customHeight="1">
      <c r="A145" s="88" t="inlineStr">
        <is>
          <t>Summe</t>
        </is>
      </c>
      <c r="B145" s="89">
        <f>SUM(B133:B144)</f>
        <v/>
      </c>
      <c r="C145" s="89">
        <f>SUM(C133:C144)</f>
        <v/>
      </c>
      <c r="D145" s="89">
        <f>SUM(D133:D144)</f>
        <v/>
      </c>
      <c r="E145" s="89">
        <f>SUM(E133:E144)</f>
        <v/>
      </c>
      <c r="F145" s="89">
        <f>SUM(F133:F144)</f>
        <v/>
      </c>
      <c r="G145" s="89">
        <f>SUM(G133:G144)</f>
        <v/>
      </c>
      <c r="H145" s="89">
        <f>SUM(H133:H144)</f>
        <v/>
      </c>
      <c r="I145" s="89">
        <f>SUM(I133:I144)</f>
        <v/>
      </c>
      <c r="J145" s="89">
        <f>SUM(J133:J144)</f>
        <v/>
      </c>
      <c r="K145" s="89">
        <f>SUM(K133:K144)</f>
        <v/>
      </c>
      <c r="L145" s="89">
        <f>SUM(L133:L144)</f>
        <v/>
      </c>
      <c r="M145" s="89">
        <f>SUM(M133:M144)</f>
        <v/>
      </c>
      <c r="N145" s="89">
        <f>SUM(N133:N144)</f>
        <v/>
      </c>
      <c r="O145" s="89">
        <f>SUM(O133:O144)</f>
        <v/>
      </c>
      <c r="P145" s="89">
        <f>SUM(P133:P144)</f>
        <v/>
      </c>
      <c r="Q145" s="89">
        <f>SUM(Q133:Q144)</f>
        <v/>
      </c>
      <c r="R145" s="89">
        <f>SUM(R133:R144)</f>
        <v/>
      </c>
      <c r="S145" s="89">
        <f>SUM(S133:S144)</f>
        <v/>
      </c>
      <c r="T145" s="89">
        <f>SUM(T133:T144)</f>
        <v/>
      </c>
      <c r="U145" s="90">
        <f>SUM(U133:U144)</f>
        <v/>
      </c>
    </row>
    <row r="147">
      <c r="A147" s="2" t="inlineStr">
        <is>
          <t>Oktober</t>
        </is>
      </c>
      <c r="C147" t="inlineStr">
        <is>
          <t>AT:</t>
        </is>
      </c>
      <c r="D147" s="78" t="n">
        <v>21</v>
      </c>
      <c r="F147" t="inlineStr">
        <is>
          <t>Sa:</t>
        </is>
      </c>
      <c r="G147" s="78" t="n">
        <v>5</v>
      </c>
    </row>
    <row r="148" ht="18" customHeight="1">
      <c r="A148" s="34" t="inlineStr">
        <is>
          <t>MA</t>
        </is>
      </c>
      <c r="B148" s="36" t="inlineStr">
        <is>
          <t>FI</t>
        </is>
      </c>
      <c r="C148" s="36" t="inlineStr">
        <is>
          <t>FII</t>
        </is>
      </c>
      <c r="D148" s="36" t="inlineStr">
        <is>
          <t>SI</t>
        </is>
      </c>
      <c r="E148" s="36" t="inlineStr">
        <is>
          <t>SII</t>
        </is>
      </c>
      <c r="F148" s="36" t="inlineStr">
        <is>
          <t>NI</t>
        </is>
      </c>
      <c r="G148" s="36" t="inlineStr">
        <is>
          <t>DI</t>
        </is>
      </c>
      <c r="H148" s="36" t="inlineStr">
        <is>
          <t>DII</t>
        </is>
      </c>
      <c r="I148" s="36" t="inlineStr">
        <is>
          <t>KU</t>
        </is>
      </c>
      <c r="J148" s="36" t="inlineStr">
        <is>
          <t>EH</t>
        </is>
      </c>
      <c r="K148" s="36" t="inlineStr">
        <is>
          <t>SD</t>
        </is>
      </c>
      <c r="L148" s="36" t="inlineStr">
        <is>
          <t>GT</t>
        </is>
      </c>
      <c r="M148" s="36" t="inlineStr">
        <is>
          <t>NST</t>
        </is>
      </c>
      <c r="N148" s="36" t="inlineStr">
        <is>
          <t>KT</t>
        </is>
      </c>
      <c r="O148" s="36" t="inlineStr">
        <is>
          <t>Fobi</t>
        </is>
      </c>
      <c r="P148" s="36" t="inlineStr">
        <is>
          <t>U</t>
        </is>
      </c>
      <c r="Q148" s="36" t="inlineStr">
        <is>
          <t>A</t>
        </is>
      </c>
      <c r="R148" s="36" t="inlineStr">
        <is>
          <t>T-ZUG</t>
        </is>
      </c>
      <c r="S148" s="36" t="inlineStr">
        <is>
          <t>Soll</t>
        </is>
      </c>
      <c r="T148" s="36" t="inlineStr">
        <is>
          <t>Ist</t>
        </is>
      </c>
      <c r="U148" s="65" t="inlineStr">
        <is>
          <t>Diff</t>
        </is>
      </c>
    </row>
    <row r="149" ht="16" customHeight="1">
      <c r="A149" s="43" t="inlineStr">
        <is>
          <t>Breig</t>
        </is>
      </c>
      <c r="B149" s="81">
        <f>COUNTIF(Dienstplan!B177:AF177,"FI")</f>
        <v/>
      </c>
      <c r="C149" s="81">
        <f>COUNTIF(Dienstplan!B177:AF177,"FII")</f>
        <v/>
      </c>
      <c r="D149" s="81">
        <f>COUNTIF(Dienstplan!B177:AF177,"SI")</f>
        <v/>
      </c>
      <c r="E149" s="81">
        <f>COUNTIF(Dienstplan!B177:AF177,"SII")</f>
        <v/>
      </c>
      <c r="F149" s="81">
        <f>COUNTIF(Dienstplan!B177:AF177,"NI")</f>
        <v/>
      </c>
      <c r="G149" s="81">
        <f>COUNTIF(Dienstplan!B177:AF177,"DI")</f>
        <v/>
      </c>
      <c r="H149" s="81">
        <f>COUNTIF(Dienstplan!B177:AF177,"DII")</f>
        <v/>
      </c>
      <c r="I149" s="81">
        <f>COUNTIF(Dienstplan!B177:AF177,"KU")</f>
        <v/>
      </c>
      <c r="J149" s="81">
        <f>COUNTIF(Dienstplan!B177:AF177,"EH")</f>
        <v/>
      </c>
      <c r="K149" s="81">
        <f>COUNTIF(Dienstplan!B177:AF177,"SD")</f>
        <v/>
      </c>
      <c r="L149" s="81">
        <f>COUNTIF(Dienstplan!B177:AF177,"GT")</f>
        <v/>
      </c>
      <c r="M149" s="81">
        <f>COUNTIF(Dienstplan!B177:AF177,"NST")</f>
        <v/>
      </c>
      <c r="N149" s="81">
        <f>COUNTIF(Dienstplan!B177:AF177,"KT")</f>
        <v/>
      </c>
      <c r="O149" s="81">
        <f>COUNTIF(Dienstplan!B177:AF177,"Fobi")</f>
        <v/>
      </c>
      <c r="P149" s="81">
        <f>COUNTIF(Dienstplan!B177:AF177,"U")</f>
        <v/>
      </c>
      <c r="Q149" s="81">
        <f>COUNTIF(Dienstplan!B177:AF177,"A")</f>
        <v/>
      </c>
      <c r="R149" s="81">
        <f>COUNTIF(Dienstplan!B177:AF177,"T-ZUG")</f>
        <v/>
      </c>
      <c r="S149" s="81">
        <f>21*$Y$3</f>
        <v/>
      </c>
      <c r="T149" s="81">
        <f>IF(ISNUMBER($AB$3),B149*$AB$3,B149*$Y$3)+IF(ISNUMBER($AB$4),C149*$AB$4,C149*$Y$3)+IF(ISNUMBER($AB$5),D149*$AB$5,D149*$Y$3)+IF(ISNUMBER($AB$6),E149*$AB$6,E149*$Y$3)+IF(ISNUMBER($AB$7),F149*$AB$7,F149*$Y$3)+IF(ISNUMBER($AB$8),G149*$AB$8,G149*$Y$3)+IF(ISNUMBER($AB$9),H149*$AB$9,H149*$Y$3)+IF(ISNUMBER($AB$10),I149*$AB$10,I149*$Y$3)+IF(ISNUMBER($AB$11),J149*$AB$11,J149*$Y$3)+IF(ISNUMBER($AB$12),K149*$AB$12,K149*$Y$3)+IF(ISNUMBER($AB$13),L149*$AB$13,L149*$Y$3)+IF(ISNUMBER($AB$14),M149*$AB$14,M149*$Y$3)+IF(ISNUMBER($AB$15),N149*$AB$15,N149*$Y$3)+IF(ISNUMBER($AB$16),O149*$AB$16,O149*$Y$3)+IF(ISNUMBER($AB$17),P149*$AB$17,P149*$Y$3)+IF(ISNUMBER($AB$18),Q149*$AB$18,Q149*$Y$3)+IF(ISNUMBER($AB$19),R149*$AB$19,R149*$Y$3)</f>
        <v/>
      </c>
      <c r="U149" s="82">
        <f>T149-S149</f>
        <v/>
      </c>
    </row>
    <row r="150" ht="16" customHeight="1">
      <c r="A150" s="43" t="inlineStr">
        <is>
          <t>Siebert</t>
        </is>
      </c>
      <c r="B150" s="83">
        <f>COUNTIF(Dienstplan!B178:AF178,"FI")</f>
        <v/>
      </c>
      <c r="C150" s="83">
        <f>COUNTIF(Dienstplan!B178:AF178,"FII")</f>
        <v/>
      </c>
      <c r="D150" s="83">
        <f>COUNTIF(Dienstplan!B178:AF178,"SI")</f>
        <v/>
      </c>
      <c r="E150" s="83">
        <f>COUNTIF(Dienstplan!B178:AF178,"SII")</f>
        <v/>
      </c>
      <c r="F150" s="83">
        <f>COUNTIF(Dienstplan!B178:AF178,"NI")</f>
        <v/>
      </c>
      <c r="G150" s="83">
        <f>COUNTIF(Dienstplan!B178:AF178,"DI")</f>
        <v/>
      </c>
      <c r="H150" s="83">
        <f>COUNTIF(Dienstplan!B178:AF178,"DII")</f>
        <v/>
      </c>
      <c r="I150" s="83">
        <f>COUNTIF(Dienstplan!B178:AF178,"KU")</f>
        <v/>
      </c>
      <c r="J150" s="83">
        <f>COUNTIF(Dienstplan!B178:AF178,"EH")</f>
        <v/>
      </c>
      <c r="K150" s="83">
        <f>COUNTIF(Dienstplan!B178:AF178,"SD")</f>
        <v/>
      </c>
      <c r="L150" s="83">
        <f>COUNTIF(Dienstplan!B178:AF178,"GT")</f>
        <v/>
      </c>
      <c r="M150" s="83">
        <f>COUNTIF(Dienstplan!B178:AF178,"NST")</f>
        <v/>
      </c>
      <c r="N150" s="83">
        <f>COUNTIF(Dienstplan!B178:AF178,"KT")</f>
        <v/>
      </c>
      <c r="O150" s="83">
        <f>COUNTIF(Dienstplan!B178:AF178,"Fobi")</f>
        <v/>
      </c>
      <c r="P150" s="83">
        <f>COUNTIF(Dienstplan!B178:AF178,"U")</f>
        <v/>
      </c>
      <c r="Q150" s="83">
        <f>COUNTIF(Dienstplan!B178:AF178,"A")</f>
        <v/>
      </c>
      <c r="R150" s="83">
        <f>COUNTIF(Dienstplan!B178:AF178,"T-ZUG")</f>
        <v/>
      </c>
      <c r="S150" s="83">
        <f>21*$Y$4</f>
        <v/>
      </c>
      <c r="T150" s="83">
        <f>IF(ISNUMBER($AB$3),B150*$AB$3,B150*$Y$4)+IF(ISNUMBER($AB$4),C150*$AB$4,C150*$Y$4)+IF(ISNUMBER($AB$5),D150*$AB$5,D150*$Y$4)+IF(ISNUMBER($AB$6),E150*$AB$6,E150*$Y$4)+IF(ISNUMBER($AB$7),F150*$AB$7,F150*$Y$4)+IF(ISNUMBER($AB$8),G150*$AB$8,G150*$Y$4)+IF(ISNUMBER($AB$9),H150*$AB$9,H150*$Y$4)+IF(ISNUMBER($AB$10),I150*$AB$10,I150*$Y$4)+IF(ISNUMBER($AB$11),J150*$AB$11,J150*$Y$4)+IF(ISNUMBER($AB$12),K150*$AB$12,K150*$Y$4)+IF(ISNUMBER($AB$13),L150*$AB$13,L150*$Y$4)+IF(ISNUMBER($AB$14),M150*$AB$14,M150*$Y$4)+IF(ISNUMBER($AB$15),N150*$AB$15,N150*$Y$4)+IF(ISNUMBER($AB$16),O150*$AB$16,O150*$Y$4)+IF(ISNUMBER($AB$17),P150*$AB$17,P150*$Y$4)+IF(ISNUMBER($AB$18),Q150*$AB$18,Q150*$Y$4)+IF(ISNUMBER($AB$19),R150*$AB$19,R150*$Y$4)</f>
        <v/>
      </c>
      <c r="U150" s="84">
        <f>T150-S150</f>
        <v/>
      </c>
    </row>
    <row r="151" ht="16" customHeight="1">
      <c r="A151" s="43" t="inlineStr">
        <is>
          <t>Jochim</t>
        </is>
      </c>
      <c r="B151" s="81">
        <f>COUNTIF(Dienstplan!B179:AF179,"FI")</f>
        <v/>
      </c>
      <c r="C151" s="81">
        <f>COUNTIF(Dienstplan!B179:AF179,"FII")</f>
        <v/>
      </c>
      <c r="D151" s="81">
        <f>COUNTIF(Dienstplan!B179:AF179,"SI")</f>
        <v/>
      </c>
      <c r="E151" s="81">
        <f>COUNTIF(Dienstplan!B179:AF179,"SII")</f>
        <v/>
      </c>
      <c r="F151" s="81">
        <f>COUNTIF(Dienstplan!B179:AF179,"NI")</f>
        <v/>
      </c>
      <c r="G151" s="81">
        <f>COUNTIF(Dienstplan!B179:AF179,"DI")</f>
        <v/>
      </c>
      <c r="H151" s="81">
        <f>COUNTIF(Dienstplan!B179:AF179,"DII")</f>
        <v/>
      </c>
      <c r="I151" s="81">
        <f>COUNTIF(Dienstplan!B179:AF179,"KU")</f>
        <v/>
      </c>
      <c r="J151" s="81">
        <f>COUNTIF(Dienstplan!B179:AF179,"EH")</f>
        <v/>
      </c>
      <c r="K151" s="81">
        <f>COUNTIF(Dienstplan!B179:AF179,"SD")</f>
        <v/>
      </c>
      <c r="L151" s="81">
        <f>COUNTIF(Dienstplan!B179:AF179,"GT")</f>
        <v/>
      </c>
      <c r="M151" s="81">
        <f>COUNTIF(Dienstplan!B179:AF179,"NST")</f>
        <v/>
      </c>
      <c r="N151" s="81">
        <f>COUNTIF(Dienstplan!B179:AF179,"KT")</f>
        <v/>
      </c>
      <c r="O151" s="81">
        <f>COUNTIF(Dienstplan!B179:AF179,"Fobi")</f>
        <v/>
      </c>
      <c r="P151" s="81">
        <f>COUNTIF(Dienstplan!B179:AF179,"U")</f>
        <v/>
      </c>
      <c r="Q151" s="81">
        <f>COUNTIF(Dienstplan!B179:AF179,"A")</f>
        <v/>
      </c>
      <c r="R151" s="81">
        <f>COUNTIF(Dienstplan!B179:AF179,"T-ZUG")</f>
        <v/>
      </c>
      <c r="S151" s="81">
        <f>21*$Y$5</f>
        <v/>
      </c>
      <c r="T151" s="81">
        <f>IF(ISNUMBER($AB$3),B151*$AB$3,B151*$Y$5)+IF(ISNUMBER($AB$4),C151*$AB$4,C151*$Y$5)+IF(ISNUMBER($AB$5),D151*$AB$5,D151*$Y$5)+IF(ISNUMBER($AB$6),E151*$AB$6,E151*$Y$5)+IF(ISNUMBER($AB$7),F151*$AB$7,F151*$Y$5)+IF(ISNUMBER($AB$8),G151*$AB$8,G151*$Y$5)+IF(ISNUMBER($AB$9),H151*$AB$9,H151*$Y$5)+IF(ISNUMBER($AB$10),I151*$AB$10,I151*$Y$5)+IF(ISNUMBER($AB$11),J151*$AB$11,J151*$Y$5)+IF(ISNUMBER($AB$12),K151*$AB$12,K151*$Y$5)+IF(ISNUMBER($AB$13),L151*$AB$13,L151*$Y$5)+IF(ISNUMBER($AB$14),M151*$AB$14,M151*$Y$5)+IF(ISNUMBER($AB$15),N151*$AB$15,N151*$Y$5)+IF(ISNUMBER($AB$16),O151*$AB$16,O151*$Y$5)+IF(ISNUMBER($AB$17),P151*$AB$17,P151*$Y$5)+IF(ISNUMBER($AB$18),Q151*$AB$18,Q151*$Y$5)+IF(ISNUMBER($AB$19),R151*$AB$19,R151*$Y$5)</f>
        <v/>
      </c>
      <c r="U151" s="82">
        <f>T151-S151</f>
        <v/>
      </c>
    </row>
    <row r="152" ht="16" customHeight="1">
      <c r="A152" s="43" t="inlineStr">
        <is>
          <t>Wunsch</t>
        </is>
      </c>
      <c r="B152" s="83">
        <f>COUNTIF(Dienstplan!B180:AF180,"FI")</f>
        <v/>
      </c>
      <c r="C152" s="83">
        <f>COUNTIF(Dienstplan!B180:AF180,"FII")</f>
        <v/>
      </c>
      <c r="D152" s="83">
        <f>COUNTIF(Dienstplan!B180:AF180,"SI")</f>
        <v/>
      </c>
      <c r="E152" s="83">
        <f>COUNTIF(Dienstplan!B180:AF180,"SII")</f>
        <v/>
      </c>
      <c r="F152" s="83">
        <f>COUNTIF(Dienstplan!B180:AF180,"NI")</f>
        <v/>
      </c>
      <c r="G152" s="83">
        <f>COUNTIF(Dienstplan!B180:AF180,"DI")</f>
        <v/>
      </c>
      <c r="H152" s="83">
        <f>COUNTIF(Dienstplan!B180:AF180,"DII")</f>
        <v/>
      </c>
      <c r="I152" s="83">
        <f>COUNTIF(Dienstplan!B180:AF180,"KU")</f>
        <v/>
      </c>
      <c r="J152" s="83">
        <f>COUNTIF(Dienstplan!B180:AF180,"EH")</f>
        <v/>
      </c>
      <c r="K152" s="83">
        <f>COUNTIF(Dienstplan!B180:AF180,"SD")</f>
        <v/>
      </c>
      <c r="L152" s="83">
        <f>COUNTIF(Dienstplan!B180:AF180,"GT")</f>
        <v/>
      </c>
      <c r="M152" s="83">
        <f>COUNTIF(Dienstplan!B180:AF180,"NST")</f>
        <v/>
      </c>
      <c r="N152" s="83">
        <f>COUNTIF(Dienstplan!B180:AF180,"KT")</f>
        <v/>
      </c>
      <c r="O152" s="83">
        <f>COUNTIF(Dienstplan!B180:AF180,"Fobi")</f>
        <v/>
      </c>
      <c r="P152" s="83">
        <f>COUNTIF(Dienstplan!B180:AF180,"U")</f>
        <v/>
      </c>
      <c r="Q152" s="83">
        <f>COUNTIF(Dienstplan!B180:AF180,"A")</f>
        <v/>
      </c>
      <c r="R152" s="83">
        <f>COUNTIF(Dienstplan!B180:AF180,"T-ZUG")</f>
        <v/>
      </c>
      <c r="S152" s="83">
        <f>21*$Y$6</f>
        <v/>
      </c>
      <c r="T152" s="83">
        <f>IF(ISNUMBER($AB$3),B152*$AB$3,B152*$Y$6)+IF(ISNUMBER($AB$4),C152*$AB$4,C152*$Y$6)+IF(ISNUMBER($AB$5),D152*$AB$5,D152*$Y$6)+IF(ISNUMBER($AB$6),E152*$AB$6,E152*$Y$6)+IF(ISNUMBER($AB$7),F152*$AB$7,F152*$Y$6)+IF(ISNUMBER($AB$8),G152*$AB$8,G152*$Y$6)+IF(ISNUMBER($AB$9),H152*$AB$9,H152*$Y$6)+IF(ISNUMBER($AB$10),I152*$AB$10,I152*$Y$6)+IF(ISNUMBER($AB$11),J152*$AB$11,J152*$Y$6)+IF(ISNUMBER($AB$12),K152*$AB$12,K152*$Y$6)+IF(ISNUMBER($AB$13),L152*$AB$13,L152*$Y$6)+IF(ISNUMBER($AB$14),M152*$AB$14,M152*$Y$6)+IF(ISNUMBER($AB$15),N152*$AB$15,N152*$Y$6)+IF(ISNUMBER($AB$16),O152*$AB$16,O152*$Y$6)+IF(ISNUMBER($AB$17),P152*$AB$17,P152*$Y$6)+IF(ISNUMBER($AB$18),Q152*$AB$18,Q152*$Y$6)+IF(ISNUMBER($AB$19),R152*$AB$19,R152*$Y$6)</f>
        <v/>
      </c>
      <c r="U152" s="84">
        <f>T152-S152</f>
        <v/>
      </c>
    </row>
    <row r="153" ht="16" customHeight="1">
      <c r="A153" s="43" t="inlineStr">
        <is>
          <t>Göpfrich</t>
        </is>
      </c>
      <c r="B153" s="81">
        <f>COUNTIF(Dienstplan!B181:AF181,"FI")</f>
        <v/>
      </c>
      <c r="C153" s="81">
        <f>COUNTIF(Dienstplan!B181:AF181,"FII")</f>
        <v/>
      </c>
      <c r="D153" s="81">
        <f>COUNTIF(Dienstplan!B181:AF181,"SI")</f>
        <v/>
      </c>
      <c r="E153" s="81">
        <f>COUNTIF(Dienstplan!B181:AF181,"SII")</f>
        <v/>
      </c>
      <c r="F153" s="81">
        <f>COUNTIF(Dienstplan!B181:AF181,"NI")</f>
        <v/>
      </c>
      <c r="G153" s="81">
        <f>COUNTIF(Dienstplan!B181:AF181,"DI")</f>
        <v/>
      </c>
      <c r="H153" s="81">
        <f>COUNTIF(Dienstplan!B181:AF181,"DII")</f>
        <v/>
      </c>
      <c r="I153" s="81">
        <f>COUNTIF(Dienstplan!B181:AF181,"KU")</f>
        <v/>
      </c>
      <c r="J153" s="81">
        <f>COUNTIF(Dienstplan!B181:AF181,"EH")</f>
        <v/>
      </c>
      <c r="K153" s="81">
        <f>COUNTIF(Dienstplan!B181:AF181,"SD")</f>
        <v/>
      </c>
      <c r="L153" s="81">
        <f>COUNTIF(Dienstplan!B181:AF181,"GT")</f>
        <v/>
      </c>
      <c r="M153" s="81">
        <f>COUNTIF(Dienstplan!B181:AF181,"NST")</f>
        <v/>
      </c>
      <c r="N153" s="81">
        <f>COUNTIF(Dienstplan!B181:AF181,"KT")</f>
        <v/>
      </c>
      <c r="O153" s="81">
        <f>COUNTIF(Dienstplan!B181:AF181,"Fobi")</f>
        <v/>
      </c>
      <c r="P153" s="81">
        <f>COUNTIF(Dienstplan!B181:AF181,"U")</f>
        <v/>
      </c>
      <c r="Q153" s="81">
        <f>COUNTIF(Dienstplan!B181:AF181,"A")</f>
        <v/>
      </c>
      <c r="R153" s="81">
        <f>COUNTIF(Dienstplan!B181:AF181,"T-ZUG")</f>
        <v/>
      </c>
      <c r="S153" s="81">
        <f>21*$Y$7</f>
        <v/>
      </c>
      <c r="T153" s="81">
        <f>IF(ISNUMBER($AB$3),B153*$AB$3,B153*$Y$7)+IF(ISNUMBER($AB$4),C153*$AB$4,C153*$Y$7)+IF(ISNUMBER($AB$5),D153*$AB$5,D153*$Y$7)+IF(ISNUMBER($AB$6),E153*$AB$6,E153*$Y$7)+IF(ISNUMBER($AB$7),F153*$AB$7,F153*$Y$7)+IF(ISNUMBER($AB$8),G153*$AB$8,G153*$Y$7)+IF(ISNUMBER($AB$9),H153*$AB$9,H153*$Y$7)+IF(ISNUMBER($AB$10),I153*$AB$10,I153*$Y$7)+IF(ISNUMBER($AB$11),J153*$AB$11,J153*$Y$7)+IF(ISNUMBER($AB$12),K153*$AB$12,K153*$Y$7)+IF(ISNUMBER($AB$13),L153*$AB$13,L153*$Y$7)+IF(ISNUMBER($AB$14),M153*$AB$14,M153*$Y$7)+IF(ISNUMBER($AB$15),N153*$AB$15,N153*$Y$7)+IF(ISNUMBER($AB$16),O153*$AB$16,O153*$Y$7)+IF(ISNUMBER($AB$17),P153*$AB$17,P153*$Y$7)+IF(ISNUMBER($AB$18),Q153*$AB$18,Q153*$Y$7)+IF(ISNUMBER($AB$19),R153*$AB$19,R153*$Y$7)</f>
        <v/>
      </c>
      <c r="U153" s="82">
        <f>T153-S153</f>
        <v/>
      </c>
    </row>
    <row r="154" ht="16" customHeight="1">
      <c r="A154" s="43" t="inlineStr">
        <is>
          <t>Zeller</t>
        </is>
      </c>
      <c r="B154" s="83">
        <f>COUNTIF(Dienstplan!B182:AF182,"FI")</f>
        <v/>
      </c>
      <c r="C154" s="83">
        <f>COUNTIF(Dienstplan!B182:AF182,"FII")</f>
        <v/>
      </c>
      <c r="D154" s="83">
        <f>COUNTIF(Dienstplan!B182:AF182,"SI")</f>
        <v/>
      </c>
      <c r="E154" s="83">
        <f>COUNTIF(Dienstplan!B182:AF182,"SII")</f>
        <v/>
      </c>
      <c r="F154" s="83">
        <f>COUNTIF(Dienstplan!B182:AF182,"NI")</f>
        <v/>
      </c>
      <c r="G154" s="83">
        <f>COUNTIF(Dienstplan!B182:AF182,"DI")</f>
        <v/>
      </c>
      <c r="H154" s="83">
        <f>COUNTIF(Dienstplan!B182:AF182,"DII")</f>
        <v/>
      </c>
      <c r="I154" s="83">
        <f>COUNTIF(Dienstplan!B182:AF182,"KU")</f>
        <v/>
      </c>
      <c r="J154" s="83">
        <f>COUNTIF(Dienstplan!B182:AF182,"EH")</f>
        <v/>
      </c>
      <c r="K154" s="83">
        <f>COUNTIF(Dienstplan!B182:AF182,"SD")</f>
        <v/>
      </c>
      <c r="L154" s="83">
        <f>COUNTIF(Dienstplan!B182:AF182,"GT")</f>
        <v/>
      </c>
      <c r="M154" s="83">
        <f>COUNTIF(Dienstplan!B182:AF182,"NST")</f>
        <v/>
      </c>
      <c r="N154" s="83">
        <f>COUNTIF(Dienstplan!B182:AF182,"KT")</f>
        <v/>
      </c>
      <c r="O154" s="83">
        <f>COUNTIF(Dienstplan!B182:AF182,"Fobi")</f>
        <v/>
      </c>
      <c r="P154" s="83">
        <f>COUNTIF(Dienstplan!B182:AF182,"U")</f>
        <v/>
      </c>
      <c r="Q154" s="83">
        <f>COUNTIF(Dienstplan!B182:AF182,"A")</f>
        <v/>
      </c>
      <c r="R154" s="83">
        <f>COUNTIF(Dienstplan!B182:AF182,"T-ZUG")</f>
        <v/>
      </c>
      <c r="S154" s="83">
        <f>21*$Y$8</f>
        <v/>
      </c>
      <c r="T154" s="83">
        <f>IF(ISNUMBER($AB$3),B154*$AB$3,B154*$Y$8)+IF(ISNUMBER($AB$4),C154*$AB$4,C154*$Y$8)+IF(ISNUMBER($AB$5),D154*$AB$5,D154*$Y$8)+IF(ISNUMBER($AB$6),E154*$AB$6,E154*$Y$8)+IF(ISNUMBER($AB$7),F154*$AB$7,F154*$Y$8)+IF(ISNUMBER($AB$8),G154*$AB$8,G154*$Y$8)+IF(ISNUMBER($AB$9),H154*$AB$9,H154*$Y$8)+IF(ISNUMBER($AB$10),I154*$AB$10,I154*$Y$8)+IF(ISNUMBER($AB$11),J154*$AB$11,J154*$Y$8)+IF(ISNUMBER($AB$12),K154*$AB$12,K154*$Y$8)+IF(ISNUMBER($AB$13),L154*$AB$13,L154*$Y$8)+IF(ISNUMBER($AB$14),M154*$AB$14,M154*$Y$8)+IF(ISNUMBER($AB$15),N154*$AB$15,N154*$Y$8)+IF(ISNUMBER($AB$16),O154*$AB$16,O154*$Y$8)+IF(ISNUMBER($AB$17),P154*$AB$17,P154*$Y$8)+IF(ISNUMBER($AB$18),Q154*$AB$18,Q154*$Y$8)+IF(ISNUMBER($AB$19),R154*$AB$19,R154*$Y$8)</f>
        <v/>
      </c>
      <c r="U154" s="84">
        <f>T154-S154</f>
        <v/>
      </c>
    </row>
    <row r="155" ht="16" customHeight="1">
      <c r="A155" s="43" t="inlineStr">
        <is>
          <t>Behrendt</t>
        </is>
      </c>
      <c r="B155" s="81">
        <f>COUNTIF(Dienstplan!B183:AF183,"FI")</f>
        <v/>
      </c>
      <c r="C155" s="81">
        <f>COUNTIF(Dienstplan!B183:AF183,"FII")</f>
        <v/>
      </c>
      <c r="D155" s="81">
        <f>COUNTIF(Dienstplan!B183:AF183,"SI")</f>
        <v/>
      </c>
      <c r="E155" s="81">
        <f>COUNTIF(Dienstplan!B183:AF183,"SII")</f>
        <v/>
      </c>
      <c r="F155" s="81">
        <f>COUNTIF(Dienstplan!B183:AF183,"NI")</f>
        <v/>
      </c>
      <c r="G155" s="81">
        <f>COUNTIF(Dienstplan!B183:AF183,"DI")</f>
        <v/>
      </c>
      <c r="H155" s="81">
        <f>COUNTIF(Dienstplan!B183:AF183,"DII")</f>
        <v/>
      </c>
      <c r="I155" s="81">
        <f>COUNTIF(Dienstplan!B183:AF183,"KU")</f>
        <v/>
      </c>
      <c r="J155" s="81">
        <f>COUNTIF(Dienstplan!B183:AF183,"EH")</f>
        <v/>
      </c>
      <c r="K155" s="81">
        <f>COUNTIF(Dienstplan!B183:AF183,"SD")</f>
        <v/>
      </c>
      <c r="L155" s="81">
        <f>COUNTIF(Dienstplan!B183:AF183,"GT")</f>
        <v/>
      </c>
      <c r="M155" s="81">
        <f>COUNTIF(Dienstplan!B183:AF183,"NST")</f>
        <v/>
      </c>
      <c r="N155" s="81">
        <f>COUNTIF(Dienstplan!B183:AF183,"KT")</f>
        <v/>
      </c>
      <c r="O155" s="81">
        <f>COUNTIF(Dienstplan!B183:AF183,"Fobi")</f>
        <v/>
      </c>
      <c r="P155" s="81">
        <f>COUNTIF(Dienstplan!B183:AF183,"U")</f>
        <v/>
      </c>
      <c r="Q155" s="81">
        <f>COUNTIF(Dienstplan!B183:AF183,"A")</f>
        <v/>
      </c>
      <c r="R155" s="81">
        <f>COUNTIF(Dienstplan!B183:AF183,"T-ZUG")</f>
        <v/>
      </c>
      <c r="S155" s="81">
        <f>21*$Y$9</f>
        <v/>
      </c>
      <c r="T155" s="81">
        <f>IF(ISNUMBER($AB$3),B155*$AB$3,B155*$Y$9)+IF(ISNUMBER($AB$4),C155*$AB$4,C155*$Y$9)+IF(ISNUMBER($AB$5),D155*$AB$5,D155*$Y$9)+IF(ISNUMBER($AB$6),E155*$AB$6,E155*$Y$9)+IF(ISNUMBER($AB$7),F155*$AB$7,F155*$Y$9)+IF(ISNUMBER($AB$8),G155*$AB$8,G155*$Y$9)+IF(ISNUMBER($AB$9),H155*$AB$9,H155*$Y$9)+IF(ISNUMBER($AB$10),I155*$AB$10,I155*$Y$9)+IF(ISNUMBER($AB$11),J155*$AB$11,J155*$Y$9)+IF(ISNUMBER($AB$12),K155*$AB$12,K155*$Y$9)+IF(ISNUMBER($AB$13),L155*$AB$13,L155*$Y$9)+IF(ISNUMBER($AB$14),M155*$AB$14,M155*$Y$9)+IF(ISNUMBER($AB$15),N155*$AB$15,N155*$Y$9)+IF(ISNUMBER($AB$16),O155*$AB$16,O155*$Y$9)+IF(ISNUMBER($AB$17),P155*$AB$17,P155*$Y$9)+IF(ISNUMBER($AB$18),Q155*$AB$18,Q155*$Y$9)+IF(ISNUMBER($AB$19),R155*$AB$19,R155*$Y$9)</f>
        <v/>
      </c>
      <c r="U155" s="82">
        <f>T155-S155</f>
        <v/>
      </c>
    </row>
    <row r="156" ht="16" customHeight="1">
      <c r="A156" s="43" t="inlineStr">
        <is>
          <t>Krempl</t>
        </is>
      </c>
      <c r="B156" s="83">
        <f>COUNTIF(Dienstplan!B184:AF184,"FI")</f>
        <v/>
      </c>
      <c r="C156" s="83">
        <f>COUNTIF(Dienstplan!B184:AF184,"FII")</f>
        <v/>
      </c>
      <c r="D156" s="83">
        <f>COUNTIF(Dienstplan!B184:AF184,"SI")</f>
        <v/>
      </c>
      <c r="E156" s="83">
        <f>COUNTIF(Dienstplan!B184:AF184,"SII")</f>
        <v/>
      </c>
      <c r="F156" s="83">
        <f>COUNTIF(Dienstplan!B184:AF184,"NI")</f>
        <v/>
      </c>
      <c r="G156" s="83">
        <f>COUNTIF(Dienstplan!B184:AF184,"DI")</f>
        <v/>
      </c>
      <c r="H156" s="83">
        <f>COUNTIF(Dienstplan!B184:AF184,"DII")</f>
        <v/>
      </c>
      <c r="I156" s="83">
        <f>COUNTIF(Dienstplan!B184:AF184,"KU")</f>
        <v/>
      </c>
      <c r="J156" s="83">
        <f>COUNTIF(Dienstplan!B184:AF184,"EH")</f>
        <v/>
      </c>
      <c r="K156" s="83">
        <f>COUNTIF(Dienstplan!B184:AF184,"SD")</f>
        <v/>
      </c>
      <c r="L156" s="83">
        <f>COUNTIF(Dienstplan!B184:AF184,"GT")</f>
        <v/>
      </c>
      <c r="M156" s="83">
        <f>COUNTIF(Dienstplan!B184:AF184,"NST")</f>
        <v/>
      </c>
      <c r="N156" s="83">
        <f>COUNTIF(Dienstplan!B184:AF184,"KT")</f>
        <v/>
      </c>
      <c r="O156" s="83">
        <f>COUNTIF(Dienstplan!B184:AF184,"Fobi")</f>
        <v/>
      </c>
      <c r="P156" s="83">
        <f>COUNTIF(Dienstplan!B184:AF184,"U")</f>
        <v/>
      </c>
      <c r="Q156" s="83">
        <f>COUNTIF(Dienstplan!B184:AF184,"A")</f>
        <v/>
      </c>
      <c r="R156" s="83">
        <f>COUNTIF(Dienstplan!B184:AF184,"T-ZUG")</f>
        <v/>
      </c>
      <c r="S156" s="83">
        <f>21*$Y$10</f>
        <v/>
      </c>
      <c r="T156" s="83">
        <f>IF(ISNUMBER($AB$3),B156*$AB$3,B156*$Y$10)+IF(ISNUMBER($AB$4),C156*$AB$4,C156*$Y$10)+IF(ISNUMBER($AB$5),D156*$AB$5,D156*$Y$10)+IF(ISNUMBER($AB$6),E156*$AB$6,E156*$Y$10)+IF(ISNUMBER($AB$7),F156*$AB$7,F156*$Y$10)+IF(ISNUMBER($AB$8),G156*$AB$8,G156*$Y$10)+IF(ISNUMBER($AB$9),H156*$AB$9,H156*$Y$10)+IF(ISNUMBER($AB$10),I156*$AB$10,I156*$Y$10)+IF(ISNUMBER($AB$11),J156*$AB$11,J156*$Y$10)+IF(ISNUMBER($AB$12),K156*$AB$12,K156*$Y$10)+IF(ISNUMBER($AB$13),L156*$AB$13,L156*$Y$10)+IF(ISNUMBER($AB$14),M156*$AB$14,M156*$Y$10)+IF(ISNUMBER($AB$15),N156*$AB$15,N156*$Y$10)+IF(ISNUMBER($AB$16),O156*$AB$16,O156*$Y$10)+IF(ISNUMBER($AB$17),P156*$AB$17,P156*$Y$10)+IF(ISNUMBER($AB$18),Q156*$AB$18,Q156*$Y$10)+IF(ISNUMBER($AB$19),R156*$AB$19,R156*$Y$10)</f>
        <v/>
      </c>
      <c r="U156" s="84">
        <f>T156-S156</f>
        <v/>
      </c>
    </row>
    <row r="157" ht="16" customHeight="1">
      <c r="A157" s="43" t="inlineStr">
        <is>
          <t>Putschler</t>
        </is>
      </c>
      <c r="B157" s="81">
        <f>COUNTIF(Dienstplan!B185:AF185,"FI")</f>
        <v/>
      </c>
      <c r="C157" s="81">
        <f>COUNTIF(Dienstplan!B185:AF185,"FII")</f>
        <v/>
      </c>
      <c r="D157" s="81">
        <f>COUNTIF(Dienstplan!B185:AF185,"SI")</f>
        <v/>
      </c>
      <c r="E157" s="81">
        <f>COUNTIF(Dienstplan!B185:AF185,"SII")</f>
        <v/>
      </c>
      <c r="F157" s="81">
        <f>COUNTIF(Dienstplan!B185:AF185,"NI")</f>
        <v/>
      </c>
      <c r="G157" s="81">
        <f>COUNTIF(Dienstplan!B185:AF185,"DI")</f>
        <v/>
      </c>
      <c r="H157" s="81">
        <f>COUNTIF(Dienstplan!B185:AF185,"DII")</f>
        <v/>
      </c>
      <c r="I157" s="81">
        <f>COUNTIF(Dienstplan!B185:AF185,"KU")</f>
        <v/>
      </c>
      <c r="J157" s="81">
        <f>COUNTIF(Dienstplan!B185:AF185,"EH")</f>
        <v/>
      </c>
      <c r="K157" s="81">
        <f>COUNTIF(Dienstplan!B185:AF185,"SD")</f>
        <v/>
      </c>
      <c r="L157" s="81">
        <f>COUNTIF(Dienstplan!B185:AF185,"GT")</f>
        <v/>
      </c>
      <c r="M157" s="81">
        <f>COUNTIF(Dienstplan!B185:AF185,"NST")</f>
        <v/>
      </c>
      <c r="N157" s="81">
        <f>COUNTIF(Dienstplan!B185:AF185,"KT")</f>
        <v/>
      </c>
      <c r="O157" s="81">
        <f>COUNTIF(Dienstplan!B185:AF185,"Fobi")</f>
        <v/>
      </c>
      <c r="P157" s="81">
        <f>COUNTIF(Dienstplan!B185:AF185,"U")</f>
        <v/>
      </c>
      <c r="Q157" s="81">
        <f>COUNTIF(Dienstplan!B185:AF185,"A")</f>
        <v/>
      </c>
      <c r="R157" s="81">
        <f>COUNTIF(Dienstplan!B185:AF185,"T-ZUG")</f>
        <v/>
      </c>
      <c r="S157" s="81">
        <f>21*$Y$11</f>
        <v/>
      </c>
      <c r="T157" s="81">
        <f>IF(ISNUMBER($AB$3),B157*$AB$3,B157*$Y$11)+IF(ISNUMBER($AB$4),C157*$AB$4,C157*$Y$11)+IF(ISNUMBER($AB$5),D157*$AB$5,D157*$Y$11)+IF(ISNUMBER($AB$6),E157*$AB$6,E157*$Y$11)+IF(ISNUMBER($AB$7),F157*$AB$7,F157*$Y$11)+IF(ISNUMBER($AB$8),G157*$AB$8,G157*$Y$11)+IF(ISNUMBER($AB$9),H157*$AB$9,H157*$Y$11)+IF(ISNUMBER($AB$10),I157*$AB$10,I157*$Y$11)+IF(ISNUMBER($AB$11),J157*$AB$11,J157*$Y$11)+IF(ISNUMBER($AB$12),K157*$AB$12,K157*$Y$11)+IF(ISNUMBER($AB$13),L157*$AB$13,L157*$Y$11)+IF(ISNUMBER($AB$14),M157*$AB$14,M157*$Y$11)+IF(ISNUMBER($AB$15),N157*$AB$15,N157*$Y$11)+IF(ISNUMBER($AB$16),O157*$AB$16,O157*$Y$11)+IF(ISNUMBER($AB$17),P157*$AB$17,P157*$Y$11)+IF(ISNUMBER($AB$18),Q157*$AB$18,Q157*$Y$11)+IF(ISNUMBER($AB$19),R157*$AB$19,R157*$Y$11)</f>
        <v/>
      </c>
      <c r="U157" s="82">
        <f>T157-S157</f>
        <v/>
      </c>
    </row>
    <row r="158" ht="16" customHeight="1">
      <c r="A158" s="43" t="inlineStr">
        <is>
          <t>Kunz</t>
        </is>
      </c>
      <c r="B158" s="83">
        <f>COUNTIF(Dienstplan!B186:AF186,"FI")</f>
        <v/>
      </c>
      <c r="C158" s="83">
        <f>COUNTIF(Dienstplan!B186:AF186,"FII")</f>
        <v/>
      </c>
      <c r="D158" s="83">
        <f>COUNTIF(Dienstplan!B186:AF186,"SI")</f>
        <v/>
      </c>
      <c r="E158" s="83">
        <f>COUNTIF(Dienstplan!B186:AF186,"SII")</f>
        <v/>
      </c>
      <c r="F158" s="83">
        <f>COUNTIF(Dienstplan!B186:AF186,"NI")</f>
        <v/>
      </c>
      <c r="G158" s="83">
        <f>COUNTIF(Dienstplan!B186:AF186,"DI")</f>
        <v/>
      </c>
      <c r="H158" s="83">
        <f>COUNTIF(Dienstplan!B186:AF186,"DII")</f>
        <v/>
      </c>
      <c r="I158" s="83">
        <f>COUNTIF(Dienstplan!B186:AF186,"KU")</f>
        <v/>
      </c>
      <c r="J158" s="83">
        <f>COUNTIF(Dienstplan!B186:AF186,"EH")</f>
        <v/>
      </c>
      <c r="K158" s="83">
        <f>COUNTIF(Dienstplan!B186:AF186,"SD")</f>
        <v/>
      </c>
      <c r="L158" s="83">
        <f>COUNTIF(Dienstplan!B186:AF186,"GT")</f>
        <v/>
      </c>
      <c r="M158" s="83">
        <f>COUNTIF(Dienstplan!B186:AF186,"NST")</f>
        <v/>
      </c>
      <c r="N158" s="83">
        <f>COUNTIF(Dienstplan!B186:AF186,"KT")</f>
        <v/>
      </c>
      <c r="O158" s="83">
        <f>COUNTIF(Dienstplan!B186:AF186,"Fobi")</f>
        <v/>
      </c>
      <c r="P158" s="83">
        <f>COUNTIF(Dienstplan!B186:AF186,"U")</f>
        <v/>
      </c>
      <c r="Q158" s="83">
        <f>COUNTIF(Dienstplan!B186:AF186,"A")</f>
        <v/>
      </c>
      <c r="R158" s="83">
        <f>COUNTIF(Dienstplan!B186:AF186,"T-ZUG")</f>
        <v/>
      </c>
      <c r="S158" s="83">
        <f>21*$Y$12</f>
        <v/>
      </c>
      <c r="T158" s="83">
        <f>IF(ISNUMBER($AB$3),B158*$AB$3,B158*$Y$12)+IF(ISNUMBER($AB$4),C158*$AB$4,C158*$Y$12)+IF(ISNUMBER($AB$5),D158*$AB$5,D158*$Y$12)+IF(ISNUMBER($AB$6),E158*$AB$6,E158*$Y$12)+IF(ISNUMBER($AB$7),F158*$AB$7,F158*$Y$12)+IF(ISNUMBER($AB$8),G158*$AB$8,G158*$Y$12)+IF(ISNUMBER($AB$9),H158*$AB$9,H158*$Y$12)+IF(ISNUMBER($AB$10),I158*$AB$10,I158*$Y$12)+IF(ISNUMBER($AB$11),J158*$AB$11,J158*$Y$12)+IF(ISNUMBER($AB$12),K158*$AB$12,K158*$Y$12)+IF(ISNUMBER($AB$13),L158*$AB$13,L158*$Y$12)+IF(ISNUMBER($AB$14),M158*$AB$14,M158*$Y$12)+IF(ISNUMBER($AB$15),N158*$AB$15,N158*$Y$12)+IF(ISNUMBER($AB$16),O158*$AB$16,O158*$Y$12)+IF(ISNUMBER($AB$17),P158*$AB$17,P158*$Y$12)+IF(ISNUMBER($AB$18),Q158*$AB$18,Q158*$Y$12)+IF(ISNUMBER($AB$19),R158*$AB$19,R158*$Y$12)</f>
        <v/>
      </c>
      <c r="U158" s="84">
        <f>T158-S158</f>
        <v/>
      </c>
    </row>
    <row r="159" ht="16" customHeight="1">
      <c r="A159" s="43" t="inlineStr">
        <is>
          <t>Schmidt</t>
        </is>
      </c>
      <c r="B159" s="81">
        <f>COUNTIF(Dienstplan!B187:AF187,"FI")</f>
        <v/>
      </c>
      <c r="C159" s="81">
        <f>COUNTIF(Dienstplan!B187:AF187,"FII")</f>
        <v/>
      </c>
      <c r="D159" s="81">
        <f>COUNTIF(Dienstplan!B187:AF187,"SI")</f>
        <v/>
      </c>
      <c r="E159" s="81">
        <f>COUNTIF(Dienstplan!B187:AF187,"SII")</f>
        <v/>
      </c>
      <c r="F159" s="81">
        <f>COUNTIF(Dienstplan!B187:AF187,"NI")</f>
        <v/>
      </c>
      <c r="G159" s="81">
        <f>COUNTIF(Dienstplan!B187:AF187,"DI")</f>
        <v/>
      </c>
      <c r="H159" s="81">
        <f>COUNTIF(Dienstplan!B187:AF187,"DII")</f>
        <v/>
      </c>
      <c r="I159" s="81">
        <f>COUNTIF(Dienstplan!B187:AF187,"KU")</f>
        <v/>
      </c>
      <c r="J159" s="81">
        <f>COUNTIF(Dienstplan!B187:AF187,"EH")</f>
        <v/>
      </c>
      <c r="K159" s="81">
        <f>COUNTIF(Dienstplan!B187:AF187,"SD")</f>
        <v/>
      </c>
      <c r="L159" s="81">
        <f>COUNTIF(Dienstplan!B187:AF187,"GT")</f>
        <v/>
      </c>
      <c r="M159" s="81">
        <f>COUNTIF(Dienstplan!B187:AF187,"NST")</f>
        <v/>
      </c>
      <c r="N159" s="81">
        <f>COUNTIF(Dienstplan!B187:AF187,"KT")</f>
        <v/>
      </c>
      <c r="O159" s="81">
        <f>COUNTIF(Dienstplan!B187:AF187,"Fobi")</f>
        <v/>
      </c>
      <c r="P159" s="81">
        <f>COUNTIF(Dienstplan!B187:AF187,"U")</f>
        <v/>
      </c>
      <c r="Q159" s="81">
        <f>COUNTIF(Dienstplan!B187:AF187,"A")</f>
        <v/>
      </c>
      <c r="R159" s="81">
        <f>COUNTIF(Dienstplan!B187:AF187,"T-ZUG")</f>
        <v/>
      </c>
      <c r="S159" s="81">
        <f>21*$Y$13</f>
        <v/>
      </c>
      <c r="T159" s="81">
        <f>IF(ISNUMBER($AB$3),B159*$AB$3,B159*$Y$13)+IF(ISNUMBER($AB$4),C159*$AB$4,C159*$Y$13)+IF(ISNUMBER($AB$5),D159*$AB$5,D159*$Y$13)+IF(ISNUMBER($AB$6),E159*$AB$6,E159*$Y$13)+IF(ISNUMBER($AB$7),F159*$AB$7,F159*$Y$13)+IF(ISNUMBER($AB$8),G159*$AB$8,G159*$Y$13)+IF(ISNUMBER($AB$9),H159*$AB$9,H159*$Y$13)+IF(ISNUMBER($AB$10),I159*$AB$10,I159*$Y$13)+IF(ISNUMBER($AB$11),J159*$AB$11,J159*$Y$13)+IF(ISNUMBER($AB$12),K159*$AB$12,K159*$Y$13)+IF(ISNUMBER($AB$13),L159*$AB$13,L159*$Y$13)+IF(ISNUMBER($AB$14),M159*$AB$14,M159*$Y$13)+IF(ISNUMBER($AB$15),N159*$AB$15,N159*$Y$13)+IF(ISNUMBER($AB$16),O159*$AB$16,O159*$Y$13)+IF(ISNUMBER($AB$17),P159*$AB$17,P159*$Y$13)+IF(ISNUMBER($AB$18),Q159*$AB$18,Q159*$Y$13)+IF(ISNUMBER($AB$19),R159*$AB$19,R159*$Y$13)</f>
        <v/>
      </c>
      <c r="U159" s="82">
        <f>T159-S159</f>
        <v/>
      </c>
    </row>
    <row r="160" ht="16" customHeight="1">
      <c r="A160" s="43" t="inlineStr">
        <is>
          <t>Radimersky</t>
        </is>
      </c>
      <c r="B160" s="83">
        <f>COUNTIF(Dienstplan!B188:AF188,"FI")</f>
        <v/>
      </c>
      <c r="C160" s="83">
        <f>COUNTIF(Dienstplan!B188:AF188,"FII")</f>
        <v/>
      </c>
      <c r="D160" s="83">
        <f>COUNTIF(Dienstplan!B188:AF188,"SI")</f>
        <v/>
      </c>
      <c r="E160" s="83">
        <f>COUNTIF(Dienstplan!B188:AF188,"SII")</f>
        <v/>
      </c>
      <c r="F160" s="83">
        <f>COUNTIF(Dienstplan!B188:AF188,"NI")</f>
        <v/>
      </c>
      <c r="G160" s="83">
        <f>COUNTIF(Dienstplan!B188:AF188,"DI")</f>
        <v/>
      </c>
      <c r="H160" s="83">
        <f>COUNTIF(Dienstplan!B188:AF188,"DII")</f>
        <v/>
      </c>
      <c r="I160" s="83">
        <f>COUNTIF(Dienstplan!B188:AF188,"KU")</f>
        <v/>
      </c>
      <c r="J160" s="83">
        <f>COUNTIF(Dienstplan!B188:AF188,"EH")</f>
        <v/>
      </c>
      <c r="K160" s="83">
        <f>COUNTIF(Dienstplan!B188:AF188,"SD")</f>
        <v/>
      </c>
      <c r="L160" s="83">
        <f>COUNTIF(Dienstplan!B188:AF188,"GT")</f>
        <v/>
      </c>
      <c r="M160" s="83">
        <f>COUNTIF(Dienstplan!B188:AF188,"NST")</f>
        <v/>
      </c>
      <c r="N160" s="83">
        <f>COUNTIF(Dienstplan!B188:AF188,"KT")</f>
        <v/>
      </c>
      <c r="O160" s="83">
        <f>COUNTIF(Dienstplan!B188:AF188,"Fobi")</f>
        <v/>
      </c>
      <c r="P160" s="83">
        <f>COUNTIF(Dienstplan!B188:AF188,"U")</f>
        <v/>
      </c>
      <c r="Q160" s="83">
        <f>COUNTIF(Dienstplan!B188:AF188,"A")</f>
        <v/>
      </c>
      <c r="R160" s="83">
        <f>COUNTIF(Dienstplan!B188:AF188,"T-ZUG")</f>
        <v/>
      </c>
      <c r="S160" s="83">
        <f>21*$Y$14</f>
        <v/>
      </c>
      <c r="T160" s="83">
        <f>IF(ISNUMBER($AB$3),B160*$AB$3,B160*$Y$14)+IF(ISNUMBER($AB$4),C160*$AB$4,C160*$Y$14)+IF(ISNUMBER($AB$5),D160*$AB$5,D160*$Y$14)+IF(ISNUMBER($AB$6),E160*$AB$6,E160*$Y$14)+IF(ISNUMBER($AB$7),F160*$AB$7,F160*$Y$14)+IF(ISNUMBER($AB$8),G160*$AB$8,G160*$Y$14)+IF(ISNUMBER($AB$9),H160*$AB$9,H160*$Y$14)+IF(ISNUMBER($AB$10),I160*$AB$10,I160*$Y$14)+IF(ISNUMBER($AB$11),J160*$AB$11,J160*$Y$14)+IF(ISNUMBER($AB$12),K160*$AB$12,K160*$Y$14)+IF(ISNUMBER($AB$13),L160*$AB$13,L160*$Y$14)+IF(ISNUMBER($AB$14),M160*$AB$14,M160*$Y$14)+IF(ISNUMBER($AB$15),N160*$AB$15,N160*$Y$14)+IF(ISNUMBER($AB$16),O160*$AB$16,O160*$Y$14)+IF(ISNUMBER($AB$17),P160*$AB$17,P160*$Y$14)+IF(ISNUMBER($AB$18),Q160*$AB$18,Q160*$Y$14)+IF(ISNUMBER($AB$19),R160*$AB$19,R160*$Y$14)</f>
        <v/>
      </c>
      <c r="U160" s="84">
        <f>T160-S160</f>
        <v/>
      </c>
    </row>
    <row r="161" ht="18" customHeight="1">
      <c r="A161" s="88" t="inlineStr">
        <is>
          <t>Summe</t>
        </is>
      </c>
      <c r="B161" s="89">
        <f>SUM(B149:B160)</f>
        <v/>
      </c>
      <c r="C161" s="89">
        <f>SUM(C149:C160)</f>
        <v/>
      </c>
      <c r="D161" s="89">
        <f>SUM(D149:D160)</f>
        <v/>
      </c>
      <c r="E161" s="89">
        <f>SUM(E149:E160)</f>
        <v/>
      </c>
      <c r="F161" s="89">
        <f>SUM(F149:F160)</f>
        <v/>
      </c>
      <c r="G161" s="89">
        <f>SUM(G149:G160)</f>
        <v/>
      </c>
      <c r="H161" s="89">
        <f>SUM(H149:H160)</f>
        <v/>
      </c>
      <c r="I161" s="89">
        <f>SUM(I149:I160)</f>
        <v/>
      </c>
      <c r="J161" s="89">
        <f>SUM(J149:J160)</f>
        <v/>
      </c>
      <c r="K161" s="89">
        <f>SUM(K149:K160)</f>
        <v/>
      </c>
      <c r="L161" s="89">
        <f>SUM(L149:L160)</f>
        <v/>
      </c>
      <c r="M161" s="89">
        <f>SUM(M149:M160)</f>
        <v/>
      </c>
      <c r="N161" s="89">
        <f>SUM(N149:N160)</f>
        <v/>
      </c>
      <c r="O161" s="89">
        <f>SUM(O149:O160)</f>
        <v/>
      </c>
      <c r="P161" s="89">
        <f>SUM(P149:P160)</f>
        <v/>
      </c>
      <c r="Q161" s="89">
        <f>SUM(Q149:Q160)</f>
        <v/>
      </c>
      <c r="R161" s="89">
        <f>SUM(R149:R160)</f>
        <v/>
      </c>
      <c r="S161" s="89">
        <f>SUM(S149:S160)</f>
        <v/>
      </c>
      <c r="T161" s="89">
        <f>SUM(T149:T160)</f>
        <v/>
      </c>
      <c r="U161" s="90">
        <f>SUM(U149:U160)</f>
        <v/>
      </c>
    </row>
    <row r="163">
      <c r="A163" s="2" t="inlineStr">
        <is>
          <t>November</t>
        </is>
      </c>
      <c r="C163" t="inlineStr">
        <is>
          <t>AT:</t>
        </is>
      </c>
      <c r="D163" s="78" t="n">
        <v>21</v>
      </c>
      <c r="F163" t="inlineStr">
        <is>
          <t>Sa:</t>
        </is>
      </c>
      <c r="G163" s="78" t="n">
        <v>4</v>
      </c>
    </row>
    <row r="164" ht="18" customHeight="1">
      <c r="A164" s="34" t="inlineStr">
        <is>
          <t>MA</t>
        </is>
      </c>
      <c r="B164" s="36" t="inlineStr">
        <is>
          <t>FI</t>
        </is>
      </c>
      <c r="C164" s="36" t="inlineStr">
        <is>
          <t>FII</t>
        </is>
      </c>
      <c r="D164" s="36" t="inlineStr">
        <is>
          <t>SI</t>
        </is>
      </c>
      <c r="E164" s="36" t="inlineStr">
        <is>
          <t>SII</t>
        </is>
      </c>
      <c r="F164" s="36" t="inlineStr">
        <is>
          <t>NI</t>
        </is>
      </c>
      <c r="G164" s="36" t="inlineStr">
        <is>
          <t>DI</t>
        </is>
      </c>
      <c r="H164" s="36" t="inlineStr">
        <is>
          <t>DII</t>
        </is>
      </c>
      <c r="I164" s="36" t="inlineStr">
        <is>
          <t>KU</t>
        </is>
      </c>
      <c r="J164" s="36" t="inlineStr">
        <is>
          <t>EH</t>
        </is>
      </c>
      <c r="K164" s="36" t="inlineStr">
        <is>
          <t>SD</t>
        </is>
      </c>
      <c r="L164" s="36" t="inlineStr">
        <is>
          <t>GT</t>
        </is>
      </c>
      <c r="M164" s="36" t="inlineStr">
        <is>
          <t>NST</t>
        </is>
      </c>
      <c r="N164" s="36" t="inlineStr">
        <is>
          <t>KT</t>
        </is>
      </c>
      <c r="O164" s="36" t="inlineStr">
        <is>
          <t>Fobi</t>
        </is>
      </c>
      <c r="P164" s="36" t="inlineStr">
        <is>
          <t>U</t>
        </is>
      </c>
      <c r="Q164" s="36" t="inlineStr">
        <is>
          <t>A</t>
        </is>
      </c>
      <c r="R164" s="36" t="inlineStr">
        <is>
          <t>T-ZUG</t>
        </is>
      </c>
      <c r="S164" s="36" t="inlineStr">
        <is>
          <t>Soll</t>
        </is>
      </c>
      <c r="T164" s="36" t="inlineStr">
        <is>
          <t>Ist</t>
        </is>
      </c>
      <c r="U164" s="65" t="inlineStr">
        <is>
          <t>Diff</t>
        </is>
      </c>
    </row>
    <row r="165" ht="16" customHeight="1">
      <c r="A165" s="43" t="inlineStr">
        <is>
          <t>Breig</t>
        </is>
      </c>
      <c r="B165" s="81">
        <f>COUNTIF(Dienstplan!B195:AE195,"FI")</f>
        <v/>
      </c>
      <c r="C165" s="81">
        <f>COUNTIF(Dienstplan!B195:AE195,"FII")</f>
        <v/>
      </c>
      <c r="D165" s="81">
        <f>COUNTIF(Dienstplan!B195:AE195,"SI")</f>
        <v/>
      </c>
      <c r="E165" s="81">
        <f>COUNTIF(Dienstplan!B195:AE195,"SII")</f>
        <v/>
      </c>
      <c r="F165" s="81">
        <f>COUNTIF(Dienstplan!B195:AE195,"NI")</f>
        <v/>
      </c>
      <c r="G165" s="81">
        <f>COUNTIF(Dienstplan!B195:AE195,"DI")</f>
        <v/>
      </c>
      <c r="H165" s="81">
        <f>COUNTIF(Dienstplan!B195:AE195,"DII")</f>
        <v/>
      </c>
      <c r="I165" s="81">
        <f>COUNTIF(Dienstplan!B195:AE195,"KU")</f>
        <v/>
      </c>
      <c r="J165" s="81">
        <f>COUNTIF(Dienstplan!B195:AE195,"EH")</f>
        <v/>
      </c>
      <c r="K165" s="81">
        <f>COUNTIF(Dienstplan!B195:AE195,"SD")</f>
        <v/>
      </c>
      <c r="L165" s="81">
        <f>COUNTIF(Dienstplan!B195:AE195,"GT")</f>
        <v/>
      </c>
      <c r="M165" s="81">
        <f>COUNTIF(Dienstplan!B195:AE195,"NST")</f>
        <v/>
      </c>
      <c r="N165" s="81">
        <f>COUNTIF(Dienstplan!B195:AE195,"KT")</f>
        <v/>
      </c>
      <c r="O165" s="81">
        <f>COUNTIF(Dienstplan!B195:AE195,"Fobi")</f>
        <v/>
      </c>
      <c r="P165" s="81">
        <f>COUNTIF(Dienstplan!B195:AE195,"U")</f>
        <v/>
      </c>
      <c r="Q165" s="81">
        <f>COUNTIF(Dienstplan!B195:AE195,"A")</f>
        <v/>
      </c>
      <c r="R165" s="81">
        <f>COUNTIF(Dienstplan!B195:AE195,"T-ZUG")</f>
        <v/>
      </c>
      <c r="S165" s="81">
        <f>21*$Y$3</f>
        <v/>
      </c>
      <c r="T165" s="81">
        <f>IF(ISNUMBER($AB$3),B165*$AB$3,B165*$Y$3)+IF(ISNUMBER($AB$4),C165*$AB$4,C165*$Y$3)+IF(ISNUMBER($AB$5),D165*$AB$5,D165*$Y$3)+IF(ISNUMBER($AB$6),E165*$AB$6,E165*$Y$3)+IF(ISNUMBER($AB$7),F165*$AB$7,F165*$Y$3)+IF(ISNUMBER($AB$8),G165*$AB$8,G165*$Y$3)+IF(ISNUMBER($AB$9),H165*$AB$9,H165*$Y$3)+IF(ISNUMBER($AB$10),I165*$AB$10,I165*$Y$3)+IF(ISNUMBER($AB$11),J165*$AB$11,J165*$Y$3)+IF(ISNUMBER($AB$12),K165*$AB$12,K165*$Y$3)+IF(ISNUMBER($AB$13),L165*$AB$13,L165*$Y$3)+IF(ISNUMBER($AB$14),M165*$AB$14,M165*$Y$3)+IF(ISNUMBER($AB$15),N165*$AB$15,N165*$Y$3)+IF(ISNUMBER($AB$16),O165*$AB$16,O165*$Y$3)+IF(ISNUMBER($AB$17),P165*$AB$17,P165*$Y$3)+IF(ISNUMBER($AB$18),Q165*$AB$18,Q165*$Y$3)+IF(ISNUMBER($AB$19),R165*$AB$19,R165*$Y$3)</f>
        <v/>
      </c>
      <c r="U165" s="82">
        <f>T165-S165</f>
        <v/>
      </c>
    </row>
    <row r="166" ht="16" customHeight="1">
      <c r="A166" s="43" t="inlineStr">
        <is>
          <t>Siebert</t>
        </is>
      </c>
      <c r="B166" s="83">
        <f>COUNTIF(Dienstplan!B196:AE196,"FI")</f>
        <v/>
      </c>
      <c r="C166" s="83">
        <f>COUNTIF(Dienstplan!B196:AE196,"FII")</f>
        <v/>
      </c>
      <c r="D166" s="83">
        <f>COUNTIF(Dienstplan!B196:AE196,"SI")</f>
        <v/>
      </c>
      <c r="E166" s="83">
        <f>COUNTIF(Dienstplan!B196:AE196,"SII")</f>
        <v/>
      </c>
      <c r="F166" s="83">
        <f>COUNTIF(Dienstplan!B196:AE196,"NI")</f>
        <v/>
      </c>
      <c r="G166" s="83">
        <f>COUNTIF(Dienstplan!B196:AE196,"DI")</f>
        <v/>
      </c>
      <c r="H166" s="83">
        <f>COUNTIF(Dienstplan!B196:AE196,"DII")</f>
        <v/>
      </c>
      <c r="I166" s="83">
        <f>COUNTIF(Dienstplan!B196:AE196,"KU")</f>
        <v/>
      </c>
      <c r="J166" s="83">
        <f>COUNTIF(Dienstplan!B196:AE196,"EH")</f>
        <v/>
      </c>
      <c r="K166" s="83">
        <f>COUNTIF(Dienstplan!B196:AE196,"SD")</f>
        <v/>
      </c>
      <c r="L166" s="83">
        <f>COUNTIF(Dienstplan!B196:AE196,"GT")</f>
        <v/>
      </c>
      <c r="M166" s="83">
        <f>COUNTIF(Dienstplan!B196:AE196,"NST")</f>
        <v/>
      </c>
      <c r="N166" s="83">
        <f>COUNTIF(Dienstplan!B196:AE196,"KT")</f>
        <v/>
      </c>
      <c r="O166" s="83">
        <f>COUNTIF(Dienstplan!B196:AE196,"Fobi")</f>
        <v/>
      </c>
      <c r="P166" s="83">
        <f>COUNTIF(Dienstplan!B196:AE196,"U")</f>
        <v/>
      </c>
      <c r="Q166" s="83">
        <f>COUNTIF(Dienstplan!B196:AE196,"A")</f>
        <v/>
      </c>
      <c r="R166" s="83">
        <f>COUNTIF(Dienstplan!B196:AE196,"T-ZUG")</f>
        <v/>
      </c>
      <c r="S166" s="83">
        <f>21*$Y$4</f>
        <v/>
      </c>
      <c r="T166" s="83">
        <f>IF(ISNUMBER($AB$3),B166*$AB$3,B166*$Y$4)+IF(ISNUMBER($AB$4),C166*$AB$4,C166*$Y$4)+IF(ISNUMBER($AB$5),D166*$AB$5,D166*$Y$4)+IF(ISNUMBER($AB$6),E166*$AB$6,E166*$Y$4)+IF(ISNUMBER($AB$7),F166*$AB$7,F166*$Y$4)+IF(ISNUMBER($AB$8),G166*$AB$8,G166*$Y$4)+IF(ISNUMBER($AB$9),H166*$AB$9,H166*$Y$4)+IF(ISNUMBER($AB$10),I166*$AB$10,I166*$Y$4)+IF(ISNUMBER($AB$11),J166*$AB$11,J166*$Y$4)+IF(ISNUMBER($AB$12),K166*$AB$12,K166*$Y$4)+IF(ISNUMBER($AB$13),L166*$AB$13,L166*$Y$4)+IF(ISNUMBER($AB$14),M166*$AB$14,M166*$Y$4)+IF(ISNUMBER($AB$15),N166*$AB$15,N166*$Y$4)+IF(ISNUMBER($AB$16),O166*$AB$16,O166*$Y$4)+IF(ISNUMBER($AB$17),P166*$AB$17,P166*$Y$4)+IF(ISNUMBER($AB$18),Q166*$AB$18,Q166*$Y$4)+IF(ISNUMBER($AB$19),R166*$AB$19,R166*$Y$4)</f>
        <v/>
      </c>
      <c r="U166" s="84">
        <f>T166-S166</f>
        <v/>
      </c>
    </row>
    <row r="167" ht="16" customHeight="1">
      <c r="A167" s="43" t="inlineStr">
        <is>
          <t>Jochim</t>
        </is>
      </c>
      <c r="B167" s="81">
        <f>COUNTIF(Dienstplan!B197:AE197,"FI")</f>
        <v/>
      </c>
      <c r="C167" s="81">
        <f>COUNTIF(Dienstplan!B197:AE197,"FII")</f>
        <v/>
      </c>
      <c r="D167" s="81">
        <f>COUNTIF(Dienstplan!B197:AE197,"SI")</f>
        <v/>
      </c>
      <c r="E167" s="81">
        <f>COUNTIF(Dienstplan!B197:AE197,"SII")</f>
        <v/>
      </c>
      <c r="F167" s="81">
        <f>COUNTIF(Dienstplan!B197:AE197,"NI")</f>
        <v/>
      </c>
      <c r="G167" s="81">
        <f>COUNTIF(Dienstplan!B197:AE197,"DI")</f>
        <v/>
      </c>
      <c r="H167" s="81">
        <f>COUNTIF(Dienstplan!B197:AE197,"DII")</f>
        <v/>
      </c>
      <c r="I167" s="81">
        <f>COUNTIF(Dienstplan!B197:AE197,"KU")</f>
        <v/>
      </c>
      <c r="J167" s="81">
        <f>COUNTIF(Dienstplan!B197:AE197,"EH")</f>
        <v/>
      </c>
      <c r="K167" s="81">
        <f>COUNTIF(Dienstplan!B197:AE197,"SD")</f>
        <v/>
      </c>
      <c r="L167" s="81">
        <f>COUNTIF(Dienstplan!B197:AE197,"GT")</f>
        <v/>
      </c>
      <c r="M167" s="81">
        <f>COUNTIF(Dienstplan!B197:AE197,"NST")</f>
        <v/>
      </c>
      <c r="N167" s="81">
        <f>COUNTIF(Dienstplan!B197:AE197,"KT")</f>
        <v/>
      </c>
      <c r="O167" s="81">
        <f>COUNTIF(Dienstplan!B197:AE197,"Fobi")</f>
        <v/>
      </c>
      <c r="P167" s="81">
        <f>COUNTIF(Dienstplan!B197:AE197,"U")</f>
        <v/>
      </c>
      <c r="Q167" s="81">
        <f>COUNTIF(Dienstplan!B197:AE197,"A")</f>
        <v/>
      </c>
      <c r="R167" s="81">
        <f>COUNTIF(Dienstplan!B197:AE197,"T-ZUG")</f>
        <v/>
      </c>
      <c r="S167" s="81">
        <f>21*$Y$5</f>
        <v/>
      </c>
      <c r="T167" s="81">
        <f>IF(ISNUMBER($AB$3),B167*$AB$3,B167*$Y$5)+IF(ISNUMBER($AB$4),C167*$AB$4,C167*$Y$5)+IF(ISNUMBER($AB$5),D167*$AB$5,D167*$Y$5)+IF(ISNUMBER($AB$6),E167*$AB$6,E167*$Y$5)+IF(ISNUMBER($AB$7),F167*$AB$7,F167*$Y$5)+IF(ISNUMBER($AB$8),G167*$AB$8,G167*$Y$5)+IF(ISNUMBER($AB$9),H167*$AB$9,H167*$Y$5)+IF(ISNUMBER($AB$10),I167*$AB$10,I167*$Y$5)+IF(ISNUMBER($AB$11),J167*$AB$11,J167*$Y$5)+IF(ISNUMBER($AB$12),K167*$AB$12,K167*$Y$5)+IF(ISNUMBER($AB$13),L167*$AB$13,L167*$Y$5)+IF(ISNUMBER($AB$14),M167*$AB$14,M167*$Y$5)+IF(ISNUMBER($AB$15),N167*$AB$15,N167*$Y$5)+IF(ISNUMBER($AB$16),O167*$AB$16,O167*$Y$5)+IF(ISNUMBER($AB$17),P167*$AB$17,P167*$Y$5)+IF(ISNUMBER($AB$18),Q167*$AB$18,Q167*$Y$5)+IF(ISNUMBER($AB$19),R167*$AB$19,R167*$Y$5)</f>
        <v/>
      </c>
      <c r="U167" s="82">
        <f>T167-S167</f>
        <v/>
      </c>
    </row>
    <row r="168" ht="16" customHeight="1">
      <c r="A168" s="43" t="inlineStr">
        <is>
          <t>Wunsch</t>
        </is>
      </c>
      <c r="B168" s="83">
        <f>COUNTIF(Dienstplan!B198:AE198,"FI")</f>
        <v/>
      </c>
      <c r="C168" s="83">
        <f>COUNTIF(Dienstplan!B198:AE198,"FII")</f>
        <v/>
      </c>
      <c r="D168" s="83">
        <f>COUNTIF(Dienstplan!B198:AE198,"SI")</f>
        <v/>
      </c>
      <c r="E168" s="83">
        <f>COUNTIF(Dienstplan!B198:AE198,"SII")</f>
        <v/>
      </c>
      <c r="F168" s="83">
        <f>COUNTIF(Dienstplan!B198:AE198,"NI")</f>
        <v/>
      </c>
      <c r="G168" s="83">
        <f>COUNTIF(Dienstplan!B198:AE198,"DI")</f>
        <v/>
      </c>
      <c r="H168" s="83">
        <f>COUNTIF(Dienstplan!B198:AE198,"DII")</f>
        <v/>
      </c>
      <c r="I168" s="83">
        <f>COUNTIF(Dienstplan!B198:AE198,"KU")</f>
        <v/>
      </c>
      <c r="J168" s="83">
        <f>COUNTIF(Dienstplan!B198:AE198,"EH")</f>
        <v/>
      </c>
      <c r="K168" s="83">
        <f>COUNTIF(Dienstplan!B198:AE198,"SD")</f>
        <v/>
      </c>
      <c r="L168" s="83">
        <f>COUNTIF(Dienstplan!B198:AE198,"GT")</f>
        <v/>
      </c>
      <c r="M168" s="83">
        <f>COUNTIF(Dienstplan!B198:AE198,"NST")</f>
        <v/>
      </c>
      <c r="N168" s="83">
        <f>COUNTIF(Dienstplan!B198:AE198,"KT")</f>
        <v/>
      </c>
      <c r="O168" s="83">
        <f>COUNTIF(Dienstplan!B198:AE198,"Fobi")</f>
        <v/>
      </c>
      <c r="P168" s="83">
        <f>COUNTIF(Dienstplan!B198:AE198,"U")</f>
        <v/>
      </c>
      <c r="Q168" s="83">
        <f>COUNTIF(Dienstplan!B198:AE198,"A")</f>
        <v/>
      </c>
      <c r="R168" s="83">
        <f>COUNTIF(Dienstplan!B198:AE198,"T-ZUG")</f>
        <v/>
      </c>
      <c r="S168" s="83">
        <f>21*$Y$6</f>
        <v/>
      </c>
      <c r="T168" s="83">
        <f>IF(ISNUMBER($AB$3),B168*$AB$3,B168*$Y$6)+IF(ISNUMBER($AB$4),C168*$AB$4,C168*$Y$6)+IF(ISNUMBER($AB$5),D168*$AB$5,D168*$Y$6)+IF(ISNUMBER($AB$6),E168*$AB$6,E168*$Y$6)+IF(ISNUMBER($AB$7),F168*$AB$7,F168*$Y$6)+IF(ISNUMBER($AB$8),G168*$AB$8,G168*$Y$6)+IF(ISNUMBER($AB$9),H168*$AB$9,H168*$Y$6)+IF(ISNUMBER($AB$10),I168*$AB$10,I168*$Y$6)+IF(ISNUMBER($AB$11),J168*$AB$11,J168*$Y$6)+IF(ISNUMBER($AB$12),K168*$AB$12,K168*$Y$6)+IF(ISNUMBER($AB$13),L168*$AB$13,L168*$Y$6)+IF(ISNUMBER($AB$14),M168*$AB$14,M168*$Y$6)+IF(ISNUMBER($AB$15),N168*$AB$15,N168*$Y$6)+IF(ISNUMBER($AB$16),O168*$AB$16,O168*$Y$6)+IF(ISNUMBER($AB$17),P168*$AB$17,P168*$Y$6)+IF(ISNUMBER($AB$18),Q168*$AB$18,Q168*$Y$6)+IF(ISNUMBER($AB$19),R168*$AB$19,R168*$Y$6)</f>
        <v/>
      </c>
      <c r="U168" s="84">
        <f>T168-S168</f>
        <v/>
      </c>
    </row>
    <row r="169" ht="16" customHeight="1">
      <c r="A169" s="43" t="inlineStr">
        <is>
          <t>Göpfrich</t>
        </is>
      </c>
      <c r="B169" s="81">
        <f>COUNTIF(Dienstplan!B199:AE199,"FI")</f>
        <v/>
      </c>
      <c r="C169" s="81">
        <f>COUNTIF(Dienstplan!B199:AE199,"FII")</f>
        <v/>
      </c>
      <c r="D169" s="81">
        <f>COUNTIF(Dienstplan!B199:AE199,"SI")</f>
        <v/>
      </c>
      <c r="E169" s="81">
        <f>COUNTIF(Dienstplan!B199:AE199,"SII")</f>
        <v/>
      </c>
      <c r="F169" s="81">
        <f>COUNTIF(Dienstplan!B199:AE199,"NI")</f>
        <v/>
      </c>
      <c r="G169" s="81">
        <f>COUNTIF(Dienstplan!B199:AE199,"DI")</f>
        <v/>
      </c>
      <c r="H169" s="81">
        <f>COUNTIF(Dienstplan!B199:AE199,"DII")</f>
        <v/>
      </c>
      <c r="I169" s="81">
        <f>COUNTIF(Dienstplan!B199:AE199,"KU")</f>
        <v/>
      </c>
      <c r="J169" s="81">
        <f>COUNTIF(Dienstplan!B199:AE199,"EH")</f>
        <v/>
      </c>
      <c r="K169" s="81">
        <f>COUNTIF(Dienstplan!B199:AE199,"SD")</f>
        <v/>
      </c>
      <c r="L169" s="81">
        <f>COUNTIF(Dienstplan!B199:AE199,"GT")</f>
        <v/>
      </c>
      <c r="M169" s="81">
        <f>COUNTIF(Dienstplan!B199:AE199,"NST")</f>
        <v/>
      </c>
      <c r="N169" s="81">
        <f>COUNTIF(Dienstplan!B199:AE199,"KT")</f>
        <v/>
      </c>
      <c r="O169" s="81">
        <f>COUNTIF(Dienstplan!B199:AE199,"Fobi")</f>
        <v/>
      </c>
      <c r="P169" s="81">
        <f>COUNTIF(Dienstplan!B199:AE199,"U")</f>
        <v/>
      </c>
      <c r="Q169" s="81">
        <f>COUNTIF(Dienstplan!B199:AE199,"A")</f>
        <v/>
      </c>
      <c r="R169" s="81">
        <f>COUNTIF(Dienstplan!B199:AE199,"T-ZUG")</f>
        <v/>
      </c>
      <c r="S169" s="81">
        <f>21*$Y$7</f>
        <v/>
      </c>
      <c r="T169" s="81">
        <f>IF(ISNUMBER($AB$3),B169*$AB$3,B169*$Y$7)+IF(ISNUMBER($AB$4),C169*$AB$4,C169*$Y$7)+IF(ISNUMBER($AB$5),D169*$AB$5,D169*$Y$7)+IF(ISNUMBER($AB$6),E169*$AB$6,E169*$Y$7)+IF(ISNUMBER($AB$7),F169*$AB$7,F169*$Y$7)+IF(ISNUMBER($AB$8),G169*$AB$8,G169*$Y$7)+IF(ISNUMBER($AB$9),H169*$AB$9,H169*$Y$7)+IF(ISNUMBER($AB$10),I169*$AB$10,I169*$Y$7)+IF(ISNUMBER($AB$11),J169*$AB$11,J169*$Y$7)+IF(ISNUMBER($AB$12),K169*$AB$12,K169*$Y$7)+IF(ISNUMBER($AB$13),L169*$AB$13,L169*$Y$7)+IF(ISNUMBER($AB$14),M169*$AB$14,M169*$Y$7)+IF(ISNUMBER($AB$15),N169*$AB$15,N169*$Y$7)+IF(ISNUMBER($AB$16),O169*$AB$16,O169*$Y$7)+IF(ISNUMBER($AB$17),P169*$AB$17,P169*$Y$7)+IF(ISNUMBER($AB$18),Q169*$AB$18,Q169*$Y$7)+IF(ISNUMBER($AB$19),R169*$AB$19,R169*$Y$7)</f>
        <v/>
      </c>
      <c r="U169" s="82">
        <f>T169-S169</f>
        <v/>
      </c>
    </row>
    <row r="170" ht="16" customHeight="1">
      <c r="A170" s="43" t="inlineStr">
        <is>
          <t>Zeller</t>
        </is>
      </c>
      <c r="B170" s="83">
        <f>COUNTIF(Dienstplan!B200:AE200,"FI")</f>
        <v/>
      </c>
      <c r="C170" s="83">
        <f>COUNTIF(Dienstplan!B200:AE200,"FII")</f>
        <v/>
      </c>
      <c r="D170" s="83">
        <f>COUNTIF(Dienstplan!B200:AE200,"SI")</f>
        <v/>
      </c>
      <c r="E170" s="83">
        <f>COUNTIF(Dienstplan!B200:AE200,"SII")</f>
        <v/>
      </c>
      <c r="F170" s="83">
        <f>COUNTIF(Dienstplan!B200:AE200,"NI")</f>
        <v/>
      </c>
      <c r="G170" s="83">
        <f>COUNTIF(Dienstplan!B200:AE200,"DI")</f>
        <v/>
      </c>
      <c r="H170" s="83">
        <f>COUNTIF(Dienstplan!B200:AE200,"DII")</f>
        <v/>
      </c>
      <c r="I170" s="83">
        <f>COUNTIF(Dienstplan!B200:AE200,"KU")</f>
        <v/>
      </c>
      <c r="J170" s="83">
        <f>COUNTIF(Dienstplan!B200:AE200,"EH")</f>
        <v/>
      </c>
      <c r="K170" s="83">
        <f>COUNTIF(Dienstplan!B200:AE200,"SD")</f>
        <v/>
      </c>
      <c r="L170" s="83">
        <f>COUNTIF(Dienstplan!B200:AE200,"GT")</f>
        <v/>
      </c>
      <c r="M170" s="83">
        <f>COUNTIF(Dienstplan!B200:AE200,"NST")</f>
        <v/>
      </c>
      <c r="N170" s="83">
        <f>COUNTIF(Dienstplan!B200:AE200,"KT")</f>
        <v/>
      </c>
      <c r="O170" s="83">
        <f>COUNTIF(Dienstplan!B200:AE200,"Fobi")</f>
        <v/>
      </c>
      <c r="P170" s="83">
        <f>COUNTIF(Dienstplan!B200:AE200,"U")</f>
        <v/>
      </c>
      <c r="Q170" s="83">
        <f>COUNTIF(Dienstplan!B200:AE200,"A")</f>
        <v/>
      </c>
      <c r="R170" s="83">
        <f>COUNTIF(Dienstplan!B200:AE200,"T-ZUG")</f>
        <v/>
      </c>
      <c r="S170" s="83">
        <f>21*$Y$8</f>
        <v/>
      </c>
      <c r="T170" s="83">
        <f>IF(ISNUMBER($AB$3),B170*$AB$3,B170*$Y$8)+IF(ISNUMBER($AB$4),C170*$AB$4,C170*$Y$8)+IF(ISNUMBER($AB$5),D170*$AB$5,D170*$Y$8)+IF(ISNUMBER($AB$6),E170*$AB$6,E170*$Y$8)+IF(ISNUMBER($AB$7),F170*$AB$7,F170*$Y$8)+IF(ISNUMBER($AB$8),G170*$AB$8,G170*$Y$8)+IF(ISNUMBER($AB$9),H170*$AB$9,H170*$Y$8)+IF(ISNUMBER($AB$10),I170*$AB$10,I170*$Y$8)+IF(ISNUMBER($AB$11),J170*$AB$11,J170*$Y$8)+IF(ISNUMBER($AB$12),K170*$AB$12,K170*$Y$8)+IF(ISNUMBER($AB$13),L170*$AB$13,L170*$Y$8)+IF(ISNUMBER($AB$14),M170*$AB$14,M170*$Y$8)+IF(ISNUMBER($AB$15),N170*$AB$15,N170*$Y$8)+IF(ISNUMBER($AB$16),O170*$AB$16,O170*$Y$8)+IF(ISNUMBER($AB$17),P170*$AB$17,P170*$Y$8)+IF(ISNUMBER($AB$18),Q170*$AB$18,Q170*$Y$8)+IF(ISNUMBER($AB$19),R170*$AB$19,R170*$Y$8)</f>
        <v/>
      </c>
      <c r="U170" s="84">
        <f>T170-S170</f>
        <v/>
      </c>
    </row>
    <row r="171" ht="16" customHeight="1">
      <c r="A171" s="43" t="inlineStr">
        <is>
          <t>Behrendt</t>
        </is>
      </c>
      <c r="B171" s="81">
        <f>COUNTIF(Dienstplan!B201:AE201,"FI")</f>
        <v/>
      </c>
      <c r="C171" s="81">
        <f>COUNTIF(Dienstplan!B201:AE201,"FII")</f>
        <v/>
      </c>
      <c r="D171" s="81">
        <f>COUNTIF(Dienstplan!B201:AE201,"SI")</f>
        <v/>
      </c>
      <c r="E171" s="81">
        <f>COUNTIF(Dienstplan!B201:AE201,"SII")</f>
        <v/>
      </c>
      <c r="F171" s="81">
        <f>COUNTIF(Dienstplan!B201:AE201,"NI")</f>
        <v/>
      </c>
      <c r="G171" s="81">
        <f>COUNTIF(Dienstplan!B201:AE201,"DI")</f>
        <v/>
      </c>
      <c r="H171" s="81">
        <f>COUNTIF(Dienstplan!B201:AE201,"DII")</f>
        <v/>
      </c>
      <c r="I171" s="81">
        <f>COUNTIF(Dienstplan!B201:AE201,"KU")</f>
        <v/>
      </c>
      <c r="J171" s="81">
        <f>COUNTIF(Dienstplan!B201:AE201,"EH")</f>
        <v/>
      </c>
      <c r="K171" s="81">
        <f>COUNTIF(Dienstplan!B201:AE201,"SD")</f>
        <v/>
      </c>
      <c r="L171" s="81">
        <f>COUNTIF(Dienstplan!B201:AE201,"GT")</f>
        <v/>
      </c>
      <c r="M171" s="81">
        <f>COUNTIF(Dienstplan!B201:AE201,"NST")</f>
        <v/>
      </c>
      <c r="N171" s="81">
        <f>COUNTIF(Dienstplan!B201:AE201,"KT")</f>
        <v/>
      </c>
      <c r="O171" s="81">
        <f>COUNTIF(Dienstplan!B201:AE201,"Fobi")</f>
        <v/>
      </c>
      <c r="P171" s="81">
        <f>COUNTIF(Dienstplan!B201:AE201,"U")</f>
        <v/>
      </c>
      <c r="Q171" s="81">
        <f>COUNTIF(Dienstplan!B201:AE201,"A")</f>
        <v/>
      </c>
      <c r="R171" s="81">
        <f>COUNTIF(Dienstplan!B201:AE201,"T-ZUG")</f>
        <v/>
      </c>
      <c r="S171" s="81">
        <f>21*$Y$9</f>
        <v/>
      </c>
      <c r="T171" s="81">
        <f>IF(ISNUMBER($AB$3),B171*$AB$3,B171*$Y$9)+IF(ISNUMBER($AB$4),C171*$AB$4,C171*$Y$9)+IF(ISNUMBER($AB$5),D171*$AB$5,D171*$Y$9)+IF(ISNUMBER($AB$6),E171*$AB$6,E171*$Y$9)+IF(ISNUMBER($AB$7),F171*$AB$7,F171*$Y$9)+IF(ISNUMBER($AB$8),G171*$AB$8,G171*$Y$9)+IF(ISNUMBER($AB$9),H171*$AB$9,H171*$Y$9)+IF(ISNUMBER($AB$10),I171*$AB$10,I171*$Y$9)+IF(ISNUMBER($AB$11),J171*$AB$11,J171*$Y$9)+IF(ISNUMBER($AB$12),K171*$AB$12,K171*$Y$9)+IF(ISNUMBER($AB$13),L171*$AB$13,L171*$Y$9)+IF(ISNUMBER($AB$14),M171*$AB$14,M171*$Y$9)+IF(ISNUMBER($AB$15),N171*$AB$15,N171*$Y$9)+IF(ISNUMBER($AB$16),O171*$AB$16,O171*$Y$9)+IF(ISNUMBER($AB$17),P171*$AB$17,P171*$Y$9)+IF(ISNUMBER($AB$18),Q171*$AB$18,Q171*$Y$9)+IF(ISNUMBER($AB$19),R171*$AB$19,R171*$Y$9)</f>
        <v/>
      </c>
      <c r="U171" s="82">
        <f>T171-S171</f>
        <v/>
      </c>
    </row>
    <row r="172" ht="16" customHeight="1">
      <c r="A172" s="43" t="inlineStr">
        <is>
          <t>Krempl</t>
        </is>
      </c>
      <c r="B172" s="83">
        <f>COUNTIF(Dienstplan!B202:AE202,"FI")</f>
        <v/>
      </c>
      <c r="C172" s="83">
        <f>COUNTIF(Dienstplan!B202:AE202,"FII")</f>
        <v/>
      </c>
      <c r="D172" s="83">
        <f>COUNTIF(Dienstplan!B202:AE202,"SI")</f>
        <v/>
      </c>
      <c r="E172" s="83">
        <f>COUNTIF(Dienstplan!B202:AE202,"SII")</f>
        <v/>
      </c>
      <c r="F172" s="83">
        <f>COUNTIF(Dienstplan!B202:AE202,"NI")</f>
        <v/>
      </c>
      <c r="G172" s="83">
        <f>COUNTIF(Dienstplan!B202:AE202,"DI")</f>
        <v/>
      </c>
      <c r="H172" s="83">
        <f>COUNTIF(Dienstplan!B202:AE202,"DII")</f>
        <v/>
      </c>
      <c r="I172" s="83">
        <f>COUNTIF(Dienstplan!B202:AE202,"KU")</f>
        <v/>
      </c>
      <c r="J172" s="83">
        <f>COUNTIF(Dienstplan!B202:AE202,"EH")</f>
        <v/>
      </c>
      <c r="K172" s="83">
        <f>COUNTIF(Dienstplan!B202:AE202,"SD")</f>
        <v/>
      </c>
      <c r="L172" s="83">
        <f>COUNTIF(Dienstplan!B202:AE202,"GT")</f>
        <v/>
      </c>
      <c r="M172" s="83">
        <f>COUNTIF(Dienstplan!B202:AE202,"NST")</f>
        <v/>
      </c>
      <c r="N172" s="83">
        <f>COUNTIF(Dienstplan!B202:AE202,"KT")</f>
        <v/>
      </c>
      <c r="O172" s="83">
        <f>COUNTIF(Dienstplan!B202:AE202,"Fobi")</f>
        <v/>
      </c>
      <c r="P172" s="83">
        <f>COUNTIF(Dienstplan!B202:AE202,"U")</f>
        <v/>
      </c>
      <c r="Q172" s="83">
        <f>COUNTIF(Dienstplan!B202:AE202,"A")</f>
        <v/>
      </c>
      <c r="R172" s="83">
        <f>COUNTIF(Dienstplan!B202:AE202,"T-ZUG")</f>
        <v/>
      </c>
      <c r="S172" s="83">
        <f>21*$Y$10</f>
        <v/>
      </c>
      <c r="T172" s="83">
        <f>IF(ISNUMBER($AB$3),B172*$AB$3,B172*$Y$10)+IF(ISNUMBER($AB$4),C172*$AB$4,C172*$Y$10)+IF(ISNUMBER($AB$5),D172*$AB$5,D172*$Y$10)+IF(ISNUMBER($AB$6),E172*$AB$6,E172*$Y$10)+IF(ISNUMBER($AB$7),F172*$AB$7,F172*$Y$10)+IF(ISNUMBER($AB$8),G172*$AB$8,G172*$Y$10)+IF(ISNUMBER($AB$9),H172*$AB$9,H172*$Y$10)+IF(ISNUMBER($AB$10),I172*$AB$10,I172*$Y$10)+IF(ISNUMBER($AB$11),J172*$AB$11,J172*$Y$10)+IF(ISNUMBER($AB$12),K172*$AB$12,K172*$Y$10)+IF(ISNUMBER($AB$13),L172*$AB$13,L172*$Y$10)+IF(ISNUMBER($AB$14),M172*$AB$14,M172*$Y$10)+IF(ISNUMBER($AB$15),N172*$AB$15,N172*$Y$10)+IF(ISNUMBER($AB$16),O172*$AB$16,O172*$Y$10)+IF(ISNUMBER($AB$17),P172*$AB$17,P172*$Y$10)+IF(ISNUMBER($AB$18),Q172*$AB$18,Q172*$Y$10)+IF(ISNUMBER($AB$19),R172*$AB$19,R172*$Y$10)</f>
        <v/>
      </c>
      <c r="U172" s="84">
        <f>T172-S172</f>
        <v/>
      </c>
    </row>
    <row r="173" ht="16" customHeight="1">
      <c r="A173" s="43" t="inlineStr">
        <is>
          <t>Putschler</t>
        </is>
      </c>
      <c r="B173" s="81">
        <f>COUNTIF(Dienstplan!B203:AE203,"FI")</f>
        <v/>
      </c>
      <c r="C173" s="81">
        <f>COUNTIF(Dienstplan!B203:AE203,"FII")</f>
        <v/>
      </c>
      <c r="D173" s="81">
        <f>COUNTIF(Dienstplan!B203:AE203,"SI")</f>
        <v/>
      </c>
      <c r="E173" s="81">
        <f>COUNTIF(Dienstplan!B203:AE203,"SII")</f>
        <v/>
      </c>
      <c r="F173" s="81">
        <f>COUNTIF(Dienstplan!B203:AE203,"NI")</f>
        <v/>
      </c>
      <c r="G173" s="81">
        <f>COUNTIF(Dienstplan!B203:AE203,"DI")</f>
        <v/>
      </c>
      <c r="H173" s="81">
        <f>COUNTIF(Dienstplan!B203:AE203,"DII")</f>
        <v/>
      </c>
      <c r="I173" s="81">
        <f>COUNTIF(Dienstplan!B203:AE203,"KU")</f>
        <v/>
      </c>
      <c r="J173" s="81">
        <f>COUNTIF(Dienstplan!B203:AE203,"EH")</f>
        <v/>
      </c>
      <c r="K173" s="81">
        <f>COUNTIF(Dienstplan!B203:AE203,"SD")</f>
        <v/>
      </c>
      <c r="L173" s="81">
        <f>COUNTIF(Dienstplan!B203:AE203,"GT")</f>
        <v/>
      </c>
      <c r="M173" s="81">
        <f>COUNTIF(Dienstplan!B203:AE203,"NST")</f>
        <v/>
      </c>
      <c r="N173" s="81">
        <f>COUNTIF(Dienstplan!B203:AE203,"KT")</f>
        <v/>
      </c>
      <c r="O173" s="81">
        <f>COUNTIF(Dienstplan!B203:AE203,"Fobi")</f>
        <v/>
      </c>
      <c r="P173" s="81">
        <f>COUNTIF(Dienstplan!B203:AE203,"U")</f>
        <v/>
      </c>
      <c r="Q173" s="81">
        <f>COUNTIF(Dienstplan!B203:AE203,"A")</f>
        <v/>
      </c>
      <c r="R173" s="81">
        <f>COUNTIF(Dienstplan!B203:AE203,"T-ZUG")</f>
        <v/>
      </c>
      <c r="S173" s="81">
        <f>21*$Y$11</f>
        <v/>
      </c>
      <c r="T173" s="81">
        <f>IF(ISNUMBER($AB$3),B173*$AB$3,B173*$Y$11)+IF(ISNUMBER($AB$4),C173*$AB$4,C173*$Y$11)+IF(ISNUMBER($AB$5),D173*$AB$5,D173*$Y$11)+IF(ISNUMBER($AB$6),E173*$AB$6,E173*$Y$11)+IF(ISNUMBER($AB$7),F173*$AB$7,F173*$Y$11)+IF(ISNUMBER($AB$8),G173*$AB$8,G173*$Y$11)+IF(ISNUMBER($AB$9),H173*$AB$9,H173*$Y$11)+IF(ISNUMBER($AB$10),I173*$AB$10,I173*$Y$11)+IF(ISNUMBER($AB$11),J173*$AB$11,J173*$Y$11)+IF(ISNUMBER($AB$12),K173*$AB$12,K173*$Y$11)+IF(ISNUMBER($AB$13),L173*$AB$13,L173*$Y$11)+IF(ISNUMBER($AB$14),M173*$AB$14,M173*$Y$11)+IF(ISNUMBER($AB$15),N173*$AB$15,N173*$Y$11)+IF(ISNUMBER($AB$16),O173*$AB$16,O173*$Y$11)+IF(ISNUMBER($AB$17),P173*$AB$17,P173*$Y$11)+IF(ISNUMBER($AB$18),Q173*$AB$18,Q173*$Y$11)+IF(ISNUMBER($AB$19),R173*$AB$19,R173*$Y$11)</f>
        <v/>
      </c>
      <c r="U173" s="82">
        <f>T173-S173</f>
        <v/>
      </c>
    </row>
    <row r="174" ht="16" customHeight="1">
      <c r="A174" s="43" t="inlineStr">
        <is>
          <t>Kunz</t>
        </is>
      </c>
      <c r="B174" s="83">
        <f>COUNTIF(Dienstplan!B204:AE204,"FI")</f>
        <v/>
      </c>
      <c r="C174" s="83">
        <f>COUNTIF(Dienstplan!B204:AE204,"FII")</f>
        <v/>
      </c>
      <c r="D174" s="83">
        <f>COUNTIF(Dienstplan!B204:AE204,"SI")</f>
        <v/>
      </c>
      <c r="E174" s="83">
        <f>COUNTIF(Dienstplan!B204:AE204,"SII")</f>
        <v/>
      </c>
      <c r="F174" s="83">
        <f>COUNTIF(Dienstplan!B204:AE204,"NI")</f>
        <v/>
      </c>
      <c r="G174" s="83">
        <f>COUNTIF(Dienstplan!B204:AE204,"DI")</f>
        <v/>
      </c>
      <c r="H174" s="83">
        <f>COUNTIF(Dienstplan!B204:AE204,"DII")</f>
        <v/>
      </c>
      <c r="I174" s="83">
        <f>COUNTIF(Dienstplan!B204:AE204,"KU")</f>
        <v/>
      </c>
      <c r="J174" s="83">
        <f>COUNTIF(Dienstplan!B204:AE204,"EH")</f>
        <v/>
      </c>
      <c r="K174" s="83">
        <f>COUNTIF(Dienstplan!B204:AE204,"SD")</f>
        <v/>
      </c>
      <c r="L174" s="83">
        <f>COUNTIF(Dienstplan!B204:AE204,"GT")</f>
        <v/>
      </c>
      <c r="M174" s="83">
        <f>COUNTIF(Dienstplan!B204:AE204,"NST")</f>
        <v/>
      </c>
      <c r="N174" s="83">
        <f>COUNTIF(Dienstplan!B204:AE204,"KT")</f>
        <v/>
      </c>
      <c r="O174" s="83">
        <f>COUNTIF(Dienstplan!B204:AE204,"Fobi")</f>
        <v/>
      </c>
      <c r="P174" s="83">
        <f>COUNTIF(Dienstplan!B204:AE204,"U")</f>
        <v/>
      </c>
      <c r="Q174" s="83">
        <f>COUNTIF(Dienstplan!B204:AE204,"A")</f>
        <v/>
      </c>
      <c r="R174" s="83">
        <f>COUNTIF(Dienstplan!B204:AE204,"T-ZUG")</f>
        <v/>
      </c>
      <c r="S174" s="83">
        <f>21*$Y$12</f>
        <v/>
      </c>
      <c r="T174" s="83">
        <f>IF(ISNUMBER($AB$3),B174*$AB$3,B174*$Y$12)+IF(ISNUMBER($AB$4),C174*$AB$4,C174*$Y$12)+IF(ISNUMBER($AB$5),D174*$AB$5,D174*$Y$12)+IF(ISNUMBER($AB$6),E174*$AB$6,E174*$Y$12)+IF(ISNUMBER($AB$7),F174*$AB$7,F174*$Y$12)+IF(ISNUMBER($AB$8),G174*$AB$8,G174*$Y$12)+IF(ISNUMBER($AB$9),H174*$AB$9,H174*$Y$12)+IF(ISNUMBER($AB$10),I174*$AB$10,I174*$Y$12)+IF(ISNUMBER($AB$11),J174*$AB$11,J174*$Y$12)+IF(ISNUMBER($AB$12),K174*$AB$12,K174*$Y$12)+IF(ISNUMBER($AB$13),L174*$AB$13,L174*$Y$12)+IF(ISNUMBER($AB$14),M174*$AB$14,M174*$Y$12)+IF(ISNUMBER($AB$15),N174*$AB$15,N174*$Y$12)+IF(ISNUMBER($AB$16),O174*$AB$16,O174*$Y$12)+IF(ISNUMBER($AB$17),P174*$AB$17,P174*$Y$12)+IF(ISNUMBER($AB$18),Q174*$AB$18,Q174*$Y$12)+IF(ISNUMBER($AB$19),R174*$AB$19,R174*$Y$12)</f>
        <v/>
      </c>
      <c r="U174" s="84">
        <f>T174-S174</f>
        <v/>
      </c>
    </row>
    <row r="175" ht="16" customHeight="1">
      <c r="A175" s="43" t="inlineStr">
        <is>
          <t>Schmidt</t>
        </is>
      </c>
      <c r="B175" s="81">
        <f>COUNTIF(Dienstplan!B205:AE205,"FI")</f>
        <v/>
      </c>
      <c r="C175" s="81">
        <f>COUNTIF(Dienstplan!B205:AE205,"FII")</f>
        <v/>
      </c>
      <c r="D175" s="81">
        <f>COUNTIF(Dienstplan!B205:AE205,"SI")</f>
        <v/>
      </c>
      <c r="E175" s="81">
        <f>COUNTIF(Dienstplan!B205:AE205,"SII")</f>
        <v/>
      </c>
      <c r="F175" s="81">
        <f>COUNTIF(Dienstplan!B205:AE205,"NI")</f>
        <v/>
      </c>
      <c r="G175" s="81">
        <f>COUNTIF(Dienstplan!B205:AE205,"DI")</f>
        <v/>
      </c>
      <c r="H175" s="81">
        <f>COUNTIF(Dienstplan!B205:AE205,"DII")</f>
        <v/>
      </c>
      <c r="I175" s="81">
        <f>COUNTIF(Dienstplan!B205:AE205,"KU")</f>
        <v/>
      </c>
      <c r="J175" s="81">
        <f>COUNTIF(Dienstplan!B205:AE205,"EH")</f>
        <v/>
      </c>
      <c r="K175" s="81">
        <f>COUNTIF(Dienstplan!B205:AE205,"SD")</f>
        <v/>
      </c>
      <c r="L175" s="81">
        <f>COUNTIF(Dienstplan!B205:AE205,"GT")</f>
        <v/>
      </c>
      <c r="M175" s="81">
        <f>COUNTIF(Dienstplan!B205:AE205,"NST")</f>
        <v/>
      </c>
      <c r="N175" s="81">
        <f>COUNTIF(Dienstplan!B205:AE205,"KT")</f>
        <v/>
      </c>
      <c r="O175" s="81">
        <f>COUNTIF(Dienstplan!B205:AE205,"Fobi")</f>
        <v/>
      </c>
      <c r="P175" s="81">
        <f>COUNTIF(Dienstplan!B205:AE205,"U")</f>
        <v/>
      </c>
      <c r="Q175" s="81">
        <f>COUNTIF(Dienstplan!B205:AE205,"A")</f>
        <v/>
      </c>
      <c r="R175" s="81">
        <f>COUNTIF(Dienstplan!B205:AE205,"T-ZUG")</f>
        <v/>
      </c>
      <c r="S175" s="81">
        <f>21*$Y$13</f>
        <v/>
      </c>
      <c r="T175" s="81">
        <f>IF(ISNUMBER($AB$3),B175*$AB$3,B175*$Y$13)+IF(ISNUMBER($AB$4),C175*$AB$4,C175*$Y$13)+IF(ISNUMBER($AB$5),D175*$AB$5,D175*$Y$13)+IF(ISNUMBER($AB$6),E175*$AB$6,E175*$Y$13)+IF(ISNUMBER($AB$7),F175*$AB$7,F175*$Y$13)+IF(ISNUMBER($AB$8),G175*$AB$8,G175*$Y$13)+IF(ISNUMBER($AB$9),H175*$AB$9,H175*$Y$13)+IF(ISNUMBER($AB$10),I175*$AB$10,I175*$Y$13)+IF(ISNUMBER($AB$11),J175*$AB$11,J175*$Y$13)+IF(ISNUMBER($AB$12),K175*$AB$12,K175*$Y$13)+IF(ISNUMBER($AB$13),L175*$AB$13,L175*$Y$13)+IF(ISNUMBER($AB$14),M175*$AB$14,M175*$Y$13)+IF(ISNUMBER($AB$15),N175*$AB$15,N175*$Y$13)+IF(ISNUMBER($AB$16),O175*$AB$16,O175*$Y$13)+IF(ISNUMBER($AB$17),P175*$AB$17,P175*$Y$13)+IF(ISNUMBER($AB$18),Q175*$AB$18,Q175*$Y$13)+IF(ISNUMBER($AB$19),R175*$AB$19,R175*$Y$13)</f>
        <v/>
      </c>
      <c r="U175" s="82">
        <f>T175-S175</f>
        <v/>
      </c>
    </row>
    <row r="176" ht="16" customHeight="1">
      <c r="A176" s="43" t="inlineStr">
        <is>
          <t>Radimersky</t>
        </is>
      </c>
      <c r="B176" s="83">
        <f>COUNTIF(Dienstplan!B206:AE206,"FI")</f>
        <v/>
      </c>
      <c r="C176" s="83">
        <f>COUNTIF(Dienstplan!B206:AE206,"FII")</f>
        <v/>
      </c>
      <c r="D176" s="83">
        <f>COUNTIF(Dienstplan!B206:AE206,"SI")</f>
        <v/>
      </c>
      <c r="E176" s="83">
        <f>COUNTIF(Dienstplan!B206:AE206,"SII")</f>
        <v/>
      </c>
      <c r="F176" s="83">
        <f>COUNTIF(Dienstplan!B206:AE206,"NI")</f>
        <v/>
      </c>
      <c r="G176" s="83">
        <f>COUNTIF(Dienstplan!B206:AE206,"DI")</f>
        <v/>
      </c>
      <c r="H176" s="83">
        <f>COUNTIF(Dienstplan!B206:AE206,"DII")</f>
        <v/>
      </c>
      <c r="I176" s="83">
        <f>COUNTIF(Dienstplan!B206:AE206,"KU")</f>
        <v/>
      </c>
      <c r="J176" s="83">
        <f>COUNTIF(Dienstplan!B206:AE206,"EH")</f>
        <v/>
      </c>
      <c r="K176" s="83">
        <f>COUNTIF(Dienstplan!B206:AE206,"SD")</f>
        <v/>
      </c>
      <c r="L176" s="83">
        <f>COUNTIF(Dienstplan!B206:AE206,"GT")</f>
        <v/>
      </c>
      <c r="M176" s="83">
        <f>COUNTIF(Dienstplan!B206:AE206,"NST")</f>
        <v/>
      </c>
      <c r="N176" s="83">
        <f>COUNTIF(Dienstplan!B206:AE206,"KT")</f>
        <v/>
      </c>
      <c r="O176" s="83">
        <f>COUNTIF(Dienstplan!B206:AE206,"Fobi")</f>
        <v/>
      </c>
      <c r="P176" s="83">
        <f>COUNTIF(Dienstplan!B206:AE206,"U")</f>
        <v/>
      </c>
      <c r="Q176" s="83">
        <f>COUNTIF(Dienstplan!B206:AE206,"A")</f>
        <v/>
      </c>
      <c r="R176" s="83">
        <f>COUNTIF(Dienstplan!B206:AE206,"T-ZUG")</f>
        <v/>
      </c>
      <c r="S176" s="83">
        <f>21*$Y$14</f>
        <v/>
      </c>
      <c r="T176" s="83">
        <f>IF(ISNUMBER($AB$3),B176*$AB$3,B176*$Y$14)+IF(ISNUMBER($AB$4),C176*$AB$4,C176*$Y$14)+IF(ISNUMBER($AB$5),D176*$AB$5,D176*$Y$14)+IF(ISNUMBER($AB$6),E176*$AB$6,E176*$Y$14)+IF(ISNUMBER($AB$7),F176*$AB$7,F176*$Y$14)+IF(ISNUMBER($AB$8),G176*$AB$8,G176*$Y$14)+IF(ISNUMBER($AB$9),H176*$AB$9,H176*$Y$14)+IF(ISNUMBER($AB$10),I176*$AB$10,I176*$Y$14)+IF(ISNUMBER($AB$11),J176*$AB$11,J176*$Y$14)+IF(ISNUMBER($AB$12),K176*$AB$12,K176*$Y$14)+IF(ISNUMBER($AB$13),L176*$AB$13,L176*$Y$14)+IF(ISNUMBER($AB$14),M176*$AB$14,M176*$Y$14)+IF(ISNUMBER($AB$15),N176*$AB$15,N176*$Y$14)+IF(ISNUMBER($AB$16),O176*$AB$16,O176*$Y$14)+IF(ISNUMBER($AB$17),P176*$AB$17,P176*$Y$14)+IF(ISNUMBER($AB$18),Q176*$AB$18,Q176*$Y$14)+IF(ISNUMBER($AB$19),R176*$AB$19,R176*$Y$14)</f>
        <v/>
      </c>
      <c r="U176" s="84">
        <f>T176-S176</f>
        <v/>
      </c>
    </row>
    <row r="177" ht="18" customHeight="1">
      <c r="A177" s="88" t="inlineStr">
        <is>
          <t>Summe</t>
        </is>
      </c>
      <c r="B177" s="89">
        <f>SUM(B165:B176)</f>
        <v/>
      </c>
      <c r="C177" s="89">
        <f>SUM(C165:C176)</f>
        <v/>
      </c>
      <c r="D177" s="89">
        <f>SUM(D165:D176)</f>
        <v/>
      </c>
      <c r="E177" s="89">
        <f>SUM(E165:E176)</f>
        <v/>
      </c>
      <c r="F177" s="89">
        <f>SUM(F165:F176)</f>
        <v/>
      </c>
      <c r="G177" s="89">
        <f>SUM(G165:G176)</f>
        <v/>
      </c>
      <c r="H177" s="89">
        <f>SUM(H165:H176)</f>
        <v/>
      </c>
      <c r="I177" s="89">
        <f>SUM(I165:I176)</f>
        <v/>
      </c>
      <c r="J177" s="89">
        <f>SUM(J165:J176)</f>
        <v/>
      </c>
      <c r="K177" s="89">
        <f>SUM(K165:K176)</f>
        <v/>
      </c>
      <c r="L177" s="89">
        <f>SUM(L165:L176)</f>
        <v/>
      </c>
      <c r="M177" s="89">
        <f>SUM(M165:M176)</f>
        <v/>
      </c>
      <c r="N177" s="89">
        <f>SUM(N165:N176)</f>
        <v/>
      </c>
      <c r="O177" s="89">
        <f>SUM(O165:O176)</f>
        <v/>
      </c>
      <c r="P177" s="89">
        <f>SUM(P165:P176)</f>
        <v/>
      </c>
      <c r="Q177" s="89">
        <f>SUM(Q165:Q176)</f>
        <v/>
      </c>
      <c r="R177" s="89">
        <f>SUM(R165:R176)</f>
        <v/>
      </c>
      <c r="S177" s="89">
        <f>SUM(S165:S176)</f>
        <v/>
      </c>
      <c r="T177" s="89">
        <f>SUM(T165:T176)</f>
        <v/>
      </c>
      <c r="U177" s="90">
        <f>SUM(U165:U176)</f>
        <v/>
      </c>
    </row>
    <row r="179">
      <c r="A179" s="2" t="inlineStr">
        <is>
          <t>Dezember</t>
        </is>
      </c>
      <c r="C179" t="inlineStr">
        <is>
          <t>AT:</t>
        </is>
      </c>
      <c r="D179" s="78" t="n">
        <v>23</v>
      </c>
      <c r="F179" t="inlineStr">
        <is>
          <t>Sa:</t>
        </is>
      </c>
      <c r="G179" s="78" t="n">
        <v>4</v>
      </c>
    </row>
    <row r="180" ht="18" customHeight="1">
      <c r="A180" s="34" t="inlineStr">
        <is>
          <t>MA</t>
        </is>
      </c>
      <c r="B180" s="36" t="inlineStr">
        <is>
          <t>FI</t>
        </is>
      </c>
      <c r="C180" s="36" t="inlineStr">
        <is>
          <t>FII</t>
        </is>
      </c>
      <c r="D180" s="36" t="inlineStr">
        <is>
          <t>SI</t>
        </is>
      </c>
      <c r="E180" s="36" t="inlineStr">
        <is>
          <t>SII</t>
        </is>
      </c>
      <c r="F180" s="36" t="inlineStr">
        <is>
          <t>NI</t>
        </is>
      </c>
      <c r="G180" s="36" t="inlineStr">
        <is>
          <t>DI</t>
        </is>
      </c>
      <c r="H180" s="36" t="inlineStr">
        <is>
          <t>DII</t>
        </is>
      </c>
      <c r="I180" s="36" t="inlineStr">
        <is>
          <t>KU</t>
        </is>
      </c>
      <c r="J180" s="36" t="inlineStr">
        <is>
          <t>EH</t>
        </is>
      </c>
      <c r="K180" s="36" t="inlineStr">
        <is>
          <t>SD</t>
        </is>
      </c>
      <c r="L180" s="36" t="inlineStr">
        <is>
          <t>GT</t>
        </is>
      </c>
      <c r="M180" s="36" t="inlineStr">
        <is>
          <t>NST</t>
        </is>
      </c>
      <c r="N180" s="36" t="inlineStr">
        <is>
          <t>KT</t>
        </is>
      </c>
      <c r="O180" s="36" t="inlineStr">
        <is>
          <t>Fobi</t>
        </is>
      </c>
      <c r="P180" s="36" t="inlineStr">
        <is>
          <t>U</t>
        </is>
      </c>
      <c r="Q180" s="36" t="inlineStr">
        <is>
          <t>A</t>
        </is>
      </c>
      <c r="R180" s="36" t="inlineStr">
        <is>
          <t>T-ZUG</t>
        </is>
      </c>
      <c r="S180" s="36" t="inlineStr">
        <is>
          <t>Soll</t>
        </is>
      </c>
      <c r="T180" s="36" t="inlineStr">
        <is>
          <t>Ist</t>
        </is>
      </c>
      <c r="U180" s="65" t="inlineStr">
        <is>
          <t>Diff</t>
        </is>
      </c>
    </row>
    <row r="181" ht="16" customHeight="1">
      <c r="A181" s="43" t="inlineStr">
        <is>
          <t>Breig</t>
        </is>
      </c>
      <c r="B181" s="81">
        <f>COUNTIF(Dienstplan!B214:AF214,"FI")</f>
        <v/>
      </c>
      <c r="C181" s="81">
        <f>COUNTIF(Dienstplan!B214:AF214,"FII")</f>
        <v/>
      </c>
      <c r="D181" s="81">
        <f>COUNTIF(Dienstplan!B214:AF214,"SI")</f>
        <v/>
      </c>
      <c r="E181" s="81">
        <f>COUNTIF(Dienstplan!B214:AF214,"SII")</f>
        <v/>
      </c>
      <c r="F181" s="81">
        <f>COUNTIF(Dienstplan!B214:AF214,"NI")</f>
        <v/>
      </c>
      <c r="G181" s="81">
        <f>COUNTIF(Dienstplan!B214:AF214,"DI")</f>
        <v/>
      </c>
      <c r="H181" s="81">
        <f>COUNTIF(Dienstplan!B214:AF214,"DII")</f>
        <v/>
      </c>
      <c r="I181" s="81">
        <f>COUNTIF(Dienstplan!B214:AF214,"KU")</f>
        <v/>
      </c>
      <c r="J181" s="81">
        <f>COUNTIF(Dienstplan!B214:AF214,"EH")</f>
        <v/>
      </c>
      <c r="K181" s="81">
        <f>COUNTIF(Dienstplan!B214:AF214,"SD")</f>
        <v/>
      </c>
      <c r="L181" s="81">
        <f>COUNTIF(Dienstplan!B214:AF214,"GT")</f>
        <v/>
      </c>
      <c r="M181" s="81">
        <f>COUNTIF(Dienstplan!B214:AF214,"NST")</f>
        <v/>
      </c>
      <c r="N181" s="81">
        <f>COUNTIF(Dienstplan!B214:AF214,"KT")</f>
        <v/>
      </c>
      <c r="O181" s="81">
        <f>COUNTIF(Dienstplan!B214:AF214,"Fobi")</f>
        <v/>
      </c>
      <c r="P181" s="81">
        <f>COUNTIF(Dienstplan!B214:AF214,"U")</f>
        <v/>
      </c>
      <c r="Q181" s="81">
        <f>COUNTIF(Dienstplan!B214:AF214,"A")</f>
        <v/>
      </c>
      <c r="R181" s="81">
        <f>COUNTIF(Dienstplan!B214:AF214,"T-ZUG")</f>
        <v/>
      </c>
      <c r="S181" s="81">
        <f>23*$Y$3</f>
        <v/>
      </c>
      <c r="T181" s="81">
        <f>IF(ISNUMBER($AB$3),B181*$AB$3,B181*$Y$3)+IF(ISNUMBER($AB$4),C181*$AB$4,C181*$Y$3)+IF(ISNUMBER($AB$5),D181*$AB$5,D181*$Y$3)+IF(ISNUMBER($AB$6),E181*$AB$6,E181*$Y$3)+IF(ISNUMBER($AB$7),F181*$AB$7,F181*$Y$3)+IF(ISNUMBER($AB$8),G181*$AB$8,G181*$Y$3)+IF(ISNUMBER($AB$9),H181*$AB$9,H181*$Y$3)+IF(ISNUMBER($AB$10),I181*$AB$10,I181*$Y$3)+IF(ISNUMBER($AB$11),J181*$AB$11,J181*$Y$3)+IF(ISNUMBER($AB$12),K181*$AB$12,K181*$Y$3)+IF(ISNUMBER($AB$13),L181*$AB$13,L181*$Y$3)+IF(ISNUMBER($AB$14),M181*$AB$14,M181*$Y$3)+IF(ISNUMBER($AB$15),N181*$AB$15,N181*$Y$3)+IF(ISNUMBER($AB$16),O181*$AB$16,O181*$Y$3)+IF(ISNUMBER($AB$17),P181*$AB$17,P181*$Y$3)+IF(ISNUMBER($AB$18),Q181*$AB$18,Q181*$Y$3)+IF(ISNUMBER($AB$19),R181*$AB$19,R181*$Y$3)</f>
        <v/>
      </c>
      <c r="U181" s="82">
        <f>T181-S181</f>
        <v/>
      </c>
    </row>
    <row r="182" ht="16" customHeight="1">
      <c r="A182" s="43" t="inlineStr">
        <is>
          <t>Siebert</t>
        </is>
      </c>
      <c r="B182" s="83">
        <f>COUNTIF(Dienstplan!B215:AF215,"FI")</f>
        <v/>
      </c>
      <c r="C182" s="83">
        <f>COUNTIF(Dienstplan!B215:AF215,"FII")</f>
        <v/>
      </c>
      <c r="D182" s="83">
        <f>COUNTIF(Dienstplan!B215:AF215,"SI")</f>
        <v/>
      </c>
      <c r="E182" s="83">
        <f>COUNTIF(Dienstplan!B215:AF215,"SII")</f>
        <v/>
      </c>
      <c r="F182" s="83">
        <f>COUNTIF(Dienstplan!B215:AF215,"NI")</f>
        <v/>
      </c>
      <c r="G182" s="83">
        <f>COUNTIF(Dienstplan!B215:AF215,"DI")</f>
        <v/>
      </c>
      <c r="H182" s="83">
        <f>COUNTIF(Dienstplan!B215:AF215,"DII")</f>
        <v/>
      </c>
      <c r="I182" s="83">
        <f>COUNTIF(Dienstplan!B215:AF215,"KU")</f>
        <v/>
      </c>
      <c r="J182" s="83">
        <f>COUNTIF(Dienstplan!B215:AF215,"EH")</f>
        <v/>
      </c>
      <c r="K182" s="83">
        <f>COUNTIF(Dienstplan!B215:AF215,"SD")</f>
        <v/>
      </c>
      <c r="L182" s="83">
        <f>COUNTIF(Dienstplan!B215:AF215,"GT")</f>
        <v/>
      </c>
      <c r="M182" s="83">
        <f>COUNTIF(Dienstplan!B215:AF215,"NST")</f>
        <v/>
      </c>
      <c r="N182" s="83">
        <f>COUNTIF(Dienstplan!B215:AF215,"KT")</f>
        <v/>
      </c>
      <c r="O182" s="83">
        <f>COUNTIF(Dienstplan!B215:AF215,"Fobi")</f>
        <v/>
      </c>
      <c r="P182" s="83">
        <f>COUNTIF(Dienstplan!B215:AF215,"U")</f>
        <v/>
      </c>
      <c r="Q182" s="83">
        <f>COUNTIF(Dienstplan!B215:AF215,"A")</f>
        <v/>
      </c>
      <c r="R182" s="83">
        <f>COUNTIF(Dienstplan!B215:AF215,"T-ZUG")</f>
        <v/>
      </c>
      <c r="S182" s="83">
        <f>23*$Y$4</f>
        <v/>
      </c>
      <c r="T182" s="83">
        <f>IF(ISNUMBER($AB$3),B182*$AB$3,B182*$Y$4)+IF(ISNUMBER($AB$4),C182*$AB$4,C182*$Y$4)+IF(ISNUMBER($AB$5),D182*$AB$5,D182*$Y$4)+IF(ISNUMBER($AB$6),E182*$AB$6,E182*$Y$4)+IF(ISNUMBER($AB$7),F182*$AB$7,F182*$Y$4)+IF(ISNUMBER($AB$8),G182*$AB$8,G182*$Y$4)+IF(ISNUMBER($AB$9),H182*$AB$9,H182*$Y$4)+IF(ISNUMBER($AB$10),I182*$AB$10,I182*$Y$4)+IF(ISNUMBER($AB$11),J182*$AB$11,J182*$Y$4)+IF(ISNUMBER($AB$12),K182*$AB$12,K182*$Y$4)+IF(ISNUMBER($AB$13),L182*$AB$13,L182*$Y$4)+IF(ISNUMBER($AB$14),M182*$AB$14,M182*$Y$4)+IF(ISNUMBER($AB$15),N182*$AB$15,N182*$Y$4)+IF(ISNUMBER($AB$16),O182*$AB$16,O182*$Y$4)+IF(ISNUMBER($AB$17),P182*$AB$17,P182*$Y$4)+IF(ISNUMBER($AB$18),Q182*$AB$18,Q182*$Y$4)+IF(ISNUMBER($AB$19),R182*$AB$19,R182*$Y$4)</f>
        <v/>
      </c>
      <c r="U182" s="84">
        <f>T182-S182</f>
        <v/>
      </c>
    </row>
    <row r="183" ht="16" customHeight="1">
      <c r="A183" s="43" t="inlineStr">
        <is>
          <t>Jochim</t>
        </is>
      </c>
      <c r="B183" s="81">
        <f>COUNTIF(Dienstplan!B216:AF216,"FI")</f>
        <v/>
      </c>
      <c r="C183" s="81">
        <f>COUNTIF(Dienstplan!B216:AF216,"FII")</f>
        <v/>
      </c>
      <c r="D183" s="81">
        <f>COUNTIF(Dienstplan!B216:AF216,"SI")</f>
        <v/>
      </c>
      <c r="E183" s="81">
        <f>COUNTIF(Dienstplan!B216:AF216,"SII")</f>
        <v/>
      </c>
      <c r="F183" s="81">
        <f>COUNTIF(Dienstplan!B216:AF216,"NI")</f>
        <v/>
      </c>
      <c r="G183" s="81">
        <f>COUNTIF(Dienstplan!B216:AF216,"DI")</f>
        <v/>
      </c>
      <c r="H183" s="81">
        <f>COUNTIF(Dienstplan!B216:AF216,"DII")</f>
        <v/>
      </c>
      <c r="I183" s="81">
        <f>COUNTIF(Dienstplan!B216:AF216,"KU")</f>
        <v/>
      </c>
      <c r="J183" s="81">
        <f>COUNTIF(Dienstplan!B216:AF216,"EH")</f>
        <v/>
      </c>
      <c r="K183" s="81">
        <f>COUNTIF(Dienstplan!B216:AF216,"SD")</f>
        <v/>
      </c>
      <c r="L183" s="81">
        <f>COUNTIF(Dienstplan!B216:AF216,"GT")</f>
        <v/>
      </c>
      <c r="M183" s="81">
        <f>COUNTIF(Dienstplan!B216:AF216,"NST")</f>
        <v/>
      </c>
      <c r="N183" s="81">
        <f>COUNTIF(Dienstplan!B216:AF216,"KT")</f>
        <v/>
      </c>
      <c r="O183" s="81">
        <f>COUNTIF(Dienstplan!B216:AF216,"Fobi")</f>
        <v/>
      </c>
      <c r="P183" s="81">
        <f>COUNTIF(Dienstplan!B216:AF216,"U")</f>
        <v/>
      </c>
      <c r="Q183" s="81">
        <f>COUNTIF(Dienstplan!B216:AF216,"A")</f>
        <v/>
      </c>
      <c r="R183" s="81">
        <f>COUNTIF(Dienstplan!B216:AF216,"T-ZUG")</f>
        <v/>
      </c>
      <c r="S183" s="81">
        <f>23*$Y$5</f>
        <v/>
      </c>
      <c r="T183" s="81">
        <f>IF(ISNUMBER($AB$3),B183*$AB$3,B183*$Y$5)+IF(ISNUMBER($AB$4),C183*$AB$4,C183*$Y$5)+IF(ISNUMBER($AB$5),D183*$AB$5,D183*$Y$5)+IF(ISNUMBER($AB$6),E183*$AB$6,E183*$Y$5)+IF(ISNUMBER($AB$7),F183*$AB$7,F183*$Y$5)+IF(ISNUMBER($AB$8),G183*$AB$8,G183*$Y$5)+IF(ISNUMBER($AB$9),H183*$AB$9,H183*$Y$5)+IF(ISNUMBER($AB$10),I183*$AB$10,I183*$Y$5)+IF(ISNUMBER($AB$11),J183*$AB$11,J183*$Y$5)+IF(ISNUMBER($AB$12),K183*$AB$12,K183*$Y$5)+IF(ISNUMBER($AB$13),L183*$AB$13,L183*$Y$5)+IF(ISNUMBER($AB$14),M183*$AB$14,M183*$Y$5)+IF(ISNUMBER($AB$15),N183*$AB$15,N183*$Y$5)+IF(ISNUMBER($AB$16),O183*$AB$16,O183*$Y$5)+IF(ISNUMBER($AB$17),P183*$AB$17,P183*$Y$5)+IF(ISNUMBER($AB$18),Q183*$AB$18,Q183*$Y$5)+IF(ISNUMBER($AB$19),R183*$AB$19,R183*$Y$5)</f>
        <v/>
      </c>
      <c r="U183" s="82">
        <f>T183-S183</f>
        <v/>
      </c>
    </row>
    <row r="184" ht="16" customHeight="1">
      <c r="A184" s="43" t="inlineStr">
        <is>
          <t>Wunsch</t>
        </is>
      </c>
      <c r="B184" s="83">
        <f>COUNTIF(Dienstplan!B217:AF217,"FI")</f>
        <v/>
      </c>
      <c r="C184" s="83">
        <f>COUNTIF(Dienstplan!B217:AF217,"FII")</f>
        <v/>
      </c>
      <c r="D184" s="83">
        <f>COUNTIF(Dienstplan!B217:AF217,"SI")</f>
        <v/>
      </c>
      <c r="E184" s="83">
        <f>COUNTIF(Dienstplan!B217:AF217,"SII")</f>
        <v/>
      </c>
      <c r="F184" s="83">
        <f>COUNTIF(Dienstplan!B217:AF217,"NI")</f>
        <v/>
      </c>
      <c r="G184" s="83">
        <f>COUNTIF(Dienstplan!B217:AF217,"DI")</f>
        <v/>
      </c>
      <c r="H184" s="83">
        <f>COUNTIF(Dienstplan!B217:AF217,"DII")</f>
        <v/>
      </c>
      <c r="I184" s="83">
        <f>COUNTIF(Dienstplan!B217:AF217,"KU")</f>
        <v/>
      </c>
      <c r="J184" s="83">
        <f>COUNTIF(Dienstplan!B217:AF217,"EH")</f>
        <v/>
      </c>
      <c r="K184" s="83">
        <f>COUNTIF(Dienstplan!B217:AF217,"SD")</f>
        <v/>
      </c>
      <c r="L184" s="83">
        <f>COUNTIF(Dienstplan!B217:AF217,"GT")</f>
        <v/>
      </c>
      <c r="M184" s="83">
        <f>COUNTIF(Dienstplan!B217:AF217,"NST")</f>
        <v/>
      </c>
      <c r="N184" s="83">
        <f>COUNTIF(Dienstplan!B217:AF217,"KT")</f>
        <v/>
      </c>
      <c r="O184" s="83">
        <f>COUNTIF(Dienstplan!B217:AF217,"Fobi")</f>
        <v/>
      </c>
      <c r="P184" s="83">
        <f>COUNTIF(Dienstplan!B217:AF217,"U")</f>
        <v/>
      </c>
      <c r="Q184" s="83">
        <f>COUNTIF(Dienstplan!B217:AF217,"A")</f>
        <v/>
      </c>
      <c r="R184" s="83">
        <f>COUNTIF(Dienstplan!B217:AF217,"T-ZUG")</f>
        <v/>
      </c>
      <c r="S184" s="83">
        <f>23*$Y$6</f>
        <v/>
      </c>
      <c r="T184" s="83">
        <f>IF(ISNUMBER($AB$3),B184*$AB$3,B184*$Y$6)+IF(ISNUMBER($AB$4),C184*$AB$4,C184*$Y$6)+IF(ISNUMBER($AB$5),D184*$AB$5,D184*$Y$6)+IF(ISNUMBER($AB$6),E184*$AB$6,E184*$Y$6)+IF(ISNUMBER($AB$7),F184*$AB$7,F184*$Y$6)+IF(ISNUMBER($AB$8),G184*$AB$8,G184*$Y$6)+IF(ISNUMBER($AB$9),H184*$AB$9,H184*$Y$6)+IF(ISNUMBER($AB$10),I184*$AB$10,I184*$Y$6)+IF(ISNUMBER($AB$11),J184*$AB$11,J184*$Y$6)+IF(ISNUMBER($AB$12),K184*$AB$12,K184*$Y$6)+IF(ISNUMBER($AB$13),L184*$AB$13,L184*$Y$6)+IF(ISNUMBER($AB$14),M184*$AB$14,M184*$Y$6)+IF(ISNUMBER($AB$15),N184*$AB$15,N184*$Y$6)+IF(ISNUMBER($AB$16),O184*$AB$16,O184*$Y$6)+IF(ISNUMBER($AB$17),P184*$AB$17,P184*$Y$6)+IF(ISNUMBER($AB$18),Q184*$AB$18,Q184*$Y$6)+IF(ISNUMBER($AB$19),R184*$AB$19,R184*$Y$6)</f>
        <v/>
      </c>
      <c r="U184" s="84">
        <f>T184-S184</f>
        <v/>
      </c>
    </row>
    <row r="185" ht="16" customHeight="1">
      <c r="A185" s="43" t="inlineStr">
        <is>
          <t>Göpfrich</t>
        </is>
      </c>
      <c r="B185" s="81">
        <f>COUNTIF(Dienstplan!B218:AF218,"FI")</f>
        <v/>
      </c>
      <c r="C185" s="81">
        <f>COUNTIF(Dienstplan!B218:AF218,"FII")</f>
        <v/>
      </c>
      <c r="D185" s="81">
        <f>COUNTIF(Dienstplan!B218:AF218,"SI")</f>
        <v/>
      </c>
      <c r="E185" s="81">
        <f>COUNTIF(Dienstplan!B218:AF218,"SII")</f>
        <v/>
      </c>
      <c r="F185" s="81">
        <f>COUNTIF(Dienstplan!B218:AF218,"NI")</f>
        <v/>
      </c>
      <c r="G185" s="81">
        <f>COUNTIF(Dienstplan!B218:AF218,"DI")</f>
        <v/>
      </c>
      <c r="H185" s="81">
        <f>COUNTIF(Dienstplan!B218:AF218,"DII")</f>
        <v/>
      </c>
      <c r="I185" s="81">
        <f>COUNTIF(Dienstplan!B218:AF218,"KU")</f>
        <v/>
      </c>
      <c r="J185" s="81">
        <f>COUNTIF(Dienstplan!B218:AF218,"EH")</f>
        <v/>
      </c>
      <c r="K185" s="81">
        <f>COUNTIF(Dienstplan!B218:AF218,"SD")</f>
        <v/>
      </c>
      <c r="L185" s="81">
        <f>COUNTIF(Dienstplan!B218:AF218,"GT")</f>
        <v/>
      </c>
      <c r="M185" s="81">
        <f>COUNTIF(Dienstplan!B218:AF218,"NST")</f>
        <v/>
      </c>
      <c r="N185" s="81">
        <f>COUNTIF(Dienstplan!B218:AF218,"KT")</f>
        <v/>
      </c>
      <c r="O185" s="81">
        <f>COUNTIF(Dienstplan!B218:AF218,"Fobi")</f>
        <v/>
      </c>
      <c r="P185" s="81">
        <f>COUNTIF(Dienstplan!B218:AF218,"U")</f>
        <v/>
      </c>
      <c r="Q185" s="81">
        <f>COUNTIF(Dienstplan!B218:AF218,"A")</f>
        <v/>
      </c>
      <c r="R185" s="81">
        <f>COUNTIF(Dienstplan!B218:AF218,"T-ZUG")</f>
        <v/>
      </c>
      <c r="S185" s="81">
        <f>23*$Y$7</f>
        <v/>
      </c>
      <c r="T185" s="81">
        <f>IF(ISNUMBER($AB$3),B185*$AB$3,B185*$Y$7)+IF(ISNUMBER($AB$4),C185*$AB$4,C185*$Y$7)+IF(ISNUMBER($AB$5),D185*$AB$5,D185*$Y$7)+IF(ISNUMBER($AB$6),E185*$AB$6,E185*$Y$7)+IF(ISNUMBER($AB$7),F185*$AB$7,F185*$Y$7)+IF(ISNUMBER($AB$8),G185*$AB$8,G185*$Y$7)+IF(ISNUMBER($AB$9),H185*$AB$9,H185*$Y$7)+IF(ISNUMBER($AB$10),I185*$AB$10,I185*$Y$7)+IF(ISNUMBER($AB$11),J185*$AB$11,J185*$Y$7)+IF(ISNUMBER($AB$12),K185*$AB$12,K185*$Y$7)+IF(ISNUMBER($AB$13),L185*$AB$13,L185*$Y$7)+IF(ISNUMBER($AB$14),M185*$AB$14,M185*$Y$7)+IF(ISNUMBER($AB$15),N185*$AB$15,N185*$Y$7)+IF(ISNUMBER($AB$16),O185*$AB$16,O185*$Y$7)+IF(ISNUMBER($AB$17),P185*$AB$17,P185*$Y$7)+IF(ISNUMBER($AB$18),Q185*$AB$18,Q185*$Y$7)+IF(ISNUMBER($AB$19),R185*$AB$19,R185*$Y$7)</f>
        <v/>
      </c>
      <c r="U185" s="82">
        <f>T185-S185</f>
        <v/>
      </c>
    </row>
    <row r="186" ht="16" customHeight="1">
      <c r="A186" s="43" t="inlineStr">
        <is>
          <t>Zeller</t>
        </is>
      </c>
      <c r="B186" s="83">
        <f>COUNTIF(Dienstplan!B219:AF219,"FI")</f>
        <v/>
      </c>
      <c r="C186" s="83">
        <f>COUNTIF(Dienstplan!B219:AF219,"FII")</f>
        <v/>
      </c>
      <c r="D186" s="83">
        <f>COUNTIF(Dienstplan!B219:AF219,"SI")</f>
        <v/>
      </c>
      <c r="E186" s="83">
        <f>COUNTIF(Dienstplan!B219:AF219,"SII")</f>
        <v/>
      </c>
      <c r="F186" s="83">
        <f>COUNTIF(Dienstplan!B219:AF219,"NI")</f>
        <v/>
      </c>
      <c r="G186" s="83">
        <f>COUNTIF(Dienstplan!B219:AF219,"DI")</f>
        <v/>
      </c>
      <c r="H186" s="83">
        <f>COUNTIF(Dienstplan!B219:AF219,"DII")</f>
        <v/>
      </c>
      <c r="I186" s="83">
        <f>COUNTIF(Dienstplan!B219:AF219,"KU")</f>
        <v/>
      </c>
      <c r="J186" s="83">
        <f>COUNTIF(Dienstplan!B219:AF219,"EH")</f>
        <v/>
      </c>
      <c r="K186" s="83">
        <f>COUNTIF(Dienstplan!B219:AF219,"SD")</f>
        <v/>
      </c>
      <c r="L186" s="83">
        <f>COUNTIF(Dienstplan!B219:AF219,"GT")</f>
        <v/>
      </c>
      <c r="M186" s="83">
        <f>COUNTIF(Dienstplan!B219:AF219,"NST")</f>
        <v/>
      </c>
      <c r="N186" s="83">
        <f>COUNTIF(Dienstplan!B219:AF219,"KT")</f>
        <v/>
      </c>
      <c r="O186" s="83">
        <f>COUNTIF(Dienstplan!B219:AF219,"Fobi")</f>
        <v/>
      </c>
      <c r="P186" s="83">
        <f>COUNTIF(Dienstplan!B219:AF219,"U")</f>
        <v/>
      </c>
      <c r="Q186" s="83">
        <f>COUNTIF(Dienstplan!B219:AF219,"A")</f>
        <v/>
      </c>
      <c r="R186" s="83">
        <f>COUNTIF(Dienstplan!B219:AF219,"T-ZUG")</f>
        <v/>
      </c>
      <c r="S186" s="83">
        <f>23*$Y$8</f>
        <v/>
      </c>
      <c r="T186" s="83">
        <f>IF(ISNUMBER($AB$3),B186*$AB$3,B186*$Y$8)+IF(ISNUMBER($AB$4),C186*$AB$4,C186*$Y$8)+IF(ISNUMBER($AB$5),D186*$AB$5,D186*$Y$8)+IF(ISNUMBER($AB$6),E186*$AB$6,E186*$Y$8)+IF(ISNUMBER($AB$7),F186*$AB$7,F186*$Y$8)+IF(ISNUMBER($AB$8),G186*$AB$8,G186*$Y$8)+IF(ISNUMBER($AB$9),H186*$AB$9,H186*$Y$8)+IF(ISNUMBER($AB$10),I186*$AB$10,I186*$Y$8)+IF(ISNUMBER($AB$11),J186*$AB$11,J186*$Y$8)+IF(ISNUMBER($AB$12),K186*$AB$12,K186*$Y$8)+IF(ISNUMBER($AB$13),L186*$AB$13,L186*$Y$8)+IF(ISNUMBER($AB$14),M186*$AB$14,M186*$Y$8)+IF(ISNUMBER($AB$15),N186*$AB$15,N186*$Y$8)+IF(ISNUMBER($AB$16),O186*$AB$16,O186*$Y$8)+IF(ISNUMBER($AB$17),P186*$AB$17,P186*$Y$8)+IF(ISNUMBER($AB$18),Q186*$AB$18,Q186*$Y$8)+IF(ISNUMBER($AB$19),R186*$AB$19,R186*$Y$8)</f>
        <v/>
      </c>
      <c r="U186" s="84">
        <f>T186-S186</f>
        <v/>
      </c>
    </row>
    <row r="187" ht="16" customHeight="1">
      <c r="A187" s="43" t="inlineStr">
        <is>
          <t>Behrendt</t>
        </is>
      </c>
      <c r="B187" s="81">
        <f>COUNTIF(Dienstplan!B220:AF220,"FI")</f>
        <v/>
      </c>
      <c r="C187" s="81">
        <f>COUNTIF(Dienstplan!B220:AF220,"FII")</f>
        <v/>
      </c>
      <c r="D187" s="81">
        <f>COUNTIF(Dienstplan!B220:AF220,"SI")</f>
        <v/>
      </c>
      <c r="E187" s="81">
        <f>COUNTIF(Dienstplan!B220:AF220,"SII")</f>
        <v/>
      </c>
      <c r="F187" s="81">
        <f>COUNTIF(Dienstplan!B220:AF220,"NI")</f>
        <v/>
      </c>
      <c r="G187" s="81">
        <f>COUNTIF(Dienstplan!B220:AF220,"DI")</f>
        <v/>
      </c>
      <c r="H187" s="81">
        <f>COUNTIF(Dienstplan!B220:AF220,"DII")</f>
        <v/>
      </c>
      <c r="I187" s="81">
        <f>COUNTIF(Dienstplan!B220:AF220,"KU")</f>
        <v/>
      </c>
      <c r="J187" s="81">
        <f>COUNTIF(Dienstplan!B220:AF220,"EH")</f>
        <v/>
      </c>
      <c r="K187" s="81">
        <f>COUNTIF(Dienstplan!B220:AF220,"SD")</f>
        <v/>
      </c>
      <c r="L187" s="81">
        <f>COUNTIF(Dienstplan!B220:AF220,"GT")</f>
        <v/>
      </c>
      <c r="M187" s="81">
        <f>COUNTIF(Dienstplan!B220:AF220,"NST")</f>
        <v/>
      </c>
      <c r="N187" s="81">
        <f>COUNTIF(Dienstplan!B220:AF220,"KT")</f>
        <v/>
      </c>
      <c r="O187" s="81">
        <f>COUNTIF(Dienstplan!B220:AF220,"Fobi")</f>
        <v/>
      </c>
      <c r="P187" s="81">
        <f>COUNTIF(Dienstplan!B220:AF220,"U")</f>
        <v/>
      </c>
      <c r="Q187" s="81">
        <f>COUNTIF(Dienstplan!B220:AF220,"A")</f>
        <v/>
      </c>
      <c r="R187" s="81">
        <f>COUNTIF(Dienstplan!B220:AF220,"T-ZUG")</f>
        <v/>
      </c>
      <c r="S187" s="81">
        <f>23*$Y$9</f>
        <v/>
      </c>
      <c r="T187" s="81">
        <f>IF(ISNUMBER($AB$3),B187*$AB$3,B187*$Y$9)+IF(ISNUMBER($AB$4),C187*$AB$4,C187*$Y$9)+IF(ISNUMBER($AB$5),D187*$AB$5,D187*$Y$9)+IF(ISNUMBER($AB$6),E187*$AB$6,E187*$Y$9)+IF(ISNUMBER($AB$7),F187*$AB$7,F187*$Y$9)+IF(ISNUMBER($AB$8),G187*$AB$8,G187*$Y$9)+IF(ISNUMBER($AB$9),H187*$AB$9,H187*$Y$9)+IF(ISNUMBER($AB$10),I187*$AB$10,I187*$Y$9)+IF(ISNUMBER($AB$11),J187*$AB$11,J187*$Y$9)+IF(ISNUMBER($AB$12),K187*$AB$12,K187*$Y$9)+IF(ISNUMBER($AB$13),L187*$AB$13,L187*$Y$9)+IF(ISNUMBER($AB$14),M187*$AB$14,M187*$Y$9)+IF(ISNUMBER($AB$15),N187*$AB$15,N187*$Y$9)+IF(ISNUMBER($AB$16),O187*$AB$16,O187*$Y$9)+IF(ISNUMBER($AB$17),P187*$AB$17,P187*$Y$9)+IF(ISNUMBER($AB$18),Q187*$AB$18,Q187*$Y$9)+IF(ISNUMBER($AB$19),R187*$AB$19,R187*$Y$9)</f>
        <v/>
      </c>
      <c r="U187" s="82">
        <f>T187-S187</f>
        <v/>
      </c>
    </row>
    <row r="188" ht="16" customHeight="1">
      <c r="A188" s="43" t="inlineStr">
        <is>
          <t>Krempl</t>
        </is>
      </c>
      <c r="B188" s="83">
        <f>COUNTIF(Dienstplan!B221:AF221,"FI")</f>
        <v/>
      </c>
      <c r="C188" s="83">
        <f>COUNTIF(Dienstplan!B221:AF221,"FII")</f>
        <v/>
      </c>
      <c r="D188" s="83">
        <f>COUNTIF(Dienstplan!B221:AF221,"SI")</f>
        <v/>
      </c>
      <c r="E188" s="83">
        <f>COUNTIF(Dienstplan!B221:AF221,"SII")</f>
        <v/>
      </c>
      <c r="F188" s="83">
        <f>COUNTIF(Dienstplan!B221:AF221,"NI")</f>
        <v/>
      </c>
      <c r="G188" s="83">
        <f>COUNTIF(Dienstplan!B221:AF221,"DI")</f>
        <v/>
      </c>
      <c r="H188" s="83">
        <f>COUNTIF(Dienstplan!B221:AF221,"DII")</f>
        <v/>
      </c>
      <c r="I188" s="83">
        <f>COUNTIF(Dienstplan!B221:AF221,"KU")</f>
        <v/>
      </c>
      <c r="J188" s="83">
        <f>COUNTIF(Dienstplan!B221:AF221,"EH")</f>
        <v/>
      </c>
      <c r="K188" s="83">
        <f>COUNTIF(Dienstplan!B221:AF221,"SD")</f>
        <v/>
      </c>
      <c r="L188" s="83">
        <f>COUNTIF(Dienstplan!B221:AF221,"GT")</f>
        <v/>
      </c>
      <c r="M188" s="83">
        <f>COUNTIF(Dienstplan!B221:AF221,"NST")</f>
        <v/>
      </c>
      <c r="N188" s="83">
        <f>COUNTIF(Dienstplan!B221:AF221,"KT")</f>
        <v/>
      </c>
      <c r="O188" s="83">
        <f>COUNTIF(Dienstplan!B221:AF221,"Fobi")</f>
        <v/>
      </c>
      <c r="P188" s="83">
        <f>COUNTIF(Dienstplan!B221:AF221,"U")</f>
        <v/>
      </c>
      <c r="Q188" s="83">
        <f>COUNTIF(Dienstplan!B221:AF221,"A")</f>
        <v/>
      </c>
      <c r="R188" s="83">
        <f>COUNTIF(Dienstplan!B221:AF221,"T-ZUG")</f>
        <v/>
      </c>
      <c r="S188" s="83">
        <f>23*$Y$10</f>
        <v/>
      </c>
      <c r="T188" s="83">
        <f>IF(ISNUMBER($AB$3),B188*$AB$3,B188*$Y$10)+IF(ISNUMBER($AB$4),C188*$AB$4,C188*$Y$10)+IF(ISNUMBER($AB$5),D188*$AB$5,D188*$Y$10)+IF(ISNUMBER($AB$6),E188*$AB$6,E188*$Y$10)+IF(ISNUMBER($AB$7),F188*$AB$7,F188*$Y$10)+IF(ISNUMBER($AB$8),G188*$AB$8,G188*$Y$10)+IF(ISNUMBER($AB$9),H188*$AB$9,H188*$Y$10)+IF(ISNUMBER($AB$10),I188*$AB$10,I188*$Y$10)+IF(ISNUMBER($AB$11),J188*$AB$11,J188*$Y$10)+IF(ISNUMBER($AB$12),K188*$AB$12,K188*$Y$10)+IF(ISNUMBER($AB$13),L188*$AB$13,L188*$Y$10)+IF(ISNUMBER($AB$14),M188*$AB$14,M188*$Y$10)+IF(ISNUMBER($AB$15),N188*$AB$15,N188*$Y$10)+IF(ISNUMBER($AB$16),O188*$AB$16,O188*$Y$10)+IF(ISNUMBER($AB$17),P188*$AB$17,P188*$Y$10)+IF(ISNUMBER($AB$18),Q188*$AB$18,Q188*$Y$10)+IF(ISNUMBER($AB$19),R188*$AB$19,R188*$Y$10)</f>
        <v/>
      </c>
      <c r="U188" s="84">
        <f>T188-S188</f>
        <v/>
      </c>
    </row>
    <row r="189" ht="16" customHeight="1">
      <c r="A189" s="43" t="inlineStr">
        <is>
          <t>Putschler</t>
        </is>
      </c>
      <c r="B189" s="81">
        <f>COUNTIF(Dienstplan!B222:AF222,"FI")</f>
        <v/>
      </c>
      <c r="C189" s="81">
        <f>COUNTIF(Dienstplan!B222:AF222,"FII")</f>
        <v/>
      </c>
      <c r="D189" s="81">
        <f>COUNTIF(Dienstplan!B222:AF222,"SI")</f>
        <v/>
      </c>
      <c r="E189" s="81">
        <f>COUNTIF(Dienstplan!B222:AF222,"SII")</f>
        <v/>
      </c>
      <c r="F189" s="81">
        <f>COUNTIF(Dienstplan!B222:AF222,"NI")</f>
        <v/>
      </c>
      <c r="G189" s="81">
        <f>COUNTIF(Dienstplan!B222:AF222,"DI")</f>
        <v/>
      </c>
      <c r="H189" s="81">
        <f>COUNTIF(Dienstplan!B222:AF222,"DII")</f>
        <v/>
      </c>
      <c r="I189" s="81">
        <f>COUNTIF(Dienstplan!B222:AF222,"KU")</f>
        <v/>
      </c>
      <c r="J189" s="81">
        <f>COUNTIF(Dienstplan!B222:AF222,"EH")</f>
        <v/>
      </c>
      <c r="K189" s="81">
        <f>COUNTIF(Dienstplan!B222:AF222,"SD")</f>
        <v/>
      </c>
      <c r="L189" s="81">
        <f>COUNTIF(Dienstplan!B222:AF222,"GT")</f>
        <v/>
      </c>
      <c r="M189" s="81">
        <f>COUNTIF(Dienstplan!B222:AF222,"NST")</f>
        <v/>
      </c>
      <c r="N189" s="81">
        <f>COUNTIF(Dienstplan!B222:AF222,"KT")</f>
        <v/>
      </c>
      <c r="O189" s="81">
        <f>COUNTIF(Dienstplan!B222:AF222,"Fobi")</f>
        <v/>
      </c>
      <c r="P189" s="81">
        <f>COUNTIF(Dienstplan!B222:AF222,"U")</f>
        <v/>
      </c>
      <c r="Q189" s="81">
        <f>COUNTIF(Dienstplan!B222:AF222,"A")</f>
        <v/>
      </c>
      <c r="R189" s="81">
        <f>COUNTIF(Dienstplan!B222:AF222,"T-ZUG")</f>
        <v/>
      </c>
      <c r="S189" s="81">
        <f>23*$Y$11</f>
        <v/>
      </c>
      <c r="T189" s="81">
        <f>IF(ISNUMBER($AB$3),B189*$AB$3,B189*$Y$11)+IF(ISNUMBER($AB$4),C189*$AB$4,C189*$Y$11)+IF(ISNUMBER($AB$5),D189*$AB$5,D189*$Y$11)+IF(ISNUMBER($AB$6),E189*$AB$6,E189*$Y$11)+IF(ISNUMBER($AB$7),F189*$AB$7,F189*$Y$11)+IF(ISNUMBER($AB$8),G189*$AB$8,G189*$Y$11)+IF(ISNUMBER($AB$9),H189*$AB$9,H189*$Y$11)+IF(ISNUMBER($AB$10),I189*$AB$10,I189*$Y$11)+IF(ISNUMBER($AB$11),J189*$AB$11,J189*$Y$11)+IF(ISNUMBER($AB$12),K189*$AB$12,K189*$Y$11)+IF(ISNUMBER($AB$13),L189*$AB$13,L189*$Y$11)+IF(ISNUMBER($AB$14),M189*$AB$14,M189*$Y$11)+IF(ISNUMBER($AB$15),N189*$AB$15,N189*$Y$11)+IF(ISNUMBER($AB$16),O189*$AB$16,O189*$Y$11)+IF(ISNUMBER($AB$17),P189*$AB$17,P189*$Y$11)+IF(ISNUMBER($AB$18),Q189*$AB$18,Q189*$Y$11)+IF(ISNUMBER($AB$19),R189*$AB$19,R189*$Y$11)</f>
        <v/>
      </c>
      <c r="U189" s="82">
        <f>T189-S189</f>
        <v/>
      </c>
    </row>
    <row r="190" ht="16" customHeight="1">
      <c r="A190" s="43" t="inlineStr">
        <is>
          <t>Kunz</t>
        </is>
      </c>
      <c r="B190" s="83">
        <f>COUNTIF(Dienstplan!B223:AF223,"FI")</f>
        <v/>
      </c>
      <c r="C190" s="83">
        <f>COUNTIF(Dienstplan!B223:AF223,"FII")</f>
        <v/>
      </c>
      <c r="D190" s="83">
        <f>COUNTIF(Dienstplan!B223:AF223,"SI")</f>
        <v/>
      </c>
      <c r="E190" s="83">
        <f>COUNTIF(Dienstplan!B223:AF223,"SII")</f>
        <v/>
      </c>
      <c r="F190" s="83">
        <f>COUNTIF(Dienstplan!B223:AF223,"NI")</f>
        <v/>
      </c>
      <c r="G190" s="83">
        <f>COUNTIF(Dienstplan!B223:AF223,"DI")</f>
        <v/>
      </c>
      <c r="H190" s="83">
        <f>COUNTIF(Dienstplan!B223:AF223,"DII")</f>
        <v/>
      </c>
      <c r="I190" s="83">
        <f>COUNTIF(Dienstplan!B223:AF223,"KU")</f>
        <v/>
      </c>
      <c r="J190" s="83">
        <f>COUNTIF(Dienstplan!B223:AF223,"EH")</f>
        <v/>
      </c>
      <c r="K190" s="83">
        <f>COUNTIF(Dienstplan!B223:AF223,"SD")</f>
        <v/>
      </c>
      <c r="L190" s="83">
        <f>COUNTIF(Dienstplan!B223:AF223,"GT")</f>
        <v/>
      </c>
      <c r="M190" s="83">
        <f>COUNTIF(Dienstplan!B223:AF223,"NST")</f>
        <v/>
      </c>
      <c r="N190" s="83">
        <f>COUNTIF(Dienstplan!B223:AF223,"KT")</f>
        <v/>
      </c>
      <c r="O190" s="83">
        <f>COUNTIF(Dienstplan!B223:AF223,"Fobi")</f>
        <v/>
      </c>
      <c r="P190" s="83">
        <f>COUNTIF(Dienstplan!B223:AF223,"U")</f>
        <v/>
      </c>
      <c r="Q190" s="83">
        <f>COUNTIF(Dienstplan!B223:AF223,"A")</f>
        <v/>
      </c>
      <c r="R190" s="83">
        <f>COUNTIF(Dienstplan!B223:AF223,"T-ZUG")</f>
        <v/>
      </c>
      <c r="S190" s="83">
        <f>23*$Y$12</f>
        <v/>
      </c>
      <c r="T190" s="83">
        <f>IF(ISNUMBER($AB$3),B190*$AB$3,B190*$Y$12)+IF(ISNUMBER($AB$4),C190*$AB$4,C190*$Y$12)+IF(ISNUMBER($AB$5),D190*$AB$5,D190*$Y$12)+IF(ISNUMBER($AB$6),E190*$AB$6,E190*$Y$12)+IF(ISNUMBER($AB$7),F190*$AB$7,F190*$Y$12)+IF(ISNUMBER($AB$8),G190*$AB$8,G190*$Y$12)+IF(ISNUMBER($AB$9),H190*$AB$9,H190*$Y$12)+IF(ISNUMBER($AB$10),I190*$AB$10,I190*$Y$12)+IF(ISNUMBER($AB$11),J190*$AB$11,J190*$Y$12)+IF(ISNUMBER($AB$12),K190*$AB$12,K190*$Y$12)+IF(ISNUMBER($AB$13),L190*$AB$13,L190*$Y$12)+IF(ISNUMBER($AB$14),M190*$AB$14,M190*$Y$12)+IF(ISNUMBER($AB$15),N190*$AB$15,N190*$Y$12)+IF(ISNUMBER($AB$16),O190*$AB$16,O190*$Y$12)+IF(ISNUMBER($AB$17),P190*$AB$17,P190*$Y$12)+IF(ISNUMBER($AB$18),Q190*$AB$18,Q190*$Y$12)+IF(ISNUMBER($AB$19),R190*$AB$19,R190*$Y$12)</f>
        <v/>
      </c>
      <c r="U190" s="84">
        <f>T190-S190</f>
        <v/>
      </c>
    </row>
    <row r="191" ht="16" customHeight="1">
      <c r="A191" s="43" t="inlineStr">
        <is>
          <t>Schmidt</t>
        </is>
      </c>
      <c r="B191" s="81">
        <f>COUNTIF(Dienstplan!B224:AF224,"FI")</f>
        <v/>
      </c>
      <c r="C191" s="81">
        <f>COUNTIF(Dienstplan!B224:AF224,"FII")</f>
        <v/>
      </c>
      <c r="D191" s="81">
        <f>COUNTIF(Dienstplan!B224:AF224,"SI")</f>
        <v/>
      </c>
      <c r="E191" s="81">
        <f>COUNTIF(Dienstplan!B224:AF224,"SII")</f>
        <v/>
      </c>
      <c r="F191" s="81">
        <f>COUNTIF(Dienstplan!B224:AF224,"NI")</f>
        <v/>
      </c>
      <c r="G191" s="81">
        <f>COUNTIF(Dienstplan!B224:AF224,"DI")</f>
        <v/>
      </c>
      <c r="H191" s="81">
        <f>COUNTIF(Dienstplan!B224:AF224,"DII")</f>
        <v/>
      </c>
      <c r="I191" s="81">
        <f>COUNTIF(Dienstplan!B224:AF224,"KU")</f>
        <v/>
      </c>
      <c r="J191" s="81">
        <f>COUNTIF(Dienstplan!B224:AF224,"EH")</f>
        <v/>
      </c>
      <c r="K191" s="81">
        <f>COUNTIF(Dienstplan!B224:AF224,"SD")</f>
        <v/>
      </c>
      <c r="L191" s="81">
        <f>COUNTIF(Dienstplan!B224:AF224,"GT")</f>
        <v/>
      </c>
      <c r="M191" s="81">
        <f>COUNTIF(Dienstplan!B224:AF224,"NST")</f>
        <v/>
      </c>
      <c r="N191" s="81">
        <f>COUNTIF(Dienstplan!B224:AF224,"KT")</f>
        <v/>
      </c>
      <c r="O191" s="81">
        <f>COUNTIF(Dienstplan!B224:AF224,"Fobi")</f>
        <v/>
      </c>
      <c r="P191" s="81">
        <f>COUNTIF(Dienstplan!B224:AF224,"U")</f>
        <v/>
      </c>
      <c r="Q191" s="81">
        <f>COUNTIF(Dienstplan!B224:AF224,"A")</f>
        <v/>
      </c>
      <c r="R191" s="81">
        <f>COUNTIF(Dienstplan!B224:AF224,"T-ZUG")</f>
        <v/>
      </c>
      <c r="S191" s="81">
        <f>23*$Y$13</f>
        <v/>
      </c>
      <c r="T191" s="81">
        <f>IF(ISNUMBER($AB$3),B191*$AB$3,B191*$Y$13)+IF(ISNUMBER($AB$4),C191*$AB$4,C191*$Y$13)+IF(ISNUMBER($AB$5),D191*$AB$5,D191*$Y$13)+IF(ISNUMBER($AB$6),E191*$AB$6,E191*$Y$13)+IF(ISNUMBER($AB$7),F191*$AB$7,F191*$Y$13)+IF(ISNUMBER($AB$8),G191*$AB$8,G191*$Y$13)+IF(ISNUMBER($AB$9),H191*$AB$9,H191*$Y$13)+IF(ISNUMBER($AB$10),I191*$AB$10,I191*$Y$13)+IF(ISNUMBER($AB$11),J191*$AB$11,J191*$Y$13)+IF(ISNUMBER($AB$12),K191*$AB$12,K191*$Y$13)+IF(ISNUMBER($AB$13),L191*$AB$13,L191*$Y$13)+IF(ISNUMBER($AB$14),M191*$AB$14,M191*$Y$13)+IF(ISNUMBER($AB$15),N191*$AB$15,N191*$Y$13)+IF(ISNUMBER($AB$16),O191*$AB$16,O191*$Y$13)+IF(ISNUMBER($AB$17),P191*$AB$17,P191*$Y$13)+IF(ISNUMBER($AB$18),Q191*$AB$18,Q191*$Y$13)+IF(ISNUMBER($AB$19),R191*$AB$19,R191*$Y$13)</f>
        <v/>
      </c>
      <c r="U191" s="82">
        <f>T191-S191</f>
        <v/>
      </c>
    </row>
    <row r="192" ht="16" customHeight="1">
      <c r="A192" s="43" t="inlineStr">
        <is>
          <t>Radimersky</t>
        </is>
      </c>
      <c r="B192" s="83">
        <f>COUNTIF(Dienstplan!B225:AF225,"FI")</f>
        <v/>
      </c>
      <c r="C192" s="83">
        <f>COUNTIF(Dienstplan!B225:AF225,"FII")</f>
        <v/>
      </c>
      <c r="D192" s="83">
        <f>COUNTIF(Dienstplan!B225:AF225,"SI")</f>
        <v/>
      </c>
      <c r="E192" s="83">
        <f>COUNTIF(Dienstplan!B225:AF225,"SII")</f>
        <v/>
      </c>
      <c r="F192" s="83">
        <f>COUNTIF(Dienstplan!B225:AF225,"NI")</f>
        <v/>
      </c>
      <c r="G192" s="83">
        <f>COUNTIF(Dienstplan!B225:AF225,"DI")</f>
        <v/>
      </c>
      <c r="H192" s="83">
        <f>COUNTIF(Dienstplan!B225:AF225,"DII")</f>
        <v/>
      </c>
      <c r="I192" s="83">
        <f>COUNTIF(Dienstplan!B225:AF225,"KU")</f>
        <v/>
      </c>
      <c r="J192" s="83">
        <f>COUNTIF(Dienstplan!B225:AF225,"EH")</f>
        <v/>
      </c>
      <c r="K192" s="83">
        <f>COUNTIF(Dienstplan!B225:AF225,"SD")</f>
        <v/>
      </c>
      <c r="L192" s="83">
        <f>COUNTIF(Dienstplan!B225:AF225,"GT")</f>
        <v/>
      </c>
      <c r="M192" s="83">
        <f>COUNTIF(Dienstplan!B225:AF225,"NST")</f>
        <v/>
      </c>
      <c r="N192" s="83">
        <f>COUNTIF(Dienstplan!B225:AF225,"KT")</f>
        <v/>
      </c>
      <c r="O192" s="83">
        <f>COUNTIF(Dienstplan!B225:AF225,"Fobi")</f>
        <v/>
      </c>
      <c r="P192" s="83">
        <f>COUNTIF(Dienstplan!B225:AF225,"U")</f>
        <v/>
      </c>
      <c r="Q192" s="83">
        <f>COUNTIF(Dienstplan!B225:AF225,"A")</f>
        <v/>
      </c>
      <c r="R192" s="83">
        <f>COUNTIF(Dienstplan!B225:AF225,"T-ZUG")</f>
        <v/>
      </c>
      <c r="S192" s="83">
        <f>23*$Y$14</f>
        <v/>
      </c>
      <c r="T192" s="83">
        <f>IF(ISNUMBER($AB$3),B192*$AB$3,B192*$Y$14)+IF(ISNUMBER($AB$4),C192*$AB$4,C192*$Y$14)+IF(ISNUMBER($AB$5),D192*$AB$5,D192*$Y$14)+IF(ISNUMBER($AB$6),E192*$AB$6,E192*$Y$14)+IF(ISNUMBER($AB$7),F192*$AB$7,F192*$Y$14)+IF(ISNUMBER($AB$8),G192*$AB$8,G192*$Y$14)+IF(ISNUMBER($AB$9),H192*$AB$9,H192*$Y$14)+IF(ISNUMBER($AB$10),I192*$AB$10,I192*$Y$14)+IF(ISNUMBER($AB$11),J192*$AB$11,J192*$Y$14)+IF(ISNUMBER($AB$12),K192*$AB$12,K192*$Y$14)+IF(ISNUMBER($AB$13),L192*$AB$13,L192*$Y$14)+IF(ISNUMBER($AB$14),M192*$AB$14,M192*$Y$14)+IF(ISNUMBER($AB$15),N192*$AB$15,N192*$Y$14)+IF(ISNUMBER($AB$16),O192*$AB$16,O192*$Y$14)+IF(ISNUMBER($AB$17),P192*$AB$17,P192*$Y$14)+IF(ISNUMBER($AB$18),Q192*$AB$18,Q192*$Y$14)+IF(ISNUMBER($AB$19),R192*$AB$19,R192*$Y$14)</f>
        <v/>
      </c>
      <c r="U192" s="84">
        <f>T192-S192</f>
        <v/>
      </c>
    </row>
    <row r="193" ht="18" customHeight="1">
      <c r="A193" s="88" t="inlineStr">
        <is>
          <t>Summe</t>
        </is>
      </c>
      <c r="B193" s="89">
        <f>SUM(B181:B192)</f>
        <v/>
      </c>
      <c r="C193" s="89">
        <f>SUM(C181:C192)</f>
        <v/>
      </c>
      <c r="D193" s="89">
        <f>SUM(D181:D192)</f>
        <v/>
      </c>
      <c r="E193" s="89">
        <f>SUM(E181:E192)</f>
        <v/>
      </c>
      <c r="F193" s="89">
        <f>SUM(F181:F192)</f>
        <v/>
      </c>
      <c r="G193" s="89">
        <f>SUM(G181:G192)</f>
        <v/>
      </c>
      <c r="H193" s="89">
        <f>SUM(H181:H192)</f>
        <v/>
      </c>
      <c r="I193" s="89">
        <f>SUM(I181:I192)</f>
        <v/>
      </c>
      <c r="J193" s="89">
        <f>SUM(J181:J192)</f>
        <v/>
      </c>
      <c r="K193" s="89">
        <f>SUM(K181:K192)</f>
        <v/>
      </c>
      <c r="L193" s="89">
        <f>SUM(L181:L192)</f>
        <v/>
      </c>
      <c r="M193" s="89">
        <f>SUM(M181:M192)</f>
        <v/>
      </c>
      <c r="N193" s="89">
        <f>SUM(N181:N192)</f>
        <v/>
      </c>
      <c r="O193" s="89">
        <f>SUM(O181:O192)</f>
        <v/>
      </c>
      <c r="P193" s="89">
        <f>SUM(P181:P192)</f>
        <v/>
      </c>
      <c r="Q193" s="89">
        <f>SUM(Q181:Q192)</f>
        <v/>
      </c>
      <c r="R193" s="89">
        <f>SUM(R181:R192)</f>
        <v/>
      </c>
      <c r="S193" s="89">
        <f>SUM(S181:S192)</f>
        <v/>
      </c>
      <c r="T193" s="89">
        <f>SUM(T181:T192)</f>
        <v/>
      </c>
      <c r="U193" s="90">
        <f>SUM(U181:U192)</f>
        <v/>
      </c>
    </row>
  </sheetData>
  <conditionalFormatting sqref="U5:U16">
    <cfRule type="cellIs" priority="1" operator="lessThan" dxfId="6" stopIfTrue="1">
      <formula>0</formula>
    </cfRule>
    <cfRule type="cellIs" priority="2" operator="greaterThanOrEqual" dxfId="7" stopIfTrue="1">
      <formula>0</formula>
    </cfRule>
  </conditionalFormatting>
  <conditionalFormatting sqref="U21:U32">
    <cfRule type="cellIs" priority="3" operator="lessThan" dxfId="6" stopIfTrue="1">
      <formula>0</formula>
    </cfRule>
    <cfRule type="cellIs" priority="4" operator="greaterThanOrEqual" dxfId="7" stopIfTrue="1">
      <formula>0</formula>
    </cfRule>
  </conditionalFormatting>
  <conditionalFormatting sqref="U37:U48">
    <cfRule type="cellIs" priority="5" operator="lessThan" dxfId="6" stopIfTrue="1">
      <formula>0</formula>
    </cfRule>
    <cfRule type="cellIs" priority="6" operator="greaterThanOrEqual" dxfId="7" stopIfTrue="1">
      <formula>0</formula>
    </cfRule>
  </conditionalFormatting>
  <conditionalFormatting sqref="U53:U64">
    <cfRule type="cellIs" priority="7" operator="lessThan" dxfId="6" stopIfTrue="1">
      <formula>0</formula>
    </cfRule>
    <cfRule type="cellIs" priority="8" operator="greaterThanOrEqual" dxfId="7" stopIfTrue="1">
      <formula>0</formula>
    </cfRule>
  </conditionalFormatting>
  <conditionalFormatting sqref="U69:U80">
    <cfRule type="cellIs" priority="9" operator="lessThan" dxfId="6" stopIfTrue="1">
      <formula>0</formula>
    </cfRule>
    <cfRule type="cellIs" priority="10" operator="greaterThanOrEqual" dxfId="7" stopIfTrue="1">
      <formula>0</formula>
    </cfRule>
  </conditionalFormatting>
  <conditionalFormatting sqref="U85:U96">
    <cfRule type="cellIs" priority="11" operator="lessThan" dxfId="6" stopIfTrue="1">
      <formula>0</formula>
    </cfRule>
    <cfRule type="cellIs" priority="12" operator="greaterThanOrEqual" dxfId="7" stopIfTrue="1">
      <formula>0</formula>
    </cfRule>
  </conditionalFormatting>
  <conditionalFormatting sqref="U101:U112">
    <cfRule type="cellIs" priority="13" operator="lessThan" dxfId="6" stopIfTrue="1">
      <formula>0</formula>
    </cfRule>
    <cfRule type="cellIs" priority="14" operator="greaterThanOrEqual" dxfId="7" stopIfTrue="1">
      <formula>0</formula>
    </cfRule>
  </conditionalFormatting>
  <conditionalFormatting sqref="U117:U128">
    <cfRule type="cellIs" priority="15" operator="lessThan" dxfId="6" stopIfTrue="1">
      <formula>0</formula>
    </cfRule>
    <cfRule type="cellIs" priority="16" operator="greaterThanOrEqual" dxfId="7" stopIfTrue="1">
      <formula>0</formula>
    </cfRule>
  </conditionalFormatting>
  <conditionalFormatting sqref="U133:U144">
    <cfRule type="cellIs" priority="17" operator="lessThan" dxfId="6" stopIfTrue="1">
      <formula>0</formula>
    </cfRule>
    <cfRule type="cellIs" priority="18" operator="greaterThanOrEqual" dxfId="7" stopIfTrue="1">
      <formula>0</formula>
    </cfRule>
  </conditionalFormatting>
  <conditionalFormatting sqref="U149:U160">
    <cfRule type="cellIs" priority="19" operator="lessThan" dxfId="6" stopIfTrue="1">
      <formula>0</formula>
    </cfRule>
    <cfRule type="cellIs" priority="20" operator="greaterThanOrEqual" dxfId="7" stopIfTrue="1">
      <formula>0</formula>
    </cfRule>
  </conditionalFormatting>
  <conditionalFormatting sqref="U165:U176">
    <cfRule type="cellIs" priority="21" operator="lessThan" dxfId="6" stopIfTrue="1">
      <formula>0</formula>
    </cfRule>
    <cfRule type="cellIs" priority="22" operator="greaterThanOrEqual" dxfId="7" stopIfTrue="1">
      <formula>0</formula>
    </cfRule>
  </conditionalFormatting>
  <conditionalFormatting sqref="U181:U192">
    <cfRule type="cellIs" priority="23" operator="lessThan" dxfId="6" stopIfTrue="1">
      <formula>0</formula>
    </cfRule>
    <cfRule type="cellIs" priority="24" operator="greaterThanOrEqual" dxfId="7" stopIfTrue="1">
      <formula>0</formula>
    </cfRule>
  </conditionalFormatting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8" customWidth="1" min="16" max="16"/>
  </cols>
  <sheetData>
    <row r="1">
      <c r="A1" s="1" t="inlineStr">
        <is>
          <t>Urlaubsübersicht 2027</t>
        </is>
      </c>
    </row>
    <row r="3" ht="20" customHeight="1">
      <c r="A3" s="68" t="inlineStr">
        <is>
          <t>Mitarbeiter</t>
        </is>
      </c>
      <c r="B3" s="69" t="inlineStr">
        <is>
          <t>Jan</t>
        </is>
      </c>
      <c r="C3" s="69" t="inlineStr">
        <is>
          <t>Feb</t>
        </is>
      </c>
      <c r="D3" s="69" t="inlineStr">
        <is>
          <t>Mär</t>
        </is>
      </c>
      <c r="E3" s="69" t="inlineStr">
        <is>
          <t>Apr</t>
        </is>
      </c>
      <c r="F3" s="69" t="inlineStr">
        <is>
          <t>Mai</t>
        </is>
      </c>
      <c r="G3" s="69" t="inlineStr">
        <is>
          <t>Jun</t>
        </is>
      </c>
      <c r="H3" s="69" t="inlineStr">
        <is>
          <t>Jul</t>
        </is>
      </c>
      <c r="I3" s="69" t="inlineStr">
        <is>
          <t>Aug</t>
        </is>
      </c>
      <c r="J3" s="69" t="inlineStr">
        <is>
          <t>Sep</t>
        </is>
      </c>
      <c r="K3" s="69" t="inlineStr">
        <is>
          <t>Okt</t>
        </is>
      </c>
      <c r="L3" s="69" t="inlineStr">
        <is>
          <t>Nov</t>
        </is>
      </c>
      <c r="M3" s="69" t="inlineStr">
        <is>
          <t>Dez</t>
        </is>
      </c>
      <c r="N3" s="69" t="inlineStr">
        <is>
          <t>Genommen</t>
        </is>
      </c>
      <c r="O3" s="69" t="inlineStr">
        <is>
          <t>Anspruch</t>
        </is>
      </c>
      <c r="P3" s="70" t="inlineStr">
        <is>
          <t>Rest</t>
        </is>
      </c>
    </row>
    <row r="4" ht="18" customHeight="1">
      <c r="A4" s="16" t="inlineStr">
        <is>
          <t>Breig</t>
        </is>
      </c>
      <c r="B4" s="71">
        <f>COUNTIF(Dienstplan!B7:AF7,"U")+COUNTIF(Dienstplan!B7:AF7,"U    alt")</f>
        <v/>
      </c>
      <c r="C4" s="71">
        <f>COUNTIF(Dienstplan!B26:AC26,"U")+COUNTIF(Dienstplan!B26:AC26,"U    alt")</f>
        <v/>
      </c>
      <c r="D4" s="71">
        <f>COUNTIF(Dienstplan!B45:AF45,"U")+COUNTIF(Dienstplan!B45:AF45,"U    alt")</f>
        <v/>
      </c>
      <c r="E4" s="71">
        <f>COUNTIF(Dienstplan!B64:AE64,"U")+COUNTIF(Dienstplan!B64:AE64,"U    alt")</f>
        <v/>
      </c>
      <c r="F4" s="71">
        <f>COUNTIF(Dienstplan!B83:AF83,"U")+COUNTIF(Dienstplan!B83:AF83,"U    alt")</f>
        <v/>
      </c>
      <c r="G4" s="71">
        <f>COUNTIF(Dienstplan!B101:AE101,"U")+COUNTIF(Dienstplan!B101:AE101,"U    alt")</f>
        <v/>
      </c>
      <c r="H4" s="71">
        <f>COUNTIF(Dienstplan!B120:AF120,"U")+COUNTIF(Dienstplan!B120:AF120,"U    alt")</f>
        <v/>
      </c>
      <c r="I4" s="71">
        <f>COUNTIF(Dienstplan!B139:AF139,"U")+COUNTIF(Dienstplan!B139:AF139,"U    alt")</f>
        <v/>
      </c>
      <c r="J4" s="71">
        <f>COUNTIF(Dienstplan!B158:AE158,"U")+COUNTIF(Dienstplan!B158:AE158,"U    alt")</f>
        <v/>
      </c>
      <c r="K4" s="71">
        <f>COUNTIF(Dienstplan!B177:AF177,"U")+COUNTIF(Dienstplan!B177:AF177,"U    alt")</f>
        <v/>
      </c>
      <c r="L4" s="71">
        <f>COUNTIF(Dienstplan!B195:AE195,"U")+COUNTIF(Dienstplan!B195:AE195,"U    alt")</f>
        <v/>
      </c>
      <c r="M4" s="71">
        <f>COUNTIF(Dienstplan!B214:AF214,"U")+COUNTIF(Dienstplan!B214:AF214,"U    alt")</f>
        <v/>
      </c>
      <c r="N4" s="94">
        <f>SUM(B4:M4)</f>
        <v/>
      </c>
      <c r="O4" s="71" t="n">
        <v>30</v>
      </c>
      <c r="P4" s="72">
        <f>O4-N4</f>
        <v/>
      </c>
    </row>
    <row r="5" ht="18" customHeight="1">
      <c r="A5" s="16" t="inlineStr">
        <is>
          <t>Siebert</t>
        </is>
      </c>
      <c r="B5" s="73">
        <f>COUNTIF(Dienstplan!B8:AF8,"U")+COUNTIF(Dienstplan!B8:AF8,"U    alt")</f>
        <v/>
      </c>
      <c r="C5" s="73">
        <f>COUNTIF(Dienstplan!B27:AC27,"U")+COUNTIF(Dienstplan!B27:AC27,"U    alt")</f>
        <v/>
      </c>
      <c r="D5" s="73">
        <f>COUNTIF(Dienstplan!B46:AF46,"U")+COUNTIF(Dienstplan!B46:AF46,"U    alt")</f>
        <v/>
      </c>
      <c r="E5" s="73">
        <f>COUNTIF(Dienstplan!B65:AE65,"U")+COUNTIF(Dienstplan!B65:AE65,"U    alt")</f>
        <v/>
      </c>
      <c r="F5" s="73">
        <f>COUNTIF(Dienstplan!B84:AF84,"U")+COUNTIF(Dienstplan!B84:AF84,"U    alt")</f>
        <v/>
      </c>
      <c r="G5" s="73">
        <f>COUNTIF(Dienstplan!B102:AE102,"U")+COUNTIF(Dienstplan!B102:AE102,"U    alt")</f>
        <v/>
      </c>
      <c r="H5" s="73">
        <f>COUNTIF(Dienstplan!B121:AF121,"U")+COUNTIF(Dienstplan!B121:AF121,"U    alt")</f>
        <v/>
      </c>
      <c r="I5" s="73">
        <f>COUNTIF(Dienstplan!B140:AF140,"U")+COUNTIF(Dienstplan!B140:AF140,"U    alt")</f>
        <v/>
      </c>
      <c r="J5" s="73">
        <f>COUNTIF(Dienstplan!B159:AE159,"U")+COUNTIF(Dienstplan!B159:AE159,"U    alt")</f>
        <v/>
      </c>
      <c r="K5" s="73">
        <f>COUNTIF(Dienstplan!B178:AF178,"U")+COUNTIF(Dienstplan!B178:AF178,"U    alt")</f>
        <v/>
      </c>
      <c r="L5" s="73">
        <f>COUNTIF(Dienstplan!B196:AE196,"U")+COUNTIF(Dienstplan!B196:AE196,"U    alt")</f>
        <v/>
      </c>
      <c r="M5" s="73">
        <f>COUNTIF(Dienstplan!B215:AF215,"U")+COUNTIF(Dienstplan!B215:AF215,"U    alt")</f>
        <v/>
      </c>
      <c r="N5" s="95">
        <f>SUM(B5:M5)</f>
        <v/>
      </c>
      <c r="O5" s="73" t="n">
        <v>30</v>
      </c>
      <c r="P5" s="74">
        <f>O5-N5</f>
        <v/>
      </c>
    </row>
    <row r="6" ht="18" customHeight="1">
      <c r="A6" s="16" t="inlineStr">
        <is>
          <t>Jochim</t>
        </is>
      </c>
      <c r="B6" s="71">
        <f>COUNTIF(Dienstplan!B9:AF9,"U")+COUNTIF(Dienstplan!B9:AF9,"U    alt")</f>
        <v/>
      </c>
      <c r="C6" s="71">
        <f>COUNTIF(Dienstplan!B28:AC28,"U")+COUNTIF(Dienstplan!B28:AC28,"U    alt")</f>
        <v/>
      </c>
      <c r="D6" s="71">
        <f>COUNTIF(Dienstplan!B47:AF47,"U")+COUNTIF(Dienstplan!B47:AF47,"U    alt")</f>
        <v/>
      </c>
      <c r="E6" s="71">
        <f>COUNTIF(Dienstplan!B66:AE66,"U")+COUNTIF(Dienstplan!B66:AE66,"U    alt")</f>
        <v/>
      </c>
      <c r="F6" s="71">
        <f>COUNTIF(Dienstplan!B85:AF85,"U")+COUNTIF(Dienstplan!B85:AF85,"U    alt")</f>
        <v/>
      </c>
      <c r="G6" s="71">
        <f>COUNTIF(Dienstplan!B103:AE103,"U")+COUNTIF(Dienstplan!B103:AE103,"U    alt")</f>
        <v/>
      </c>
      <c r="H6" s="71">
        <f>COUNTIF(Dienstplan!B122:AF122,"U")+COUNTIF(Dienstplan!B122:AF122,"U    alt")</f>
        <v/>
      </c>
      <c r="I6" s="71">
        <f>COUNTIF(Dienstplan!B141:AF141,"U")+COUNTIF(Dienstplan!B141:AF141,"U    alt")</f>
        <v/>
      </c>
      <c r="J6" s="71">
        <f>COUNTIF(Dienstplan!B160:AE160,"U")+COUNTIF(Dienstplan!B160:AE160,"U    alt")</f>
        <v/>
      </c>
      <c r="K6" s="71">
        <f>COUNTIF(Dienstplan!B179:AF179,"U")+COUNTIF(Dienstplan!B179:AF179,"U    alt")</f>
        <v/>
      </c>
      <c r="L6" s="71">
        <f>COUNTIF(Dienstplan!B197:AE197,"U")+COUNTIF(Dienstplan!B197:AE197,"U    alt")</f>
        <v/>
      </c>
      <c r="M6" s="71">
        <f>COUNTIF(Dienstplan!B216:AF216,"U")+COUNTIF(Dienstplan!B216:AF216,"U    alt")</f>
        <v/>
      </c>
      <c r="N6" s="94">
        <f>SUM(B6:M6)</f>
        <v/>
      </c>
      <c r="O6" s="71" t="n">
        <v>30</v>
      </c>
      <c r="P6" s="72">
        <f>O6-N6</f>
        <v/>
      </c>
    </row>
    <row r="7" ht="18" customHeight="1">
      <c r="A7" s="16" t="inlineStr">
        <is>
          <t>Wunsch</t>
        </is>
      </c>
      <c r="B7" s="73">
        <f>COUNTIF(Dienstplan!B10:AF10,"U")+COUNTIF(Dienstplan!B10:AF10,"U    alt")</f>
        <v/>
      </c>
      <c r="C7" s="73">
        <f>COUNTIF(Dienstplan!B29:AC29,"U")+COUNTIF(Dienstplan!B29:AC29,"U    alt")</f>
        <v/>
      </c>
      <c r="D7" s="73">
        <f>COUNTIF(Dienstplan!B48:AF48,"U")+COUNTIF(Dienstplan!B48:AF48,"U    alt")</f>
        <v/>
      </c>
      <c r="E7" s="73">
        <f>COUNTIF(Dienstplan!B67:AE67,"U")+COUNTIF(Dienstplan!B67:AE67,"U    alt")</f>
        <v/>
      </c>
      <c r="F7" s="73">
        <f>COUNTIF(Dienstplan!B86:AF86,"U")+COUNTIF(Dienstplan!B86:AF86,"U    alt")</f>
        <v/>
      </c>
      <c r="G7" s="73">
        <f>COUNTIF(Dienstplan!B104:AE104,"U")+COUNTIF(Dienstplan!B104:AE104,"U    alt")</f>
        <v/>
      </c>
      <c r="H7" s="73">
        <f>COUNTIF(Dienstplan!B123:AF123,"U")+COUNTIF(Dienstplan!B123:AF123,"U    alt")</f>
        <v/>
      </c>
      <c r="I7" s="73">
        <f>COUNTIF(Dienstplan!B142:AF142,"U")+COUNTIF(Dienstplan!B142:AF142,"U    alt")</f>
        <v/>
      </c>
      <c r="J7" s="73">
        <f>COUNTIF(Dienstplan!B161:AE161,"U")+COUNTIF(Dienstplan!B161:AE161,"U    alt")</f>
        <v/>
      </c>
      <c r="K7" s="73">
        <f>COUNTIF(Dienstplan!B180:AF180,"U")+COUNTIF(Dienstplan!B180:AF180,"U    alt")</f>
        <v/>
      </c>
      <c r="L7" s="73">
        <f>COUNTIF(Dienstplan!B198:AE198,"U")+COUNTIF(Dienstplan!B198:AE198,"U    alt")</f>
        <v/>
      </c>
      <c r="M7" s="73">
        <f>COUNTIF(Dienstplan!B217:AF217,"U")+COUNTIF(Dienstplan!B217:AF217,"U    alt")</f>
        <v/>
      </c>
      <c r="N7" s="95">
        <f>SUM(B7:M7)</f>
        <v/>
      </c>
      <c r="O7" s="73" t="n">
        <v>30</v>
      </c>
      <c r="P7" s="74">
        <f>O7-N7</f>
        <v/>
      </c>
    </row>
    <row r="8" ht="18" customHeight="1">
      <c r="A8" s="16" t="inlineStr">
        <is>
          <t>Göpfrich</t>
        </is>
      </c>
      <c r="B8" s="71">
        <f>COUNTIF(Dienstplan!B11:AF11,"U")+COUNTIF(Dienstplan!B11:AF11,"U    alt")</f>
        <v/>
      </c>
      <c r="C8" s="71">
        <f>COUNTIF(Dienstplan!B30:AC30,"U")+COUNTIF(Dienstplan!B30:AC30,"U    alt")</f>
        <v/>
      </c>
      <c r="D8" s="71">
        <f>COUNTIF(Dienstplan!B49:AF49,"U")+COUNTIF(Dienstplan!B49:AF49,"U    alt")</f>
        <v/>
      </c>
      <c r="E8" s="71">
        <f>COUNTIF(Dienstplan!B68:AE68,"U")+COUNTIF(Dienstplan!B68:AE68,"U    alt")</f>
        <v/>
      </c>
      <c r="F8" s="71">
        <f>COUNTIF(Dienstplan!B87:AF87,"U")+COUNTIF(Dienstplan!B87:AF87,"U    alt")</f>
        <v/>
      </c>
      <c r="G8" s="71">
        <f>COUNTIF(Dienstplan!B105:AE105,"U")+COUNTIF(Dienstplan!B105:AE105,"U    alt")</f>
        <v/>
      </c>
      <c r="H8" s="71">
        <f>COUNTIF(Dienstplan!B124:AF124,"U")+COUNTIF(Dienstplan!B124:AF124,"U    alt")</f>
        <v/>
      </c>
      <c r="I8" s="71">
        <f>COUNTIF(Dienstplan!B143:AF143,"U")+COUNTIF(Dienstplan!B143:AF143,"U    alt")</f>
        <v/>
      </c>
      <c r="J8" s="71">
        <f>COUNTIF(Dienstplan!B162:AE162,"U")+COUNTIF(Dienstplan!B162:AE162,"U    alt")</f>
        <v/>
      </c>
      <c r="K8" s="71">
        <f>COUNTIF(Dienstplan!B181:AF181,"U")+COUNTIF(Dienstplan!B181:AF181,"U    alt")</f>
        <v/>
      </c>
      <c r="L8" s="71">
        <f>COUNTIF(Dienstplan!B199:AE199,"U")+COUNTIF(Dienstplan!B199:AE199,"U    alt")</f>
        <v/>
      </c>
      <c r="M8" s="71">
        <f>COUNTIF(Dienstplan!B218:AF218,"U")+COUNTIF(Dienstplan!B218:AF218,"U    alt")</f>
        <v/>
      </c>
      <c r="N8" s="94">
        <f>SUM(B8:M8)</f>
        <v/>
      </c>
      <c r="O8" s="71" t="n">
        <v>30</v>
      </c>
      <c r="P8" s="72">
        <f>O8-N8</f>
        <v/>
      </c>
    </row>
    <row r="9" ht="18" customHeight="1">
      <c r="A9" s="16" t="inlineStr">
        <is>
          <t>Zeller</t>
        </is>
      </c>
      <c r="B9" s="73">
        <f>COUNTIF(Dienstplan!B12:AF12,"U")+COUNTIF(Dienstplan!B12:AF12,"U    alt")</f>
        <v/>
      </c>
      <c r="C9" s="73">
        <f>COUNTIF(Dienstplan!B31:AC31,"U")+COUNTIF(Dienstplan!B31:AC31,"U    alt")</f>
        <v/>
      </c>
      <c r="D9" s="73">
        <f>COUNTIF(Dienstplan!B50:AF50,"U")+COUNTIF(Dienstplan!B50:AF50,"U    alt")</f>
        <v/>
      </c>
      <c r="E9" s="73">
        <f>COUNTIF(Dienstplan!B69:AE69,"U")+COUNTIF(Dienstplan!B69:AE69,"U    alt")</f>
        <v/>
      </c>
      <c r="F9" s="73">
        <f>COUNTIF(Dienstplan!B88:AF88,"U")+COUNTIF(Dienstplan!B88:AF88,"U    alt")</f>
        <v/>
      </c>
      <c r="G9" s="73">
        <f>COUNTIF(Dienstplan!B106:AE106,"U")+COUNTIF(Dienstplan!B106:AE106,"U    alt")</f>
        <v/>
      </c>
      <c r="H9" s="73">
        <f>COUNTIF(Dienstplan!B125:AF125,"U")+COUNTIF(Dienstplan!B125:AF125,"U    alt")</f>
        <v/>
      </c>
      <c r="I9" s="73">
        <f>COUNTIF(Dienstplan!B144:AF144,"U")+COUNTIF(Dienstplan!B144:AF144,"U    alt")</f>
        <v/>
      </c>
      <c r="J9" s="73">
        <f>COUNTIF(Dienstplan!B163:AE163,"U")+COUNTIF(Dienstplan!B163:AE163,"U    alt")</f>
        <v/>
      </c>
      <c r="K9" s="73">
        <f>COUNTIF(Dienstplan!B182:AF182,"U")+COUNTIF(Dienstplan!B182:AF182,"U    alt")</f>
        <v/>
      </c>
      <c r="L9" s="73">
        <f>COUNTIF(Dienstplan!B200:AE200,"U")+COUNTIF(Dienstplan!B200:AE200,"U    alt")</f>
        <v/>
      </c>
      <c r="M9" s="73">
        <f>COUNTIF(Dienstplan!B219:AF219,"U")+COUNTIF(Dienstplan!B219:AF219,"U    alt")</f>
        <v/>
      </c>
      <c r="N9" s="95">
        <f>SUM(B9:M9)</f>
        <v/>
      </c>
      <c r="O9" s="73" t="n">
        <v>30</v>
      </c>
      <c r="P9" s="74">
        <f>O9-N9</f>
        <v/>
      </c>
    </row>
    <row r="10" ht="18" customHeight="1">
      <c r="A10" s="16" t="inlineStr">
        <is>
          <t>Behrendt</t>
        </is>
      </c>
      <c r="B10" s="71">
        <f>COUNTIF(Dienstplan!B13:AF13,"U")+COUNTIF(Dienstplan!B13:AF13,"U    alt")</f>
        <v/>
      </c>
      <c r="C10" s="71">
        <f>COUNTIF(Dienstplan!B32:AC32,"U")+COUNTIF(Dienstplan!B32:AC32,"U    alt")</f>
        <v/>
      </c>
      <c r="D10" s="71">
        <f>COUNTIF(Dienstplan!B51:AF51,"U")+COUNTIF(Dienstplan!B51:AF51,"U    alt")</f>
        <v/>
      </c>
      <c r="E10" s="71">
        <f>COUNTIF(Dienstplan!B70:AE70,"U")+COUNTIF(Dienstplan!B70:AE70,"U    alt")</f>
        <v/>
      </c>
      <c r="F10" s="71">
        <f>COUNTIF(Dienstplan!B89:AF89,"U")+COUNTIF(Dienstplan!B89:AF89,"U    alt")</f>
        <v/>
      </c>
      <c r="G10" s="71">
        <f>COUNTIF(Dienstplan!B107:AE107,"U")+COUNTIF(Dienstplan!B107:AE107,"U    alt")</f>
        <v/>
      </c>
      <c r="H10" s="71">
        <f>COUNTIF(Dienstplan!B126:AF126,"U")+COUNTIF(Dienstplan!B126:AF126,"U    alt")</f>
        <v/>
      </c>
      <c r="I10" s="71">
        <f>COUNTIF(Dienstplan!B145:AF145,"U")+COUNTIF(Dienstplan!B145:AF145,"U    alt")</f>
        <v/>
      </c>
      <c r="J10" s="71">
        <f>COUNTIF(Dienstplan!B164:AE164,"U")+COUNTIF(Dienstplan!B164:AE164,"U    alt")</f>
        <v/>
      </c>
      <c r="K10" s="71">
        <f>COUNTIF(Dienstplan!B183:AF183,"U")+COUNTIF(Dienstplan!B183:AF183,"U    alt")</f>
        <v/>
      </c>
      <c r="L10" s="71">
        <f>COUNTIF(Dienstplan!B201:AE201,"U")+COUNTIF(Dienstplan!B201:AE201,"U    alt")</f>
        <v/>
      </c>
      <c r="M10" s="71">
        <f>COUNTIF(Dienstplan!B220:AF220,"U")+COUNTIF(Dienstplan!B220:AF220,"U    alt")</f>
        <v/>
      </c>
      <c r="N10" s="94">
        <f>SUM(B10:M10)</f>
        <v/>
      </c>
      <c r="O10" s="71" t="n">
        <v>30</v>
      </c>
      <c r="P10" s="72">
        <f>O10-N10</f>
        <v/>
      </c>
    </row>
    <row r="11" ht="18" customHeight="1">
      <c r="A11" s="16" t="inlineStr">
        <is>
          <t>Krempl</t>
        </is>
      </c>
      <c r="B11" s="73">
        <f>COUNTIF(Dienstplan!B14:AF14,"U")+COUNTIF(Dienstplan!B14:AF14,"U    alt")</f>
        <v/>
      </c>
      <c r="C11" s="73">
        <f>COUNTIF(Dienstplan!B33:AC33,"U")+COUNTIF(Dienstplan!B33:AC33,"U    alt")</f>
        <v/>
      </c>
      <c r="D11" s="73">
        <f>COUNTIF(Dienstplan!B52:AF52,"U")+COUNTIF(Dienstplan!B52:AF52,"U    alt")</f>
        <v/>
      </c>
      <c r="E11" s="73">
        <f>COUNTIF(Dienstplan!B71:AE71,"U")+COUNTIF(Dienstplan!B71:AE71,"U    alt")</f>
        <v/>
      </c>
      <c r="F11" s="73">
        <f>COUNTIF(Dienstplan!B90:AF90,"U")+COUNTIF(Dienstplan!B90:AF90,"U    alt")</f>
        <v/>
      </c>
      <c r="G11" s="73">
        <f>COUNTIF(Dienstplan!B108:AE108,"U")+COUNTIF(Dienstplan!B108:AE108,"U    alt")</f>
        <v/>
      </c>
      <c r="H11" s="73">
        <f>COUNTIF(Dienstplan!B127:AF127,"U")+COUNTIF(Dienstplan!B127:AF127,"U    alt")</f>
        <v/>
      </c>
      <c r="I11" s="73">
        <f>COUNTIF(Dienstplan!B146:AF146,"U")+COUNTIF(Dienstplan!B146:AF146,"U    alt")</f>
        <v/>
      </c>
      <c r="J11" s="73">
        <f>COUNTIF(Dienstplan!B165:AE165,"U")+COUNTIF(Dienstplan!B165:AE165,"U    alt")</f>
        <v/>
      </c>
      <c r="K11" s="73">
        <f>COUNTIF(Dienstplan!B184:AF184,"U")+COUNTIF(Dienstplan!B184:AF184,"U    alt")</f>
        <v/>
      </c>
      <c r="L11" s="73">
        <f>COUNTIF(Dienstplan!B202:AE202,"U")+COUNTIF(Dienstplan!B202:AE202,"U    alt")</f>
        <v/>
      </c>
      <c r="M11" s="73">
        <f>COUNTIF(Dienstplan!B221:AF221,"U")+COUNTIF(Dienstplan!B221:AF221,"U    alt")</f>
        <v/>
      </c>
      <c r="N11" s="95">
        <f>SUM(B11:M11)</f>
        <v/>
      </c>
      <c r="O11" s="73" t="n">
        <v>30</v>
      </c>
      <c r="P11" s="74">
        <f>O11-N11</f>
        <v/>
      </c>
    </row>
    <row r="12" ht="18" customHeight="1">
      <c r="A12" s="16" t="inlineStr">
        <is>
          <t>Putschler</t>
        </is>
      </c>
      <c r="B12" s="71">
        <f>COUNTIF(Dienstplan!B15:AF15,"U")+COUNTIF(Dienstplan!B15:AF15,"U    alt")</f>
        <v/>
      </c>
      <c r="C12" s="71">
        <f>COUNTIF(Dienstplan!B34:AC34,"U")+COUNTIF(Dienstplan!B34:AC34,"U    alt")</f>
        <v/>
      </c>
      <c r="D12" s="71">
        <f>COUNTIF(Dienstplan!B53:AF53,"U")+COUNTIF(Dienstplan!B53:AF53,"U    alt")</f>
        <v/>
      </c>
      <c r="E12" s="71">
        <f>COUNTIF(Dienstplan!B72:AE72,"U")+COUNTIF(Dienstplan!B72:AE72,"U    alt")</f>
        <v/>
      </c>
      <c r="F12" s="71">
        <f>COUNTIF(Dienstplan!B91:AF91,"U")+COUNTIF(Dienstplan!B91:AF91,"U    alt")</f>
        <v/>
      </c>
      <c r="G12" s="71">
        <f>COUNTIF(Dienstplan!B109:AE109,"U")+COUNTIF(Dienstplan!B109:AE109,"U    alt")</f>
        <v/>
      </c>
      <c r="H12" s="71">
        <f>COUNTIF(Dienstplan!B128:AF128,"U")+COUNTIF(Dienstplan!B128:AF128,"U    alt")</f>
        <v/>
      </c>
      <c r="I12" s="71">
        <f>COUNTIF(Dienstplan!B147:AF147,"U")+COUNTIF(Dienstplan!B147:AF147,"U    alt")</f>
        <v/>
      </c>
      <c r="J12" s="71">
        <f>COUNTIF(Dienstplan!B166:AE166,"U")+COUNTIF(Dienstplan!B166:AE166,"U    alt")</f>
        <v/>
      </c>
      <c r="K12" s="71">
        <f>COUNTIF(Dienstplan!B185:AF185,"U")+COUNTIF(Dienstplan!B185:AF185,"U    alt")</f>
        <v/>
      </c>
      <c r="L12" s="71">
        <f>COUNTIF(Dienstplan!B203:AE203,"U")+COUNTIF(Dienstplan!B203:AE203,"U    alt")</f>
        <v/>
      </c>
      <c r="M12" s="71">
        <f>COUNTIF(Dienstplan!B222:AF222,"U")+COUNTIF(Dienstplan!B222:AF222,"U    alt")</f>
        <v/>
      </c>
      <c r="N12" s="94">
        <f>SUM(B12:M12)</f>
        <v/>
      </c>
      <c r="O12" s="71" t="n">
        <v>30</v>
      </c>
      <c r="P12" s="72">
        <f>O12-N12</f>
        <v/>
      </c>
    </row>
    <row r="13" ht="18" customHeight="1">
      <c r="A13" s="16" t="inlineStr">
        <is>
          <t>Kunz</t>
        </is>
      </c>
      <c r="B13" s="73">
        <f>COUNTIF(Dienstplan!B16:AF16,"U")+COUNTIF(Dienstplan!B16:AF16,"U    alt")</f>
        <v/>
      </c>
      <c r="C13" s="73">
        <f>COUNTIF(Dienstplan!B35:AC35,"U")+COUNTIF(Dienstplan!B35:AC35,"U    alt")</f>
        <v/>
      </c>
      <c r="D13" s="73">
        <f>COUNTIF(Dienstplan!B54:AF54,"U")+COUNTIF(Dienstplan!B54:AF54,"U    alt")</f>
        <v/>
      </c>
      <c r="E13" s="73">
        <f>COUNTIF(Dienstplan!B73:AE73,"U")+COUNTIF(Dienstplan!B73:AE73,"U    alt")</f>
        <v/>
      </c>
      <c r="F13" s="73">
        <f>COUNTIF(Dienstplan!B92:AF92,"U")+COUNTIF(Dienstplan!B92:AF92,"U    alt")</f>
        <v/>
      </c>
      <c r="G13" s="73">
        <f>COUNTIF(Dienstplan!B110:AE110,"U")+COUNTIF(Dienstplan!B110:AE110,"U    alt")</f>
        <v/>
      </c>
      <c r="H13" s="73">
        <f>COUNTIF(Dienstplan!B129:AF129,"U")+COUNTIF(Dienstplan!B129:AF129,"U    alt")</f>
        <v/>
      </c>
      <c r="I13" s="73">
        <f>COUNTIF(Dienstplan!B148:AF148,"U")+COUNTIF(Dienstplan!B148:AF148,"U    alt")</f>
        <v/>
      </c>
      <c r="J13" s="73">
        <f>COUNTIF(Dienstplan!B167:AE167,"U")+COUNTIF(Dienstplan!B167:AE167,"U    alt")</f>
        <v/>
      </c>
      <c r="K13" s="73">
        <f>COUNTIF(Dienstplan!B186:AF186,"U")+COUNTIF(Dienstplan!B186:AF186,"U    alt")</f>
        <v/>
      </c>
      <c r="L13" s="73">
        <f>COUNTIF(Dienstplan!B204:AE204,"U")+COUNTIF(Dienstplan!B204:AE204,"U    alt")</f>
        <v/>
      </c>
      <c r="M13" s="73">
        <f>COUNTIF(Dienstplan!B223:AF223,"U")+COUNTIF(Dienstplan!B223:AF223,"U    alt")</f>
        <v/>
      </c>
      <c r="N13" s="95">
        <f>SUM(B13:M13)</f>
        <v/>
      </c>
      <c r="O13" s="73" t="n">
        <v>30</v>
      </c>
      <c r="P13" s="74">
        <f>O13-N13</f>
        <v/>
      </c>
    </row>
    <row r="14" ht="18" customHeight="1">
      <c r="A14" s="16" t="inlineStr">
        <is>
          <t>Schmidt</t>
        </is>
      </c>
      <c r="B14" s="71">
        <f>COUNTIF(Dienstplan!B17:AF17,"U")+COUNTIF(Dienstplan!B17:AF17,"U    alt")</f>
        <v/>
      </c>
      <c r="C14" s="71">
        <f>COUNTIF(Dienstplan!B36:AC36,"U")+COUNTIF(Dienstplan!B36:AC36,"U    alt")</f>
        <v/>
      </c>
      <c r="D14" s="71">
        <f>COUNTIF(Dienstplan!B55:AF55,"U")+COUNTIF(Dienstplan!B55:AF55,"U    alt")</f>
        <v/>
      </c>
      <c r="E14" s="71">
        <f>COUNTIF(Dienstplan!B74:AE74,"U")+COUNTIF(Dienstplan!B74:AE74,"U    alt")</f>
        <v/>
      </c>
      <c r="F14" s="71">
        <f>COUNTIF(Dienstplan!B93:AF93,"U")+COUNTIF(Dienstplan!B93:AF93,"U    alt")</f>
        <v/>
      </c>
      <c r="G14" s="71">
        <f>COUNTIF(Dienstplan!B111:AE111,"U")+COUNTIF(Dienstplan!B111:AE111,"U    alt")</f>
        <v/>
      </c>
      <c r="H14" s="71">
        <f>COUNTIF(Dienstplan!B130:AF130,"U")+COUNTIF(Dienstplan!B130:AF130,"U    alt")</f>
        <v/>
      </c>
      <c r="I14" s="71">
        <f>COUNTIF(Dienstplan!B149:AF149,"U")+COUNTIF(Dienstplan!B149:AF149,"U    alt")</f>
        <v/>
      </c>
      <c r="J14" s="71">
        <f>COUNTIF(Dienstplan!B168:AE168,"U")+COUNTIF(Dienstplan!B168:AE168,"U    alt")</f>
        <v/>
      </c>
      <c r="K14" s="71">
        <f>COUNTIF(Dienstplan!B187:AF187,"U")+COUNTIF(Dienstplan!B187:AF187,"U    alt")</f>
        <v/>
      </c>
      <c r="L14" s="71">
        <f>COUNTIF(Dienstplan!B205:AE205,"U")+COUNTIF(Dienstplan!B205:AE205,"U    alt")</f>
        <v/>
      </c>
      <c r="M14" s="71">
        <f>COUNTIF(Dienstplan!B224:AF224,"U")+COUNTIF(Dienstplan!B224:AF224,"U    alt")</f>
        <v/>
      </c>
      <c r="N14" s="94">
        <f>SUM(B14:M14)</f>
        <v/>
      </c>
      <c r="O14" s="71" t="n">
        <v>30</v>
      </c>
      <c r="P14" s="72">
        <f>O14-N14</f>
        <v/>
      </c>
    </row>
    <row r="15" ht="18" customHeight="1">
      <c r="A15" s="16" t="inlineStr">
        <is>
          <t>Radimersky</t>
        </is>
      </c>
      <c r="B15" s="73">
        <f>COUNTIF(Dienstplan!B18:AF18,"U")+COUNTIF(Dienstplan!B18:AF18,"U    alt")</f>
        <v/>
      </c>
      <c r="C15" s="73">
        <f>COUNTIF(Dienstplan!B37:AC37,"U")+COUNTIF(Dienstplan!B37:AC37,"U    alt")</f>
        <v/>
      </c>
      <c r="D15" s="73">
        <f>COUNTIF(Dienstplan!B56:AF56,"U")+COUNTIF(Dienstplan!B56:AF56,"U    alt")</f>
        <v/>
      </c>
      <c r="E15" s="73">
        <f>COUNTIF(Dienstplan!B75:AE75,"U")+COUNTIF(Dienstplan!B75:AE75,"U    alt")</f>
        <v/>
      </c>
      <c r="F15" s="73">
        <f>COUNTIF(Dienstplan!B94:AF94,"U")+COUNTIF(Dienstplan!B94:AF94,"U    alt")</f>
        <v/>
      </c>
      <c r="G15" s="73">
        <f>COUNTIF(Dienstplan!B112:AE112,"U")+COUNTIF(Dienstplan!B112:AE112,"U    alt")</f>
        <v/>
      </c>
      <c r="H15" s="73">
        <f>COUNTIF(Dienstplan!B131:AF131,"U")+COUNTIF(Dienstplan!B131:AF131,"U    alt")</f>
        <v/>
      </c>
      <c r="I15" s="73">
        <f>COUNTIF(Dienstplan!B150:AF150,"U")+COUNTIF(Dienstplan!B150:AF150,"U    alt")</f>
        <v/>
      </c>
      <c r="J15" s="73">
        <f>COUNTIF(Dienstplan!B169:AE169,"U")+COUNTIF(Dienstplan!B169:AE169,"U    alt")</f>
        <v/>
      </c>
      <c r="K15" s="73">
        <f>COUNTIF(Dienstplan!B188:AF188,"U")+COUNTIF(Dienstplan!B188:AF188,"U    alt")</f>
        <v/>
      </c>
      <c r="L15" s="73">
        <f>COUNTIF(Dienstplan!B206:AE206,"U")+COUNTIF(Dienstplan!B206:AE206,"U    alt")</f>
        <v/>
      </c>
      <c r="M15" s="73">
        <f>COUNTIF(Dienstplan!B225:AF225,"U")+COUNTIF(Dienstplan!B225:AF225,"U    alt")</f>
        <v/>
      </c>
      <c r="N15" s="95">
        <f>SUM(B15:M15)</f>
        <v/>
      </c>
      <c r="O15" s="73" t="n">
        <v>30</v>
      </c>
      <c r="P15" s="74">
        <f>O15-N15</f>
        <v/>
      </c>
    </row>
    <row r="16" ht="18" customHeight="1">
      <c r="A16" s="75" t="inlineStr">
        <is>
          <t>Summe</t>
        </is>
      </c>
      <c r="B16" s="76">
        <f>SUM(B4:B15)</f>
        <v/>
      </c>
      <c r="C16" s="76">
        <f>SUM(C4:C15)</f>
        <v/>
      </c>
      <c r="D16" s="76">
        <f>SUM(D4:D15)</f>
        <v/>
      </c>
      <c r="E16" s="76">
        <f>SUM(E4:E15)</f>
        <v/>
      </c>
      <c r="F16" s="76">
        <f>SUM(F4:F15)</f>
        <v/>
      </c>
      <c r="G16" s="76">
        <f>SUM(G4:G15)</f>
        <v/>
      </c>
      <c r="H16" s="76">
        <f>SUM(H4:H15)</f>
        <v/>
      </c>
      <c r="I16" s="76">
        <f>SUM(I4:I15)</f>
        <v/>
      </c>
      <c r="J16" s="76">
        <f>SUM(J4:J15)</f>
        <v/>
      </c>
      <c r="K16" s="76">
        <f>SUM(K4:K15)</f>
        <v/>
      </c>
      <c r="L16" s="76">
        <f>SUM(L4:L15)</f>
        <v/>
      </c>
      <c r="M16" s="76">
        <f>SUM(M4:M15)</f>
        <v/>
      </c>
      <c r="N16" s="76">
        <f>SUM(N4:N15)</f>
        <v/>
      </c>
      <c r="O16" s="96" t="n"/>
      <c r="P16" s="97" t="n"/>
    </row>
    <row r="18">
      <c r="A18" s="98" t="inlineStr">
        <is>
          <t>Anspruch: 30 Tage/Jahr (anpassbar in Spalte O)</t>
        </is>
      </c>
    </row>
  </sheetData>
  <conditionalFormatting sqref="P4:P15">
    <cfRule type="cellIs" priority="1" operator="lessThan" dxfId="8" stopIfTrue="1">
      <formula>0</formula>
    </cfRule>
    <cfRule type="cellIs" priority="2" operator="lessThanOrEqual" dxfId="9" stopIfTrue="1">
      <formula>5</formula>
    </cfRule>
    <cfRule type="cellIs" priority="3" operator="greaterThan" dxfId="10" stopIfTrue="1">
      <formula>5</formula>
    </cfRule>
  </conditionalFormatting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2026-02-24T20:24:21Z</dcterms:created>
  <dcterms:modified xsi:type="dcterms:W3CDTF">2026-02-24T20:24:22Z</dcterms:modified>
</cp:coreProperties>
</file>