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showObjects="placeholders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001_Ambulanz + MTD\Dienstplanthemen\"/>
    </mc:Choice>
  </mc:AlternateContent>
  <xr:revisionPtr revIDLastSave="0" documentId="13_ncr:1_{C1442E02-415A-4BA7-9AB7-E6F497837B38}" xr6:coauthVersionLast="47" xr6:coauthVersionMax="47" xr10:uidLastSave="{00000000-0000-0000-0000-000000000000}"/>
  <workbookProtection workbookAlgorithmName="SHA-512" workbookHashValue="vFmEwwYtfmBTx+wZJFN2Uo4XblyK2YKFZZ8aaLEL1ilMfLx8obSsr0OG3+NTMUL+9WLLg19YMnDHmCas9MD60A==" workbookSaltValue="2dJ7si3rkuLEatcrQnaORA==" workbookSpinCount="100000" lockStructure="1"/>
  <bookViews>
    <workbookView xWindow="-108" yWindow="-108" windowWidth="30936" windowHeight="16776" xr2:uid="{00000000-000D-0000-FFFF-FFFF00000000}"/>
  </bookViews>
  <sheets>
    <sheet name="Dienstplan" sheetId="1" r:id="rId1"/>
    <sheet name="Jahr" sheetId="3" r:id="rId2"/>
    <sheet name="Monat" sheetId="2" r:id="rId3"/>
  </sheets>
  <definedNames>
    <definedName name="Brue_H">Monat!$Z$4</definedName>
    <definedName name="_xlnm.Print_Area" localSheetId="0">Dienstplan!$CO$6:$DS$19</definedName>
    <definedName name="_xlnm.Print_Area" localSheetId="1">Jahr!$B$1:$S$16</definedName>
    <definedName name="_xlnm.Print_Area" localSheetId="2">Monat!$B$1:$W$193,Monat!$Y$2:$AC$28</definedName>
    <definedName name="_xlnm.Print_Titles" localSheetId="0">Dienstplan!$B:$B</definedName>
    <definedName name="EH_Kurs">Monat!$AC$12</definedName>
    <definedName name="Fort_b">Monat!$AC$15</definedName>
    <definedName name="Fortenb">Monat!$Z$13</definedName>
    <definedName name="Frueh_1">Monat!$AC$3</definedName>
    <definedName name="FZC_1">Monat!$AC$18</definedName>
    <definedName name="Gleit_Tag">Monat!$AC$10</definedName>
    <definedName name="Koor_taet">Monat!$AC$13</definedName>
    <definedName name="Krem_E">Monat!$Z$10</definedName>
    <definedName name="Krie_B">Monat!$Z$7</definedName>
    <definedName name="Muster">Monat!$Z$8</definedName>
    <definedName name="Nacht_1">Monat!$AC$5</definedName>
    <definedName name="Normal_1">Monat!$AC$6</definedName>
    <definedName name="NST_1">Monat!$AC$19</definedName>
    <definedName name="Put_W">Monat!$Z$11</definedName>
    <definedName name="Radi_L">Monat!$Z$12</definedName>
    <definedName name="Rath_M">Monat!$Z$5</definedName>
    <definedName name="Scho_K">Monat!$Z$6</definedName>
    <definedName name="Sekre_1">Monat!$AC$14</definedName>
    <definedName name="Sonderd_1">Monat!$AC$9</definedName>
    <definedName name="Spaet_1">Monat!$AC$4</definedName>
    <definedName name="Unt_I">Monat!$AC$7</definedName>
    <definedName name="Unt_II">Monat!$AC$8</definedName>
    <definedName name="Urlaub_1">Monat!$AC$11</definedName>
    <definedName name="Velt_M">Monat!$Z$3</definedName>
    <definedName name="Velten">Monat!$Z$3</definedName>
    <definedName name="Velten_M">Monat!$Z$3</definedName>
    <definedName name="Wuert_A">Monat!$Z$8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1" i="2" l="1"/>
  <c r="AD13" i="2"/>
  <c r="B10" i="3"/>
  <c r="T186" i="2"/>
  <c r="T170" i="2"/>
  <c r="T154" i="2"/>
  <c r="T138" i="2"/>
  <c r="T122" i="2"/>
  <c r="T106" i="2"/>
  <c r="T90" i="2"/>
  <c r="T74" i="2"/>
  <c r="T58" i="2"/>
  <c r="T42" i="2"/>
  <c r="T26" i="2"/>
  <c r="T10" i="2"/>
  <c r="B10" i="2"/>
  <c r="Y9" i="2" s="1"/>
  <c r="J186" i="2" s="1"/>
  <c r="B14" i="3"/>
  <c r="B13" i="3"/>
  <c r="B14" i="2"/>
  <c r="B174" i="2" s="1"/>
  <c r="B13" i="2"/>
  <c r="Y12" i="2" s="1"/>
  <c r="P13" i="2" s="1"/>
  <c r="B5" i="2"/>
  <c r="B165" i="2" s="1"/>
  <c r="B6" i="2"/>
  <c r="B166" i="2" s="1"/>
  <c r="B7" i="2"/>
  <c r="B183" i="2" s="1"/>
  <c r="B8" i="2"/>
  <c r="B184" i="2" s="1"/>
  <c r="B9" i="2"/>
  <c r="B137" i="2" s="1"/>
  <c r="B11" i="2"/>
  <c r="B139" i="2" s="1"/>
  <c r="B12" i="2"/>
  <c r="Y11" i="2" s="1"/>
  <c r="P12" i="2" s="1"/>
  <c r="B4" i="2"/>
  <c r="Y3" i="2" s="1"/>
  <c r="B5" i="3"/>
  <c r="B6" i="3"/>
  <c r="B7" i="3"/>
  <c r="B8" i="3"/>
  <c r="B9" i="3"/>
  <c r="B11" i="3"/>
  <c r="B12" i="3"/>
  <c r="B4" i="3"/>
  <c r="D42" i="2" l="1" a="1"/>
  <c r="D42" i="2" s="1"/>
  <c r="C42" i="2" s="1" a="1"/>
  <c r="C42" i="2" s="1"/>
  <c r="Q26" i="2" a="1"/>
  <c r="Q26" i="2" s="1"/>
  <c r="K26" i="2" s="1" a="1"/>
  <c r="K26" i="2" s="1"/>
  <c r="F42" i="2" a="1"/>
  <c r="F42" i="2" s="1"/>
  <c r="R26" i="2" a="1"/>
  <c r="R26" i="2" s="1"/>
  <c r="B26" i="2"/>
  <c r="M26" i="2" a="1"/>
  <c r="M26" i="2" s="1"/>
  <c r="B58" i="2"/>
  <c r="J26" i="2" a="1"/>
  <c r="J26" i="2" s="1"/>
  <c r="B74" i="2"/>
  <c r="I26" i="2" a="1"/>
  <c r="I26" i="2" s="1"/>
  <c r="B106" i="2"/>
  <c r="F26" i="2" a="1"/>
  <c r="F26" i="2" s="1"/>
  <c r="B154" i="2"/>
  <c r="P42" i="2"/>
  <c r="B186" i="2"/>
  <c r="N42" i="2"/>
  <c r="B138" i="2"/>
  <c r="N26" i="2" a="1"/>
  <c r="N26" i="2" s="1"/>
  <c r="D26" i="2" a="1"/>
  <c r="D26" i="2" s="1"/>
  <c r="C26" i="2" s="1" a="1"/>
  <c r="C26" i="2" s="1"/>
  <c r="L42" i="2"/>
  <c r="R58" i="2"/>
  <c r="I58" i="2"/>
  <c r="P74" i="2"/>
  <c r="F74" i="2"/>
  <c r="M90" i="2"/>
  <c r="S106" i="2"/>
  <c r="J106" i="2"/>
  <c r="Q122" i="2"/>
  <c r="K122" i="2" s="1"/>
  <c r="H122" i="2"/>
  <c r="G122" i="2" s="1"/>
  <c r="O138" i="2"/>
  <c r="E138" i="2"/>
  <c r="M154" i="2"/>
  <c r="L170" i="2"/>
  <c r="R186" i="2"/>
  <c r="I186" i="2"/>
  <c r="S42" i="2"/>
  <c r="J42" i="2"/>
  <c r="Q58" i="2"/>
  <c r="K58" i="2" s="1"/>
  <c r="H58" i="2"/>
  <c r="G58" i="2" s="1"/>
  <c r="O74" i="2"/>
  <c r="E74" i="2"/>
  <c r="L90" i="2"/>
  <c r="R106" i="2"/>
  <c r="I106" i="2"/>
  <c r="P122" i="2"/>
  <c r="F122" i="2"/>
  <c r="N138" i="2"/>
  <c r="D138" i="2"/>
  <c r="C138" i="2" s="1"/>
  <c r="L154" i="2"/>
  <c r="S170" i="2"/>
  <c r="J170" i="2"/>
  <c r="Q186" i="2"/>
  <c r="K186" i="2" s="1"/>
  <c r="H186" i="2"/>
  <c r="G186" i="2" s="1"/>
  <c r="B42" i="2"/>
  <c r="B170" i="2"/>
  <c r="S26" i="2" a="1"/>
  <c r="S26" i="2" s="1"/>
  <c r="L26" i="2" a="1"/>
  <c r="L26" i="2" s="1"/>
  <c r="R42" i="2"/>
  <c r="I42" i="2"/>
  <c r="P58" i="2"/>
  <c r="F58" i="2"/>
  <c r="N74" i="2"/>
  <c r="D74" i="2"/>
  <c r="C74" i="2" s="1"/>
  <c r="S90" i="2"/>
  <c r="J90" i="2"/>
  <c r="Q106" i="2"/>
  <c r="K106" i="2" s="1"/>
  <c r="H106" i="2"/>
  <c r="G106" i="2" s="1"/>
  <c r="O122" i="2"/>
  <c r="E122" i="2"/>
  <c r="M138" i="2"/>
  <c r="S154" i="2"/>
  <c r="J154" i="2"/>
  <c r="R170" i="2"/>
  <c r="I170" i="2"/>
  <c r="P186" i="2"/>
  <c r="F186" i="2"/>
  <c r="Q42" i="2"/>
  <c r="K42" i="2" s="1"/>
  <c r="H42" i="2"/>
  <c r="G42" i="2" s="1"/>
  <c r="O58" i="2"/>
  <c r="E58" i="2"/>
  <c r="M74" i="2"/>
  <c r="R90" i="2"/>
  <c r="I90" i="2"/>
  <c r="P106" i="2"/>
  <c r="F106" i="2"/>
  <c r="N122" i="2"/>
  <c r="D122" i="2"/>
  <c r="C122" i="2" s="1"/>
  <c r="L138" i="2"/>
  <c r="R154" i="2"/>
  <c r="I154" i="2"/>
  <c r="Q170" i="2"/>
  <c r="K170" i="2" s="1"/>
  <c r="H170" i="2"/>
  <c r="G170" i="2" s="1"/>
  <c r="O186" i="2"/>
  <c r="E186" i="2"/>
  <c r="N58" i="2"/>
  <c r="D58" i="2"/>
  <c r="C58" i="2" s="1"/>
  <c r="L74" i="2"/>
  <c r="Q90" i="2"/>
  <c r="K90" i="2" s="1"/>
  <c r="H90" i="2"/>
  <c r="G90" i="2" s="1"/>
  <c r="O106" i="2"/>
  <c r="E106" i="2"/>
  <c r="M122" i="2"/>
  <c r="S138" i="2"/>
  <c r="J138" i="2"/>
  <c r="Q154" i="2"/>
  <c r="K154" i="2" s="1"/>
  <c r="H154" i="2"/>
  <c r="G154" i="2" s="1"/>
  <c r="P170" i="2"/>
  <c r="F170" i="2"/>
  <c r="N186" i="2"/>
  <c r="D186" i="2"/>
  <c r="C186" i="2" s="1"/>
  <c r="B90" i="2"/>
  <c r="P26" i="2" a="1"/>
  <c r="P26" i="2" s="1"/>
  <c r="H26" i="2" a="1"/>
  <c r="H26" i="2" s="1"/>
  <c r="G26" i="2" s="1" a="1"/>
  <c r="G26" i="2" s="1"/>
  <c r="O42" i="2"/>
  <c r="E42" i="2" a="1"/>
  <c r="E42" i="2" s="1"/>
  <c r="M58" i="2"/>
  <c r="S74" i="2"/>
  <c r="J74" i="2"/>
  <c r="P90" i="2"/>
  <c r="F90" i="2"/>
  <c r="N106" i="2"/>
  <c r="D106" i="2"/>
  <c r="C106" i="2" s="1"/>
  <c r="L122" i="2"/>
  <c r="R138" i="2"/>
  <c r="I138" i="2"/>
  <c r="P154" i="2"/>
  <c r="F154" i="2"/>
  <c r="O170" i="2"/>
  <c r="E170" i="2"/>
  <c r="M186" i="2"/>
  <c r="L58" i="2"/>
  <c r="R74" i="2"/>
  <c r="I74" i="2"/>
  <c r="O90" i="2"/>
  <c r="E90" i="2"/>
  <c r="M106" i="2"/>
  <c r="S122" i="2"/>
  <c r="J122" i="2"/>
  <c r="Q138" i="2"/>
  <c r="K138" i="2" s="1"/>
  <c r="H138" i="2"/>
  <c r="G138" i="2" s="1"/>
  <c r="O154" i="2"/>
  <c r="E154" i="2"/>
  <c r="N170" i="2"/>
  <c r="D170" i="2"/>
  <c r="C170" i="2" s="1"/>
  <c r="L186" i="2"/>
  <c r="B122" i="2"/>
  <c r="O26" i="2" a="1"/>
  <c r="O26" i="2" s="1"/>
  <c r="E26" i="2" a="1"/>
  <c r="E26" i="2" s="1"/>
  <c r="M42" i="2"/>
  <c r="S58" i="2"/>
  <c r="J58" i="2"/>
  <c r="Q74" i="2"/>
  <c r="K74" i="2" s="1"/>
  <c r="H74" i="2"/>
  <c r="G74" i="2" s="1"/>
  <c r="N90" i="2"/>
  <c r="D90" i="2"/>
  <c r="C90" i="2" s="1"/>
  <c r="L106" i="2"/>
  <c r="R122" i="2"/>
  <c r="I122" i="2"/>
  <c r="P138" i="2"/>
  <c r="F138" i="2"/>
  <c r="N154" i="2"/>
  <c r="D154" i="2"/>
  <c r="C154" i="2" s="1"/>
  <c r="M170" i="2"/>
  <c r="S186" i="2"/>
  <c r="F10" i="2" a="1"/>
  <c r="F10" i="2" s="1"/>
  <c r="S10" i="2" a="1"/>
  <c r="S10" i="2" s="1"/>
  <c r="E10" i="2" a="1"/>
  <c r="E10" i="2" s="1"/>
  <c r="R10" i="2" a="1"/>
  <c r="R10" i="2" s="1"/>
  <c r="D10" i="2" a="1"/>
  <c r="D10" i="2" s="1"/>
  <c r="C10" i="2" s="1" a="1"/>
  <c r="C10" i="2" s="1"/>
  <c r="Q10" i="2" a="1"/>
  <c r="Q10" i="2" s="1"/>
  <c r="K10" i="2" s="1" a="1"/>
  <c r="K10" i="2" s="1"/>
  <c r="O10" i="2" a="1"/>
  <c r="O10" i="2" s="1"/>
  <c r="N10" i="2" a="1"/>
  <c r="N10" i="2" s="1"/>
  <c r="M10" i="2" a="1"/>
  <c r="M10" i="2" s="1"/>
  <c r="J10" i="2" a="1"/>
  <c r="J10" i="2" s="1"/>
  <c r="H10" i="2" a="1"/>
  <c r="H10" i="2" s="1"/>
  <c r="G10" i="2" s="1" a="1"/>
  <c r="G10" i="2" s="1"/>
  <c r="L10" i="2" a="1"/>
  <c r="L10" i="2" s="1"/>
  <c r="I10" i="2" a="1"/>
  <c r="I10" i="2" s="1"/>
  <c r="P10" i="2" a="1"/>
  <c r="P10" i="2" s="1"/>
  <c r="R4" i="2"/>
  <c r="F4" i="2"/>
  <c r="B27" i="2"/>
  <c r="B45" i="2"/>
  <c r="B36" i="2"/>
  <c r="B54" i="2"/>
  <c r="B72" i="2"/>
  <c r="B91" i="2"/>
  <c r="B109" i="2"/>
  <c r="B100" i="2"/>
  <c r="B118" i="2"/>
  <c r="B136" i="2"/>
  <c r="B155" i="2"/>
  <c r="B173" i="2"/>
  <c r="B164" i="2"/>
  <c r="B182" i="2"/>
  <c r="Y10" i="2"/>
  <c r="B25" i="2"/>
  <c r="B44" i="2"/>
  <c r="B62" i="2"/>
  <c r="B53" i="2"/>
  <c r="B71" i="2"/>
  <c r="B89" i="2"/>
  <c r="B108" i="2"/>
  <c r="B126" i="2"/>
  <c r="B117" i="2"/>
  <c r="B135" i="2"/>
  <c r="B153" i="2"/>
  <c r="B172" i="2"/>
  <c r="B190" i="2"/>
  <c r="B181" i="2"/>
  <c r="Y8" i="2"/>
  <c r="B24" i="2"/>
  <c r="B43" i="2"/>
  <c r="B61" i="2"/>
  <c r="B52" i="2"/>
  <c r="B70" i="2"/>
  <c r="B88" i="2"/>
  <c r="B107" i="2"/>
  <c r="B125" i="2"/>
  <c r="B116" i="2"/>
  <c r="B134" i="2"/>
  <c r="B152" i="2"/>
  <c r="B171" i="2"/>
  <c r="B189" i="2"/>
  <c r="B180" i="2"/>
  <c r="Y7" i="2"/>
  <c r="P8" i="2" s="1"/>
  <c r="B23" i="2"/>
  <c r="B41" i="2"/>
  <c r="B60" i="2"/>
  <c r="B78" i="2"/>
  <c r="B69" i="2"/>
  <c r="B87" i="2"/>
  <c r="B105" i="2"/>
  <c r="B124" i="2"/>
  <c r="B142" i="2"/>
  <c r="B133" i="2"/>
  <c r="B151" i="2"/>
  <c r="B169" i="2"/>
  <c r="B188" i="2"/>
  <c r="Y6" i="2"/>
  <c r="P7" i="2" s="1"/>
  <c r="B22" i="2"/>
  <c r="B40" i="2"/>
  <c r="B59" i="2"/>
  <c r="B77" i="2"/>
  <c r="B68" i="2"/>
  <c r="B86" i="2"/>
  <c r="B104" i="2"/>
  <c r="B123" i="2"/>
  <c r="B141" i="2"/>
  <c r="B132" i="2"/>
  <c r="B150" i="2"/>
  <c r="B168" i="2"/>
  <c r="B187" i="2"/>
  <c r="Y5" i="2"/>
  <c r="P6" i="2" s="1"/>
  <c r="B30" i="2"/>
  <c r="B21" i="2"/>
  <c r="B39" i="2"/>
  <c r="B57" i="2"/>
  <c r="B76" i="2"/>
  <c r="B94" i="2"/>
  <c r="B85" i="2"/>
  <c r="B103" i="2"/>
  <c r="B121" i="2"/>
  <c r="B140" i="2"/>
  <c r="B158" i="2"/>
  <c r="B149" i="2"/>
  <c r="B167" i="2"/>
  <c r="B185" i="2"/>
  <c r="Y13" i="2"/>
  <c r="P14" i="2" s="1"/>
  <c r="Y4" i="2"/>
  <c r="B29" i="2"/>
  <c r="B20" i="2"/>
  <c r="B38" i="2"/>
  <c r="B56" i="2"/>
  <c r="B75" i="2"/>
  <c r="B93" i="2"/>
  <c r="B84" i="2"/>
  <c r="B102" i="2"/>
  <c r="B120" i="2"/>
  <c r="B157" i="2"/>
  <c r="B148" i="2"/>
  <c r="B28" i="2"/>
  <c r="B46" i="2"/>
  <c r="B37" i="2"/>
  <c r="B55" i="2"/>
  <c r="B73" i="2"/>
  <c r="B92" i="2"/>
  <c r="B110" i="2"/>
  <c r="B101" i="2"/>
  <c r="B119" i="2"/>
  <c r="B156" i="2"/>
  <c r="S37" i="1"/>
  <c r="U90" i="2" l="1"/>
  <c r="V90" i="2" s="1"/>
  <c r="U42" i="2"/>
  <c r="V42" i="2" s="1"/>
  <c r="U170" i="2"/>
  <c r="V170" i="2" s="1"/>
  <c r="U186" i="2"/>
  <c r="V186" i="2" s="1"/>
  <c r="U106" i="2"/>
  <c r="V106" i="2" s="1"/>
  <c r="E10" i="3"/>
  <c r="G10" i="3"/>
  <c r="U154" i="2"/>
  <c r="V154" i="2" s="1"/>
  <c r="J10" i="3"/>
  <c r="S10" i="3"/>
  <c r="O10" i="3"/>
  <c r="D10" i="3"/>
  <c r="P10" i="3"/>
  <c r="K10" i="3"/>
  <c r="Q10" i="3"/>
  <c r="U122" i="2"/>
  <c r="V122" i="2" s="1"/>
  <c r="L10" i="3"/>
  <c r="R10" i="3"/>
  <c r="M10" i="3"/>
  <c r="F10" i="3"/>
  <c r="N10" i="3"/>
  <c r="I10" i="3"/>
  <c r="H10" i="3"/>
  <c r="U74" i="2"/>
  <c r="V74" i="2" s="1"/>
  <c r="U26" i="2"/>
  <c r="V26" i="2" s="1"/>
  <c r="P9" i="2"/>
  <c r="F89" i="2"/>
  <c r="O89" i="2"/>
  <c r="Q25" i="2" a="1"/>
  <c r="Q25" i="2" s="1"/>
  <c r="K25" i="2" s="1" a="1"/>
  <c r="K25" i="2" s="1"/>
  <c r="H25" i="2" a="1"/>
  <c r="H25" i="2" s="1"/>
  <c r="G25" i="2" s="1" a="1"/>
  <c r="G25" i="2" s="1"/>
  <c r="N25" i="2" a="1"/>
  <c r="N25" i="2" s="1"/>
  <c r="D25" i="2" a="1"/>
  <c r="D25" i="2" s="1"/>
  <c r="C25" i="2" s="1" a="1"/>
  <c r="C25" i="2" s="1"/>
  <c r="P89" i="2"/>
  <c r="H89" i="2"/>
  <c r="G89" i="2" s="1"/>
  <c r="Q89" i="2"/>
  <c r="K89" i="2" s="1"/>
  <c r="O25" i="2" a="1"/>
  <c r="O25" i="2" s="1"/>
  <c r="E25" i="2" a="1"/>
  <c r="E25" i="2" s="1"/>
  <c r="M25" i="2" a="1"/>
  <c r="M25" i="2" s="1"/>
  <c r="I89" i="2"/>
  <c r="R89" i="2"/>
  <c r="J89" i="2"/>
  <c r="S89" i="2"/>
  <c r="L89" i="2"/>
  <c r="L25" i="2" a="1"/>
  <c r="L25" i="2" s="1"/>
  <c r="S25" i="2" a="1"/>
  <c r="S25" i="2" s="1"/>
  <c r="J25" i="2" a="1"/>
  <c r="J25" i="2" s="1"/>
  <c r="P25" i="2" a="1"/>
  <c r="P25" i="2" s="1"/>
  <c r="F25" i="2" a="1"/>
  <c r="F25" i="2" s="1"/>
  <c r="D89" i="2"/>
  <c r="M89" i="2"/>
  <c r="E89" i="2"/>
  <c r="N89" i="2"/>
  <c r="R25" i="2" a="1"/>
  <c r="R25" i="2" s="1"/>
  <c r="I25" i="2" a="1"/>
  <c r="I25" i="2" s="1"/>
  <c r="C10" i="3"/>
  <c r="U58" i="2"/>
  <c r="V58" i="2" s="1"/>
  <c r="U138" i="2"/>
  <c r="V138" i="2" s="1"/>
  <c r="P11" i="2"/>
  <c r="P5" i="2"/>
  <c r="D5" i="2"/>
  <c r="C5" i="2" s="1"/>
  <c r="S20" i="1"/>
  <c r="AU20" i="1"/>
  <c r="CB20" i="1"/>
  <c r="U10" i="2" l="1"/>
  <c r="V10" i="2" s="1"/>
  <c r="W10" i="2" s="1"/>
  <c r="W26" i="2" s="1"/>
  <c r="W42" i="2" s="1"/>
  <c r="W58" i="2" s="1"/>
  <c r="W74" i="2" s="1"/>
  <c r="W90" i="2" s="1"/>
  <c r="W106" i="2" s="1"/>
  <c r="W122" i="2" s="1"/>
  <c r="W138" i="2" s="1"/>
  <c r="W154" i="2" s="1"/>
  <c r="W170" i="2" s="1"/>
  <c r="W186" i="2" s="1"/>
  <c r="P164" i="2"/>
  <c r="BX3" i="1" l="1"/>
  <c r="S4" i="2" l="1"/>
  <c r="T4" i="2"/>
  <c r="T25" i="2" l="1"/>
  <c r="H23" i="2"/>
  <c r="G23" i="2" s="1"/>
  <c r="T37" i="2" l="1"/>
  <c r="T36" i="2"/>
  <c r="M22" i="2" l="1"/>
  <c r="U15" i="2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C3" i="2" l="1"/>
  <c r="C19" i="2"/>
  <c r="N24" i="2"/>
  <c r="H12" i="2"/>
  <c r="G12" i="2" s="1"/>
  <c r="H14" i="2"/>
  <c r="G14" i="2" s="1"/>
  <c r="I14" i="2"/>
  <c r="D179" i="2" l="1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C179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C163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C147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C131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C115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C99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C83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C67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C51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C35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G3" i="2"/>
  <c r="H3" i="2"/>
  <c r="I3" i="2"/>
  <c r="J3" i="2"/>
  <c r="K3" i="2"/>
  <c r="L3" i="2"/>
  <c r="M3" i="2"/>
  <c r="N3" i="2"/>
  <c r="O3" i="2"/>
  <c r="P3" i="2"/>
  <c r="Q3" i="2"/>
  <c r="R3" i="2"/>
  <c r="S3" i="2"/>
  <c r="F3" i="2"/>
  <c r="E3" i="2"/>
  <c r="D3" i="2"/>
  <c r="I12" i="2"/>
  <c r="AD14" i="2"/>
  <c r="AD15" i="2"/>
  <c r="H181" i="2"/>
  <c r="G181" i="2" s="1"/>
  <c r="H182" i="2"/>
  <c r="G182" i="2" s="1"/>
  <c r="H183" i="2"/>
  <c r="G183" i="2" s="1"/>
  <c r="H184" i="2"/>
  <c r="G184" i="2" s="1"/>
  <c r="H185" i="2"/>
  <c r="G185" i="2" s="1"/>
  <c r="H187" i="2"/>
  <c r="G187" i="2" s="1"/>
  <c r="H188" i="2"/>
  <c r="G188" i="2" s="1"/>
  <c r="H189" i="2"/>
  <c r="G189" i="2" s="1"/>
  <c r="H190" i="2"/>
  <c r="G190" i="2" s="1"/>
  <c r="H180" i="2"/>
  <c r="G180" i="2" s="1"/>
  <c r="H165" i="2"/>
  <c r="G165" i="2" s="1"/>
  <c r="H166" i="2"/>
  <c r="G166" i="2" s="1"/>
  <c r="H167" i="2"/>
  <c r="G167" i="2" s="1"/>
  <c r="H168" i="2"/>
  <c r="G168" i="2" s="1"/>
  <c r="H169" i="2"/>
  <c r="G169" i="2" s="1"/>
  <c r="H171" i="2"/>
  <c r="G171" i="2" s="1"/>
  <c r="H172" i="2"/>
  <c r="G172" i="2" s="1"/>
  <c r="H173" i="2"/>
  <c r="G173" i="2" s="1"/>
  <c r="H174" i="2"/>
  <c r="G174" i="2" s="1"/>
  <c r="H164" i="2"/>
  <c r="G164" i="2" s="1"/>
  <c r="H149" i="2"/>
  <c r="G149" i="2" s="1"/>
  <c r="H150" i="2"/>
  <c r="G150" i="2" s="1"/>
  <c r="H151" i="2"/>
  <c r="G151" i="2" s="1"/>
  <c r="H152" i="2"/>
  <c r="G152" i="2" s="1"/>
  <c r="H153" i="2"/>
  <c r="G153" i="2" s="1"/>
  <c r="H155" i="2"/>
  <c r="G155" i="2" s="1"/>
  <c r="H156" i="2"/>
  <c r="G156" i="2" s="1"/>
  <c r="H157" i="2"/>
  <c r="G157" i="2" s="1"/>
  <c r="H158" i="2"/>
  <c r="G158" i="2" s="1"/>
  <c r="H148" i="2"/>
  <c r="G148" i="2" s="1"/>
  <c r="H133" i="2"/>
  <c r="G133" i="2" s="1"/>
  <c r="H134" i="2"/>
  <c r="G134" i="2" s="1"/>
  <c r="H135" i="2"/>
  <c r="G135" i="2" s="1"/>
  <c r="H136" i="2"/>
  <c r="G136" i="2" s="1"/>
  <c r="H137" i="2"/>
  <c r="G137" i="2" s="1"/>
  <c r="H139" i="2"/>
  <c r="G139" i="2" s="1"/>
  <c r="H140" i="2"/>
  <c r="G140" i="2" s="1"/>
  <c r="H141" i="2"/>
  <c r="G141" i="2" s="1"/>
  <c r="H142" i="2"/>
  <c r="G142" i="2" s="1"/>
  <c r="H132" i="2"/>
  <c r="G132" i="2" s="1"/>
  <c r="H117" i="2"/>
  <c r="G117" i="2" s="1"/>
  <c r="H118" i="2"/>
  <c r="G118" i="2" s="1"/>
  <c r="H119" i="2"/>
  <c r="G119" i="2" s="1"/>
  <c r="H120" i="2"/>
  <c r="G120" i="2" s="1"/>
  <c r="H121" i="2"/>
  <c r="G121" i="2" s="1"/>
  <c r="H123" i="2"/>
  <c r="G123" i="2" s="1"/>
  <c r="H124" i="2"/>
  <c r="G124" i="2" s="1"/>
  <c r="H125" i="2"/>
  <c r="G125" i="2" s="1"/>
  <c r="H126" i="2"/>
  <c r="G126" i="2" s="1"/>
  <c r="H116" i="2"/>
  <c r="G116" i="2" s="1"/>
  <c r="H85" i="2"/>
  <c r="G85" i="2" s="1"/>
  <c r="H86" i="2"/>
  <c r="G86" i="2" s="1"/>
  <c r="H87" i="2"/>
  <c r="G87" i="2" s="1"/>
  <c r="H88" i="2"/>
  <c r="G88" i="2" s="1"/>
  <c r="H91" i="2"/>
  <c r="G91" i="2" s="1"/>
  <c r="H92" i="2"/>
  <c r="G92" i="2" s="1"/>
  <c r="H93" i="2"/>
  <c r="G93" i="2" s="1"/>
  <c r="H94" i="2"/>
  <c r="G94" i="2" s="1"/>
  <c r="H84" i="2"/>
  <c r="G84" i="2" s="1"/>
  <c r="H69" i="2"/>
  <c r="G69" i="2" s="1"/>
  <c r="H70" i="2"/>
  <c r="G70" i="2" s="1"/>
  <c r="H71" i="2"/>
  <c r="G71" i="2" s="1"/>
  <c r="H72" i="2"/>
  <c r="G72" i="2" s="1"/>
  <c r="H73" i="2"/>
  <c r="G73" i="2" s="1"/>
  <c r="H75" i="2"/>
  <c r="G75" i="2" s="1"/>
  <c r="H76" i="2"/>
  <c r="G76" i="2" s="1"/>
  <c r="H77" i="2"/>
  <c r="G77" i="2" s="1"/>
  <c r="H78" i="2"/>
  <c r="G78" i="2" s="1"/>
  <c r="H68" i="2"/>
  <c r="G68" i="2" s="1"/>
  <c r="H53" i="2"/>
  <c r="G53" i="2" s="1"/>
  <c r="H54" i="2"/>
  <c r="G54" i="2" s="1"/>
  <c r="H55" i="2"/>
  <c r="G55" i="2" s="1"/>
  <c r="H56" i="2"/>
  <c r="G56" i="2" s="1"/>
  <c r="H57" i="2"/>
  <c r="G57" i="2" s="1"/>
  <c r="H59" i="2"/>
  <c r="G59" i="2" s="1"/>
  <c r="H60" i="2"/>
  <c r="G60" i="2" s="1"/>
  <c r="H61" i="2"/>
  <c r="G61" i="2" s="1"/>
  <c r="H62" i="2"/>
  <c r="G62" i="2" s="1"/>
  <c r="H52" i="2"/>
  <c r="G52" i="2" s="1"/>
  <c r="H46" i="2"/>
  <c r="G46" i="2" s="1"/>
  <c r="H37" i="2"/>
  <c r="G37" i="2" s="1"/>
  <c r="H38" i="2"/>
  <c r="G38" i="2" s="1"/>
  <c r="H39" i="2"/>
  <c r="G39" i="2" s="1"/>
  <c r="H40" i="2"/>
  <c r="G40" i="2" s="1"/>
  <c r="H41" i="2"/>
  <c r="G41" i="2" s="1"/>
  <c r="H43" i="2"/>
  <c r="G43" i="2" s="1"/>
  <c r="H44" i="2"/>
  <c r="G44" i="2" s="1"/>
  <c r="H45" i="2"/>
  <c r="G45" i="2" s="1"/>
  <c r="H36" i="2"/>
  <c r="G36" i="2" s="1"/>
  <c r="H28" i="2"/>
  <c r="G28" i="2" s="1"/>
  <c r="H21" i="2"/>
  <c r="G21" i="2" s="1"/>
  <c r="H22" i="2"/>
  <c r="G22" i="2" s="1"/>
  <c r="H24" i="2"/>
  <c r="G24" i="2" s="1"/>
  <c r="H27" i="2"/>
  <c r="G27" i="2" s="1"/>
  <c r="H29" i="2"/>
  <c r="G29" i="2" s="1"/>
  <c r="H30" i="2"/>
  <c r="G30" i="2" s="1"/>
  <c r="H20" i="2"/>
  <c r="G20" i="2" s="1"/>
  <c r="H6" i="2"/>
  <c r="G6" i="2" s="1"/>
  <c r="H7" i="2"/>
  <c r="G7" i="2" s="1"/>
  <c r="H8" i="2"/>
  <c r="G8" i="2" s="1"/>
  <c r="H9" i="2"/>
  <c r="G9" i="2" s="1"/>
  <c r="H11" i="2"/>
  <c r="G11" i="2" s="1"/>
  <c r="H13" i="2"/>
  <c r="G13" i="2" s="1"/>
  <c r="H5" i="2"/>
  <c r="G5" i="2" s="1"/>
  <c r="H4" i="2"/>
  <c r="G4" i="2" s="1"/>
  <c r="F5" i="2"/>
  <c r="F6" i="2"/>
  <c r="F7" i="2"/>
  <c r="F8" i="2"/>
  <c r="F9" i="2"/>
  <c r="I4" i="2"/>
  <c r="M14" i="2"/>
  <c r="G48" i="2" l="1"/>
  <c r="G192" i="2"/>
  <c r="H16" i="2"/>
  <c r="H32" i="2"/>
  <c r="H48" i="2"/>
  <c r="H64" i="2"/>
  <c r="H80" i="2"/>
  <c r="H96" i="2"/>
  <c r="H144" i="2"/>
  <c r="H160" i="2"/>
  <c r="H176" i="2"/>
  <c r="H192" i="2"/>
  <c r="G128" i="2"/>
  <c r="G160" i="2"/>
  <c r="G16" i="2"/>
  <c r="G32" i="2"/>
  <c r="G64" i="2"/>
  <c r="G80" i="2"/>
  <c r="G96" i="2"/>
  <c r="G144" i="2"/>
  <c r="G176" i="2"/>
  <c r="H128" i="2"/>
  <c r="J4" i="2"/>
  <c r="C2" i="3" l="1"/>
  <c r="Q3" i="1" l="1"/>
  <c r="AD12" i="2" l="1"/>
  <c r="AD10" i="2"/>
  <c r="T190" i="2"/>
  <c r="T174" i="2"/>
  <c r="T158" i="2"/>
  <c r="T142" i="2"/>
  <c r="T126" i="2"/>
  <c r="T110" i="2"/>
  <c r="T94" i="2"/>
  <c r="T78" i="2"/>
  <c r="T62" i="2" l="1"/>
  <c r="T46" i="2"/>
  <c r="T30" i="2"/>
  <c r="T13" i="2"/>
  <c r="T14" i="2"/>
  <c r="E182" i="2"/>
  <c r="E183" i="2"/>
  <c r="E184" i="2"/>
  <c r="E185" i="2"/>
  <c r="E187" i="2"/>
  <c r="E188" i="2"/>
  <c r="E189" i="2"/>
  <c r="E190" i="2"/>
  <c r="E181" i="2"/>
  <c r="D181" i="2"/>
  <c r="C181" i="2" s="1"/>
  <c r="F181" i="2"/>
  <c r="I181" i="2"/>
  <c r="J181" i="2"/>
  <c r="L181" i="2"/>
  <c r="M181" i="2"/>
  <c r="N181" i="2"/>
  <c r="O181" i="2"/>
  <c r="P181" i="2"/>
  <c r="Q181" i="2"/>
  <c r="K181" i="2" s="1"/>
  <c r="R181" i="2"/>
  <c r="S181" i="2"/>
  <c r="D182" i="2"/>
  <c r="C182" i="2" s="1"/>
  <c r="F182" i="2"/>
  <c r="I182" i="2"/>
  <c r="J182" i="2"/>
  <c r="L182" i="2"/>
  <c r="M182" i="2"/>
  <c r="N182" i="2"/>
  <c r="O182" i="2"/>
  <c r="P182" i="2"/>
  <c r="Q182" i="2"/>
  <c r="K182" i="2" s="1"/>
  <c r="R182" i="2"/>
  <c r="S182" i="2"/>
  <c r="D183" i="2"/>
  <c r="C183" i="2" s="1"/>
  <c r="F183" i="2"/>
  <c r="I183" i="2"/>
  <c r="J183" i="2"/>
  <c r="L183" i="2"/>
  <c r="M183" i="2"/>
  <c r="N183" i="2"/>
  <c r="O183" i="2"/>
  <c r="P183" i="2"/>
  <c r="Q183" i="2"/>
  <c r="K183" i="2" s="1"/>
  <c r="R183" i="2"/>
  <c r="S183" i="2"/>
  <c r="D184" i="2"/>
  <c r="C184" i="2" s="1"/>
  <c r="F184" i="2"/>
  <c r="I184" i="2"/>
  <c r="J184" i="2"/>
  <c r="L184" i="2"/>
  <c r="M184" i="2"/>
  <c r="N184" i="2"/>
  <c r="O184" i="2"/>
  <c r="P184" i="2"/>
  <c r="Q184" i="2"/>
  <c r="K184" i="2" s="1"/>
  <c r="R184" i="2"/>
  <c r="S184" i="2"/>
  <c r="D185" i="2"/>
  <c r="C185" i="2" s="1"/>
  <c r="F185" i="2"/>
  <c r="I185" i="2"/>
  <c r="J185" i="2"/>
  <c r="L185" i="2"/>
  <c r="M185" i="2"/>
  <c r="N185" i="2"/>
  <c r="O185" i="2"/>
  <c r="P185" i="2"/>
  <c r="Q185" i="2"/>
  <c r="K185" i="2" s="1"/>
  <c r="R185" i="2"/>
  <c r="S185" i="2"/>
  <c r="D187" i="2"/>
  <c r="C187" i="2" s="1"/>
  <c r="F187" i="2"/>
  <c r="I187" i="2"/>
  <c r="J187" i="2"/>
  <c r="L187" i="2"/>
  <c r="M187" i="2"/>
  <c r="N187" i="2"/>
  <c r="O187" i="2"/>
  <c r="P187" i="2"/>
  <c r="Q187" i="2"/>
  <c r="K187" i="2" s="1"/>
  <c r="R187" i="2"/>
  <c r="S187" i="2"/>
  <c r="D188" i="2"/>
  <c r="C188" i="2" s="1"/>
  <c r="F188" i="2"/>
  <c r="I188" i="2"/>
  <c r="J188" i="2"/>
  <c r="L188" i="2"/>
  <c r="M188" i="2"/>
  <c r="N188" i="2"/>
  <c r="O188" i="2"/>
  <c r="P188" i="2"/>
  <c r="Q188" i="2"/>
  <c r="K188" i="2" s="1"/>
  <c r="R188" i="2"/>
  <c r="S188" i="2"/>
  <c r="D189" i="2"/>
  <c r="C189" i="2" s="1"/>
  <c r="F189" i="2"/>
  <c r="I189" i="2"/>
  <c r="J189" i="2"/>
  <c r="L189" i="2"/>
  <c r="M189" i="2"/>
  <c r="N189" i="2"/>
  <c r="O189" i="2"/>
  <c r="P189" i="2"/>
  <c r="Q189" i="2"/>
  <c r="K189" i="2" s="1"/>
  <c r="R189" i="2"/>
  <c r="S189" i="2"/>
  <c r="D190" i="2"/>
  <c r="C190" i="2" s="1"/>
  <c r="F190" i="2"/>
  <c r="I190" i="2"/>
  <c r="J190" i="2"/>
  <c r="L190" i="2"/>
  <c r="M190" i="2"/>
  <c r="N190" i="2"/>
  <c r="O190" i="2"/>
  <c r="P190" i="2"/>
  <c r="Q190" i="2"/>
  <c r="K190" i="2" s="1"/>
  <c r="R190" i="2"/>
  <c r="S190" i="2"/>
  <c r="S180" i="2"/>
  <c r="R180" i="2"/>
  <c r="Q180" i="2"/>
  <c r="K180" i="2" s="1"/>
  <c r="P180" i="2"/>
  <c r="O180" i="2"/>
  <c r="N180" i="2"/>
  <c r="M180" i="2"/>
  <c r="L180" i="2"/>
  <c r="J180" i="2"/>
  <c r="I180" i="2"/>
  <c r="F180" i="2"/>
  <c r="E180" i="2"/>
  <c r="D180" i="2"/>
  <c r="C180" i="2" s="1"/>
  <c r="D165" i="2"/>
  <c r="C165" i="2" s="1"/>
  <c r="E165" i="2"/>
  <c r="F165" i="2"/>
  <c r="I165" i="2"/>
  <c r="J165" i="2"/>
  <c r="L165" i="2"/>
  <c r="M165" i="2"/>
  <c r="N165" i="2"/>
  <c r="O165" i="2"/>
  <c r="P165" i="2"/>
  <c r="Q165" i="2"/>
  <c r="K165" i="2" s="1"/>
  <c r="R165" i="2"/>
  <c r="S165" i="2"/>
  <c r="D166" i="2"/>
  <c r="C166" i="2" s="1"/>
  <c r="E166" i="2"/>
  <c r="F166" i="2"/>
  <c r="I166" i="2"/>
  <c r="J166" i="2"/>
  <c r="L166" i="2"/>
  <c r="M166" i="2"/>
  <c r="N166" i="2"/>
  <c r="O166" i="2"/>
  <c r="P166" i="2"/>
  <c r="Q166" i="2"/>
  <c r="K166" i="2" s="1"/>
  <c r="R166" i="2"/>
  <c r="S166" i="2"/>
  <c r="D167" i="2"/>
  <c r="C167" i="2" s="1"/>
  <c r="E167" i="2"/>
  <c r="F167" i="2"/>
  <c r="I167" i="2"/>
  <c r="J167" i="2"/>
  <c r="L167" i="2"/>
  <c r="M167" i="2"/>
  <c r="N167" i="2"/>
  <c r="O167" i="2"/>
  <c r="P167" i="2"/>
  <c r="Q167" i="2"/>
  <c r="K167" i="2" s="1"/>
  <c r="R167" i="2"/>
  <c r="S167" i="2"/>
  <c r="D168" i="2"/>
  <c r="C168" i="2" s="1"/>
  <c r="E168" i="2"/>
  <c r="F168" i="2"/>
  <c r="I168" i="2"/>
  <c r="J168" i="2"/>
  <c r="L168" i="2"/>
  <c r="M168" i="2"/>
  <c r="N168" i="2"/>
  <c r="O168" i="2"/>
  <c r="P168" i="2"/>
  <c r="Q168" i="2"/>
  <c r="K168" i="2" s="1"/>
  <c r="R168" i="2"/>
  <c r="S168" i="2"/>
  <c r="D169" i="2"/>
  <c r="C169" i="2" s="1"/>
  <c r="E169" i="2"/>
  <c r="F169" i="2"/>
  <c r="I169" i="2"/>
  <c r="J169" i="2"/>
  <c r="L169" i="2"/>
  <c r="M169" i="2"/>
  <c r="N169" i="2"/>
  <c r="O169" i="2"/>
  <c r="P169" i="2"/>
  <c r="Q169" i="2"/>
  <c r="K169" i="2" s="1"/>
  <c r="R169" i="2"/>
  <c r="S169" i="2"/>
  <c r="D171" i="2"/>
  <c r="C171" i="2" s="1"/>
  <c r="E171" i="2"/>
  <c r="F171" i="2"/>
  <c r="I171" i="2"/>
  <c r="J171" i="2"/>
  <c r="L171" i="2"/>
  <c r="M171" i="2"/>
  <c r="N171" i="2"/>
  <c r="O171" i="2"/>
  <c r="P171" i="2"/>
  <c r="Q171" i="2"/>
  <c r="K171" i="2" s="1"/>
  <c r="R171" i="2"/>
  <c r="S171" i="2"/>
  <c r="D172" i="2"/>
  <c r="C172" i="2" s="1"/>
  <c r="E172" i="2"/>
  <c r="F172" i="2"/>
  <c r="I172" i="2"/>
  <c r="J172" i="2"/>
  <c r="L172" i="2"/>
  <c r="M172" i="2"/>
  <c r="N172" i="2"/>
  <c r="O172" i="2"/>
  <c r="P172" i="2"/>
  <c r="Q172" i="2"/>
  <c r="K172" i="2" s="1"/>
  <c r="R172" i="2"/>
  <c r="S172" i="2"/>
  <c r="D173" i="2"/>
  <c r="C173" i="2" s="1"/>
  <c r="E173" i="2"/>
  <c r="F173" i="2"/>
  <c r="I173" i="2"/>
  <c r="J173" i="2"/>
  <c r="L173" i="2"/>
  <c r="M173" i="2"/>
  <c r="N173" i="2"/>
  <c r="O173" i="2"/>
  <c r="P173" i="2"/>
  <c r="Q173" i="2"/>
  <c r="K173" i="2" s="1"/>
  <c r="R173" i="2"/>
  <c r="S173" i="2"/>
  <c r="D174" i="2"/>
  <c r="C174" i="2" s="1"/>
  <c r="E174" i="2"/>
  <c r="F174" i="2"/>
  <c r="I174" i="2"/>
  <c r="J174" i="2"/>
  <c r="L174" i="2"/>
  <c r="M174" i="2"/>
  <c r="N174" i="2"/>
  <c r="O174" i="2"/>
  <c r="P174" i="2"/>
  <c r="Q174" i="2"/>
  <c r="K174" i="2" s="1"/>
  <c r="R174" i="2"/>
  <c r="S174" i="2"/>
  <c r="S164" i="2"/>
  <c r="R164" i="2"/>
  <c r="Q164" i="2"/>
  <c r="K164" i="2" s="1"/>
  <c r="O164" i="2"/>
  <c r="N164" i="2"/>
  <c r="M164" i="2"/>
  <c r="L164" i="2"/>
  <c r="J164" i="2"/>
  <c r="I164" i="2"/>
  <c r="F164" i="2"/>
  <c r="E164" i="2"/>
  <c r="D164" i="2"/>
  <c r="C164" i="2" s="1"/>
  <c r="D149" i="2"/>
  <c r="C149" i="2" s="1"/>
  <c r="E149" i="2"/>
  <c r="F149" i="2"/>
  <c r="I149" i="2"/>
  <c r="J149" i="2"/>
  <c r="L149" i="2"/>
  <c r="M149" i="2"/>
  <c r="N149" i="2"/>
  <c r="O149" i="2"/>
  <c r="P149" i="2"/>
  <c r="Q149" i="2"/>
  <c r="K149" i="2" s="1"/>
  <c r="R149" i="2"/>
  <c r="S149" i="2"/>
  <c r="D150" i="2"/>
  <c r="C150" i="2" s="1"/>
  <c r="E150" i="2"/>
  <c r="F150" i="2"/>
  <c r="I150" i="2"/>
  <c r="J150" i="2"/>
  <c r="L150" i="2"/>
  <c r="M150" i="2"/>
  <c r="N150" i="2"/>
  <c r="O150" i="2"/>
  <c r="P150" i="2"/>
  <c r="Q150" i="2"/>
  <c r="K150" i="2" s="1"/>
  <c r="R150" i="2"/>
  <c r="S150" i="2"/>
  <c r="D151" i="2"/>
  <c r="C151" i="2" s="1"/>
  <c r="E151" i="2"/>
  <c r="F151" i="2"/>
  <c r="I151" i="2"/>
  <c r="J151" i="2"/>
  <c r="L151" i="2"/>
  <c r="M151" i="2"/>
  <c r="N151" i="2"/>
  <c r="O151" i="2"/>
  <c r="P151" i="2"/>
  <c r="Q151" i="2"/>
  <c r="K151" i="2" s="1"/>
  <c r="R151" i="2"/>
  <c r="S151" i="2"/>
  <c r="D152" i="2"/>
  <c r="C152" i="2" s="1"/>
  <c r="E152" i="2"/>
  <c r="F152" i="2"/>
  <c r="I152" i="2"/>
  <c r="J152" i="2"/>
  <c r="L152" i="2"/>
  <c r="M152" i="2"/>
  <c r="N152" i="2"/>
  <c r="O152" i="2"/>
  <c r="P152" i="2"/>
  <c r="Q152" i="2"/>
  <c r="K152" i="2" s="1"/>
  <c r="R152" i="2"/>
  <c r="S152" i="2"/>
  <c r="D153" i="2"/>
  <c r="C153" i="2" s="1"/>
  <c r="E153" i="2"/>
  <c r="F153" i="2"/>
  <c r="I153" i="2"/>
  <c r="J153" i="2"/>
  <c r="L153" i="2"/>
  <c r="M153" i="2"/>
  <c r="N153" i="2"/>
  <c r="O153" i="2"/>
  <c r="P153" i="2"/>
  <c r="Q153" i="2"/>
  <c r="K153" i="2" s="1"/>
  <c r="R153" i="2"/>
  <c r="S153" i="2"/>
  <c r="D155" i="2"/>
  <c r="C155" i="2" s="1"/>
  <c r="E155" i="2"/>
  <c r="F155" i="2"/>
  <c r="I155" i="2"/>
  <c r="J155" i="2"/>
  <c r="L155" i="2"/>
  <c r="M155" i="2"/>
  <c r="N155" i="2"/>
  <c r="O155" i="2"/>
  <c r="P155" i="2"/>
  <c r="Q155" i="2"/>
  <c r="K155" i="2" s="1"/>
  <c r="R155" i="2"/>
  <c r="S155" i="2"/>
  <c r="D156" i="2"/>
  <c r="C156" i="2" s="1"/>
  <c r="E156" i="2"/>
  <c r="F156" i="2"/>
  <c r="I156" i="2"/>
  <c r="J156" i="2"/>
  <c r="L156" i="2"/>
  <c r="M156" i="2"/>
  <c r="N156" i="2"/>
  <c r="O156" i="2"/>
  <c r="P156" i="2"/>
  <c r="Q156" i="2"/>
  <c r="K156" i="2" s="1"/>
  <c r="R156" i="2"/>
  <c r="S156" i="2"/>
  <c r="D157" i="2"/>
  <c r="C157" i="2" s="1"/>
  <c r="E157" i="2"/>
  <c r="F157" i="2"/>
  <c r="I157" i="2"/>
  <c r="J157" i="2"/>
  <c r="L157" i="2"/>
  <c r="M157" i="2"/>
  <c r="N157" i="2"/>
  <c r="O157" i="2"/>
  <c r="P157" i="2"/>
  <c r="Q157" i="2"/>
  <c r="K157" i="2" s="1"/>
  <c r="R157" i="2"/>
  <c r="S157" i="2"/>
  <c r="D158" i="2"/>
  <c r="C158" i="2" s="1"/>
  <c r="E158" i="2"/>
  <c r="F158" i="2"/>
  <c r="I158" i="2"/>
  <c r="J158" i="2"/>
  <c r="L158" i="2"/>
  <c r="M158" i="2"/>
  <c r="N158" i="2"/>
  <c r="O158" i="2"/>
  <c r="P158" i="2"/>
  <c r="Q158" i="2"/>
  <c r="K158" i="2" s="1"/>
  <c r="R158" i="2"/>
  <c r="S158" i="2"/>
  <c r="S148" i="2"/>
  <c r="R148" i="2"/>
  <c r="Q148" i="2"/>
  <c r="K148" i="2" s="1"/>
  <c r="P148" i="2"/>
  <c r="O148" i="2"/>
  <c r="N148" i="2"/>
  <c r="M148" i="2"/>
  <c r="L148" i="2"/>
  <c r="J148" i="2"/>
  <c r="I148" i="2"/>
  <c r="F148" i="2"/>
  <c r="E148" i="2"/>
  <c r="D148" i="2"/>
  <c r="C148" i="2" s="1"/>
  <c r="D133" i="2"/>
  <c r="C133" i="2" s="1"/>
  <c r="E133" i="2"/>
  <c r="F133" i="2"/>
  <c r="I133" i="2"/>
  <c r="J133" i="2"/>
  <c r="L133" i="2"/>
  <c r="M133" i="2"/>
  <c r="N133" i="2"/>
  <c r="O133" i="2"/>
  <c r="P133" i="2"/>
  <c r="Q133" i="2"/>
  <c r="K133" i="2" s="1"/>
  <c r="R133" i="2"/>
  <c r="S133" i="2"/>
  <c r="D134" i="2"/>
  <c r="C134" i="2" s="1"/>
  <c r="E134" i="2"/>
  <c r="F134" i="2"/>
  <c r="I134" i="2"/>
  <c r="J134" i="2"/>
  <c r="L134" i="2"/>
  <c r="M134" i="2"/>
  <c r="N134" i="2"/>
  <c r="O134" i="2"/>
  <c r="P134" i="2"/>
  <c r="Q134" i="2"/>
  <c r="K134" i="2" s="1"/>
  <c r="R134" i="2"/>
  <c r="S134" i="2"/>
  <c r="D135" i="2"/>
  <c r="C135" i="2" s="1"/>
  <c r="E135" i="2"/>
  <c r="F135" i="2"/>
  <c r="I135" i="2"/>
  <c r="J135" i="2"/>
  <c r="L135" i="2"/>
  <c r="M135" i="2"/>
  <c r="N135" i="2"/>
  <c r="O135" i="2"/>
  <c r="P135" i="2"/>
  <c r="Q135" i="2"/>
  <c r="K135" i="2" s="1"/>
  <c r="R135" i="2"/>
  <c r="S135" i="2"/>
  <c r="D136" i="2"/>
  <c r="C136" i="2" s="1"/>
  <c r="E136" i="2"/>
  <c r="F136" i="2"/>
  <c r="I136" i="2"/>
  <c r="J136" i="2"/>
  <c r="L136" i="2"/>
  <c r="M136" i="2"/>
  <c r="N136" i="2"/>
  <c r="O136" i="2"/>
  <c r="P136" i="2"/>
  <c r="Q136" i="2"/>
  <c r="K136" i="2" s="1"/>
  <c r="R136" i="2"/>
  <c r="S136" i="2"/>
  <c r="D137" i="2"/>
  <c r="C137" i="2" s="1"/>
  <c r="E137" i="2"/>
  <c r="F137" i="2"/>
  <c r="I137" i="2"/>
  <c r="J137" i="2"/>
  <c r="L137" i="2"/>
  <c r="M137" i="2"/>
  <c r="N137" i="2"/>
  <c r="O137" i="2"/>
  <c r="P137" i="2"/>
  <c r="Q137" i="2"/>
  <c r="K137" i="2" s="1"/>
  <c r="R137" i="2"/>
  <c r="S137" i="2"/>
  <c r="D139" i="2"/>
  <c r="C139" i="2" s="1"/>
  <c r="E139" i="2"/>
  <c r="F139" i="2"/>
  <c r="I139" i="2"/>
  <c r="J139" i="2"/>
  <c r="L139" i="2"/>
  <c r="M139" i="2"/>
  <c r="N139" i="2"/>
  <c r="O139" i="2"/>
  <c r="P139" i="2"/>
  <c r="Q139" i="2"/>
  <c r="K139" i="2" s="1"/>
  <c r="R139" i="2"/>
  <c r="S139" i="2"/>
  <c r="D140" i="2"/>
  <c r="C140" i="2" s="1"/>
  <c r="E140" i="2"/>
  <c r="F140" i="2"/>
  <c r="I140" i="2"/>
  <c r="J140" i="2"/>
  <c r="L140" i="2"/>
  <c r="M140" i="2"/>
  <c r="N140" i="2"/>
  <c r="O140" i="2"/>
  <c r="P140" i="2"/>
  <c r="Q140" i="2"/>
  <c r="K140" i="2" s="1"/>
  <c r="R140" i="2"/>
  <c r="S140" i="2"/>
  <c r="D141" i="2"/>
  <c r="C141" i="2" s="1"/>
  <c r="E141" i="2"/>
  <c r="F141" i="2"/>
  <c r="I141" i="2"/>
  <c r="J141" i="2"/>
  <c r="L141" i="2"/>
  <c r="M141" i="2"/>
  <c r="N141" i="2"/>
  <c r="O141" i="2"/>
  <c r="P141" i="2"/>
  <c r="Q141" i="2"/>
  <c r="K141" i="2" s="1"/>
  <c r="R141" i="2"/>
  <c r="S141" i="2"/>
  <c r="D142" i="2"/>
  <c r="C142" i="2" s="1"/>
  <c r="E142" i="2"/>
  <c r="F142" i="2"/>
  <c r="I142" i="2"/>
  <c r="J142" i="2"/>
  <c r="L142" i="2"/>
  <c r="M142" i="2"/>
  <c r="N142" i="2"/>
  <c r="O142" i="2"/>
  <c r="P142" i="2"/>
  <c r="Q142" i="2"/>
  <c r="K142" i="2" s="1"/>
  <c r="R142" i="2"/>
  <c r="S142" i="2"/>
  <c r="S132" i="2"/>
  <c r="R132" i="2"/>
  <c r="Q132" i="2"/>
  <c r="K132" i="2" s="1"/>
  <c r="P132" i="2"/>
  <c r="O132" i="2"/>
  <c r="N132" i="2"/>
  <c r="M132" i="2"/>
  <c r="L132" i="2"/>
  <c r="J132" i="2"/>
  <c r="I132" i="2"/>
  <c r="F132" i="2"/>
  <c r="E132" i="2"/>
  <c r="D132" i="2"/>
  <c r="C132" i="2" s="1"/>
  <c r="D117" i="2"/>
  <c r="C117" i="2" s="1"/>
  <c r="E117" i="2"/>
  <c r="F117" i="2"/>
  <c r="I117" i="2"/>
  <c r="J117" i="2"/>
  <c r="L117" i="2"/>
  <c r="M117" i="2"/>
  <c r="N117" i="2"/>
  <c r="O117" i="2"/>
  <c r="P117" i="2"/>
  <c r="Q117" i="2"/>
  <c r="K117" i="2" s="1"/>
  <c r="R117" i="2"/>
  <c r="S117" i="2"/>
  <c r="D118" i="2"/>
  <c r="C118" i="2" s="1"/>
  <c r="E118" i="2"/>
  <c r="F118" i="2"/>
  <c r="I118" i="2"/>
  <c r="J118" i="2"/>
  <c r="L118" i="2"/>
  <c r="M118" i="2"/>
  <c r="N118" i="2"/>
  <c r="O118" i="2"/>
  <c r="P118" i="2"/>
  <c r="Q118" i="2"/>
  <c r="K118" i="2" s="1"/>
  <c r="R118" i="2"/>
  <c r="S118" i="2"/>
  <c r="D119" i="2"/>
  <c r="C119" i="2" s="1"/>
  <c r="E119" i="2"/>
  <c r="F119" i="2"/>
  <c r="I119" i="2"/>
  <c r="J119" i="2"/>
  <c r="L119" i="2"/>
  <c r="M119" i="2"/>
  <c r="N119" i="2"/>
  <c r="O119" i="2"/>
  <c r="P119" i="2"/>
  <c r="Q119" i="2"/>
  <c r="K119" i="2" s="1"/>
  <c r="R119" i="2"/>
  <c r="S119" i="2"/>
  <c r="D120" i="2"/>
  <c r="C120" i="2" s="1"/>
  <c r="E120" i="2"/>
  <c r="F120" i="2"/>
  <c r="I120" i="2"/>
  <c r="J120" i="2"/>
  <c r="L120" i="2"/>
  <c r="M120" i="2"/>
  <c r="N120" i="2"/>
  <c r="O120" i="2"/>
  <c r="P120" i="2"/>
  <c r="Q120" i="2"/>
  <c r="K120" i="2" s="1"/>
  <c r="R120" i="2"/>
  <c r="S120" i="2"/>
  <c r="D121" i="2"/>
  <c r="C121" i="2" s="1"/>
  <c r="E121" i="2"/>
  <c r="F121" i="2"/>
  <c r="I121" i="2"/>
  <c r="J121" i="2"/>
  <c r="L121" i="2"/>
  <c r="M121" i="2"/>
  <c r="N121" i="2"/>
  <c r="O121" i="2"/>
  <c r="P121" i="2"/>
  <c r="Q121" i="2"/>
  <c r="K121" i="2" s="1"/>
  <c r="R121" i="2"/>
  <c r="S121" i="2"/>
  <c r="D123" i="2"/>
  <c r="C123" i="2" s="1"/>
  <c r="E123" i="2"/>
  <c r="F123" i="2"/>
  <c r="I123" i="2"/>
  <c r="J123" i="2"/>
  <c r="L123" i="2"/>
  <c r="M123" i="2"/>
  <c r="N123" i="2"/>
  <c r="O123" i="2"/>
  <c r="P123" i="2"/>
  <c r="Q123" i="2"/>
  <c r="K123" i="2" s="1"/>
  <c r="R123" i="2"/>
  <c r="S123" i="2"/>
  <c r="D124" i="2"/>
  <c r="C124" i="2" s="1"/>
  <c r="E124" i="2"/>
  <c r="F124" i="2"/>
  <c r="I124" i="2"/>
  <c r="J124" i="2"/>
  <c r="L124" i="2"/>
  <c r="M124" i="2"/>
  <c r="N124" i="2"/>
  <c r="O124" i="2"/>
  <c r="P124" i="2"/>
  <c r="Q124" i="2"/>
  <c r="K124" i="2" s="1"/>
  <c r="R124" i="2"/>
  <c r="S124" i="2"/>
  <c r="D125" i="2"/>
  <c r="C125" i="2" s="1"/>
  <c r="E125" i="2"/>
  <c r="F125" i="2"/>
  <c r="I125" i="2"/>
  <c r="J125" i="2"/>
  <c r="L125" i="2"/>
  <c r="M125" i="2"/>
  <c r="N125" i="2"/>
  <c r="O125" i="2"/>
  <c r="P125" i="2"/>
  <c r="Q125" i="2"/>
  <c r="K125" i="2" s="1"/>
  <c r="R125" i="2"/>
  <c r="S125" i="2"/>
  <c r="D126" i="2"/>
  <c r="C126" i="2" s="1"/>
  <c r="E126" i="2"/>
  <c r="F126" i="2"/>
  <c r="I126" i="2"/>
  <c r="J126" i="2"/>
  <c r="L126" i="2"/>
  <c r="M126" i="2"/>
  <c r="N126" i="2"/>
  <c r="O126" i="2"/>
  <c r="P126" i="2"/>
  <c r="Q126" i="2"/>
  <c r="K126" i="2" s="1"/>
  <c r="R126" i="2"/>
  <c r="S126" i="2"/>
  <c r="S116" i="2"/>
  <c r="R116" i="2"/>
  <c r="Q116" i="2"/>
  <c r="K116" i="2" s="1"/>
  <c r="P116" i="2"/>
  <c r="O116" i="2"/>
  <c r="N116" i="2"/>
  <c r="M116" i="2"/>
  <c r="L116" i="2"/>
  <c r="J116" i="2"/>
  <c r="I116" i="2"/>
  <c r="F116" i="2"/>
  <c r="E116" i="2"/>
  <c r="D116" i="2"/>
  <c r="C116" i="2" s="1"/>
  <c r="E85" i="2"/>
  <c r="E86" i="2"/>
  <c r="E87" i="2"/>
  <c r="E88" i="2"/>
  <c r="E91" i="2"/>
  <c r="E92" i="2"/>
  <c r="E93" i="2"/>
  <c r="E94" i="2"/>
  <c r="E84" i="2"/>
  <c r="D85" i="2"/>
  <c r="C85" i="2" s="1"/>
  <c r="F85" i="2"/>
  <c r="I85" i="2"/>
  <c r="J85" i="2"/>
  <c r="L85" i="2"/>
  <c r="M85" i="2"/>
  <c r="N85" i="2"/>
  <c r="O85" i="2"/>
  <c r="P85" i="2"/>
  <c r="Q85" i="2"/>
  <c r="K85" i="2" s="1"/>
  <c r="R85" i="2"/>
  <c r="S85" i="2"/>
  <c r="D86" i="2"/>
  <c r="C86" i="2" s="1"/>
  <c r="F86" i="2"/>
  <c r="I86" i="2"/>
  <c r="J86" i="2"/>
  <c r="L86" i="2"/>
  <c r="M86" i="2"/>
  <c r="N86" i="2"/>
  <c r="O86" i="2"/>
  <c r="P86" i="2"/>
  <c r="Q86" i="2"/>
  <c r="K86" i="2" s="1"/>
  <c r="R86" i="2"/>
  <c r="S86" i="2"/>
  <c r="D87" i="2"/>
  <c r="C87" i="2" s="1"/>
  <c r="F87" i="2"/>
  <c r="I87" i="2"/>
  <c r="J87" i="2"/>
  <c r="L87" i="2"/>
  <c r="M87" i="2"/>
  <c r="N87" i="2"/>
  <c r="O87" i="2"/>
  <c r="P87" i="2"/>
  <c r="Q87" i="2"/>
  <c r="K87" i="2" s="1"/>
  <c r="R87" i="2"/>
  <c r="S87" i="2"/>
  <c r="D88" i="2"/>
  <c r="C88" i="2" s="1"/>
  <c r="F88" i="2"/>
  <c r="I88" i="2"/>
  <c r="J88" i="2"/>
  <c r="L88" i="2"/>
  <c r="M88" i="2"/>
  <c r="N88" i="2"/>
  <c r="O88" i="2"/>
  <c r="P88" i="2"/>
  <c r="Q88" i="2"/>
  <c r="K88" i="2" s="1"/>
  <c r="R88" i="2"/>
  <c r="S88" i="2"/>
  <c r="C89" i="2"/>
  <c r="D91" i="2"/>
  <c r="C91" i="2" s="1"/>
  <c r="F91" i="2"/>
  <c r="I91" i="2"/>
  <c r="J91" i="2"/>
  <c r="L91" i="2"/>
  <c r="M91" i="2"/>
  <c r="N91" i="2"/>
  <c r="O91" i="2"/>
  <c r="P91" i="2"/>
  <c r="Q91" i="2"/>
  <c r="K91" i="2" s="1"/>
  <c r="R91" i="2"/>
  <c r="S91" i="2"/>
  <c r="D92" i="2"/>
  <c r="C92" i="2" s="1"/>
  <c r="F92" i="2"/>
  <c r="I92" i="2"/>
  <c r="J92" i="2"/>
  <c r="L92" i="2"/>
  <c r="M92" i="2"/>
  <c r="N92" i="2"/>
  <c r="O92" i="2"/>
  <c r="P92" i="2"/>
  <c r="Q92" i="2"/>
  <c r="K92" i="2" s="1"/>
  <c r="R92" i="2"/>
  <c r="S92" i="2"/>
  <c r="D93" i="2"/>
  <c r="C93" i="2" s="1"/>
  <c r="F93" i="2"/>
  <c r="I93" i="2"/>
  <c r="J93" i="2"/>
  <c r="L93" i="2"/>
  <c r="M93" i="2"/>
  <c r="N93" i="2"/>
  <c r="O93" i="2"/>
  <c r="P93" i="2"/>
  <c r="Q93" i="2"/>
  <c r="K93" i="2" s="1"/>
  <c r="R93" i="2"/>
  <c r="S93" i="2"/>
  <c r="D94" i="2"/>
  <c r="C94" i="2" s="1"/>
  <c r="F94" i="2"/>
  <c r="I94" i="2"/>
  <c r="J94" i="2"/>
  <c r="L94" i="2"/>
  <c r="M94" i="2"/>
  <c r="N94" i="2"/>
  <c r="O94" i="2"/>
  <c r="P94" i="2"/>
  <c r="Q94" i="2"/>
  <c r="K94" i="2" s="1"/>
  <c r="R94" i="2"/>
  <c r="S94" i="2"/>
  <c r="S84" i="2"/>
  <c r="R84" i="2"/>
  <c r="Q84" i="2"/>
  <c r="K84" i="2" s="1"/>
  <c r="P84" i="2"/>
  <c r="O84" i="2"/>
  <c r="N84" i="2"/>
  <c r="M84" i="2"/>
  <c r="L84" i="2"/>
  <c r="J84" i="2"/>
  <c r="I84" i="2"/>
  <c r="F84" i="2"/>
  <c r="D84" i="2"/>
  <c r="C84" i="2" s="1"/>
  <c r="D69" i="2"/>
  <c r="C69" i="2" s="1"/>
  <c r="E69" i="2"/>
  <c r="F69" i="2"/>
  <c r="I69" i="2"/>
  <c r="J69" i="2"/>
  <c r="L69" i="2"/>
  <c r="M69" i="2"/>
  <c r="N69" i="2"/>
  <c r="O69" i="2"/>
  <c r="P69" i="2"/>
  <c r="Q69" i="2"/>
  <c r="K69" i="2" s="1"/>
  <c r="R69" i="2"/>
  <c r="S69" i="2"/>
  <c r="D70" i="2"/>
  <c r="C70" i="2" s="1"/>
  <c r="E70" i="2"/>
  <c r="F70" i="2"/>
  <c r="I70" i="2"/>
  <c r="J70" i="2"/>
  <c r="L70" i="2"/>
  <c r="M70" i="2"/>
  <c r="N70" i="2"/>
  <c r="O70" i="2"/>
  <c r="P70" i="2"/>
  <c r="Q70" i="2"/>
  <c r="K70" i="2" s="1"/>
  <c r="R70" i="2"/>
  <c r="S70" i="2"/>
  <c r="D71" i="2"/>
  <c r="C71" i="2" s="1"/>
  <c r="E71" i="2"/>
  <c r="F71" i="2"/>
  <c r="I71" i="2"/>
  <c r="J71" i="2"/>
  <c r="L71" i="2"/>
  <c r="M71" i="2"/>
  <c r="N71" i="2"/>
  <c r="O71" i="2"/>
  <c r="P71" i="2"/>
  <c r="Q71" i="2"/>
  <c r="K71" i="2" s="1"/>
  <c r="R71" i="2"/>
  <c r="S71" i="2"/>
  <c r="D72" i="2"/>
  <c r="C72" i="2" s="1"/>
  <c r="E72" i="2"/>
  <c r="F72" i="2"/>
  <c r="I72" i="2"/>
  <c r="J72" i="2"/>
  <c r="L72" i="2"/>
  <c r="M72" i="2"/>
  <c r="N72" i="2"/>
  <c r="O72" i="2"/>
  <c r="P72" i="2"/>
  <c r="Q72" i="2"/>
  <c r="K72" i="2" s="1"/>
  <c r="R72" i="2"/>
  <c r="S72" i="2"/>
  <c r="D73" i="2"/>
  <c r="C73" i="2" s="1"/>
  <c r="E73" i="2"/>
  <c r="F73" i="2"/>
  <c r="I73" i="2"/>
  <c r="J73" i="2"/>
  <c r="L73" i="2"/>
  <c r="M73" i="2"/>
  <c r="N73" i="2"/>
  <c r="O73" i="2"/>
  <c r="P73" i="2"/>
  <c r="Q73" i="2"/>
  <c r="K73" i="2" s="1"/>
  <c r="R73" i="2"/>
  <c r="S73" i="2"/>
  <c r="D75" i="2"/>
  <c r="C75" i="2" s="1"/>
  <c r="E75" i="2"/>
  <c r="F75" i="2"/>
  <c r="I75" i="2"/>
  <c r="J75" i="2"/>
  <c r="L75" i="2"/>
  <c r="M75" i="2"/>
  <c r="N75" i="2"/>
  <c r="O75" i="2"/>
  <c r="P75" i="2"/>
  <c r="Q75" i="2"/>
  <c r="K75" i="2" s="1"/>
  <c r="R75" i="2"/>
  <c r="S75" i="2"/>
  <c r="D76" i="2"/>
  <c r="C76" i="2" s="1"/>
  <c r="E76" i="2"/>
  <c r="F76" i="2"/>
  <c r="I76" i="2"/>
  <c r="J76" i="2"/>
  <c r="L76" i="2"/>
  <c r="M76" i="2"/>
  <c r="N76" i="2"/>
  <c r="O76" i="2"/>
  <c r="P76" i="2"/>
  <c r="Q76" i="2"/>
  <c r="K76" i="2" s="1"/>
  <c r="R76" i="2"/>
  <c r="S76" i="2"/>
  <c r="D77" i="2"/>
  <c r="C77" i="2" s="1"/>
  <c r="E77" i="2"/>
  <c r="F77" i="2"/>
  <c r="I77" i="2"/>
  <c r="J77" i="2"/>
  <c r="L77" i="2"/>
  <c r="M77" i="2"/>
  <c r="N77" i="2"/>
  <c r="O77" i="2"/>
  <c r="P77" i="2"/>
  <c r="Q77" i="2"/>
  <c r="K77" i="2" s="1"/>
  <c r="R77" i="2"/>
  <c r="S77" i="2"/>
  <c r="D78" i="2"/>
  <c r="C78" i="2" s="1"/>
  <c r="E78" i="2"/>
  <c r="F78" i="2"/>
  <c r="I78" i="2"/>
  <c r="J78" i="2"/>
  <c r="L78" i="2"/>
  <c r="M78" i="2"/>
  <c r="N78" i="2"/>
  <c r="O78" i="2"/>
  <c r="P78" i="2"/>
  <c r="Q78" i="2"/>
  <c r="K78" i="2" s="1"/>
  <c r="R78" i="2"/>
  <c r="S78" i="2"/>
  <c r="S68" i="2"/>
  <c r="R68" i="2"/>
  <c r="Q68" i="2"/>
  <c r="K68" i="2" s="1"/>
  <c r="P68" i="2"/>
  <c r="O68" i="2"/>
  <c r="N68" i="2"/>
  <c r="M68" i="2"/>
  <c r="L68" i="2"/>
  <c r="J68" i="2"/>
  <c r="I68" i="2"/>
  <c r="F68" i="2"/>
  <c r="E68" i="2"/>
  <c r="D68" i="2"/>
  <c r="C68" i="2" s="1"/>
  <c r="D53" i="2"/>
  <c r="C53" i="2" s="1"/>
  <c r="E53" i="2"/>
  <c r="F53" i="2"/>
  <c r="I53" i="2"/>
  <c r="J53" i="2"/>
  <c r="L53" i="2"/>
  <c r="M53" i="2"/>
  <c r="N53" i="2"/>
  <c r="O53" i="2"/>
  <c r="P53" i="2"/>
  <c r="Q53" i="2"/>
  <c r="K53" i="2" s="1"/>
  <c r="R53" i="2"/>
  <c r="S53" i="2"/>
  <c r="D54" i="2"/>
  <c r="C54" i="2" s="1"/>
  <c r="E54" i="2"/>
  <c r="F54" i="2"/>
  <c r="I54" i="2"/>
  <c r="J54" i="2"/>
  <c r="L54" i="2"/>
  <c r="M54" i="2"/>
  <c r="N54" i="2"/>
  <c r="O54" i="2"/>
  <c r="P54" i="2"/>
  <c r="Q54" i="2"/>
  <c r="K54" i="2" s="1"/>
  <c r="R54" i="2"/>
  <c r="S54" i="2"/>
  <c r="D55" i="2"/>
  <c r="C55" i="2" s="1"/>
  <c r="E55" i="2"/>
  <c r="F55" i="2"/>
  <c r="I55" i="2"/>
  <c r="J55" i="2"/>
  <c r="L55" i="2"/>
  <c r="M55" i="2"/>
  <c r="N55" i="2"/>
  <c r="O55" i="2"/>
  <c r="P55" i="2"/>
  <c r="Q55" i="2"/>
  <c r="K55" i="2" s="1"/>
  <c r="R55" i="2"/>
  <c r="S55" i="2"/>
  <c r="D56" i="2"/>
  <c r="C56" i="2" s="1"/>
  <c r="E56" i="2"/>
  <c r="F56" i="2"/>
  <c r="I56" i="2"/>
  <c r="J56" i="2"/>
  <c r="L56" i="2"/>
  <c r="M56" i="2"/>
  <c r="N56" i="2"/>
  <c r="O56" i="2"/>
  <c r="P56" i="2"/>
  <c r="Q56" i="2"/>
  <c r="K56" i="2" s="1"/>
  <c r="R56" i="2"/>
  <c r="S56" i="2"/>
  <c r="D57" i="2"/>
  <c r="C57" i="2" s="1"/>
  <c r="E57" i="2"/>
  <c r="F57" i="2"/>
  <c r="I57" i="2"/>
  <c r="J57" i="2"/>
  <c r="L57" i="2"/>
  <c r="M57" i="2"/>
  <c r="N57" i="2"/>
  <c r="O57" i="2"/>
  <c r="P57" i="2"/>
  <c r="Q57" i="2"/>
  <c r="K57" i="2" s="1"/>
  <c r="R57" i="2"/>
  <c r="S57" i="2"/>
  <c r="D59" i="2"/>
  <c r="C59" i="2" s="1"/>
  <c r="E59" i="2"/>
  <c r="F59" i="2"/>
  <c r="I59" i="2"/>
  <c r="J59" i="2"/>
  <c r="L59" i="2"/>
  <c r="M59" i="2"/>
  <c r="N59" i="2"/>
  <c r="O59" i="2"/>
  <c r="P59" i="2"/>
  <c r="Q59" i="2"/>
  <c r="K59" i="2" s="1"/>
  <c r="R59" i="2"/>
  <c r="S59" i="2"/>
  <c r="D60" i="2"/>
  <c r="C60" i="2" s="1"/>
  <c r="E60" i="2"/>
  <c r="F60" i="2"/>
  <c r="I60" i="2"/>
  <c r="J60" i="2"/>
  <c r="L60" i="2"/>
  <c r="M60" i="2"/>
  <c r="N60" i="2"/>
  <c r="O60" i="2"/>
  <c r="P60" i="2"/>
  <c r="Q60" i="2"/>
  <c r="K60" i="2" s="1"/>
  <c r="R60" i="2"/>
  <c r="S60" i="2"/>
  <c r="D61" i="2"/>
  <c r="C61" i="2" s="1"/>
  <c r="E61" i="2"/>
  <c r="F61" i="2"/>
  <c r="I61" i="2"/>
  <c r="J61" i="2"/>
  <c r="L61" i="2"/>
  <c r="M61" i="2"/>
  <c r="N61" i="2"/>
  <c r="O61" i="2"/>
  <c r="P61" i="2"/>
  <c r="Q61" i="2"/>
  <c r="K61" i="2" s="1"/>
  <c r="R61" i="2"/>
  <c r="S61" i="2"/>
  <c r="D62" i="2"/>
  <c r="C62" i="2" s="1"/>
  <c r="E62" i="2"/>
  <c r="F62" i="2"/>
  <c r="I62" i="2"/>
  <c r="J62" i="2"/>
  <c r="L62" i="2"/>
  <c r="M62" i="2"/>
  <c r="N62" i="2"/>
  <c r="O62" i="2"/>
  <c r="P62" i="2"/>
  <c r="Q62" i="2"/>
  <c r="K62" i="2" s="1"/>
  <c r="R62" i="2"/>
  <c r="S62" i="2"/>
  <c r="S52" i="2"/>
  <c r="R52" i="2"/>
  <c r="Q52" i="2"/>
  <c r="K52" i="2" s="1"/>
  <c r="P52" i="2"/>
  <c r="O52" i="2"/>
  <c r="N52" i="2"/>
  <c r="M52" i="2"/>
  <c r="L52" i="2"/>
  <c r="J52" i="2"/>
  <c r="I52" i="2"/>
  <c r="F52" i="2"/>
  <c r="E52" i="2"/>
  <c r="D52" i="2"/>
  <c r="C52" i="2" s="1"/>
  <c r="J43" i="2"/>
  <c r="D37" i="2"/>
  <c r="C37" i="2" s="1"/>
  <c r="E37" i="2"/>
  <c r="F37" i="2"/>
  <c r="I37" i="2"/>
  <c r="J37" i="2"/>
  <c r="L37" i="2"/>
  <c r="M37" i="2"/>
  <c r="N37" i="2"/>
  <c r="O37" i="2"/>
  <c r="P37" i="2"/>
  <c r="Q37" i="2"/>
  <c r="K37" i="2" s="1"/>
  <c r="R37" i="2"/>
  <c r="S37" i="2"/>
  <c r="D38" i="2"/>
  <c r="C38" i="2" s="1"/>
  <c r="E38" i="2"/>
  <c r="F38" i="2"/>
  <c r="I38" i="2"/>
  <c r="J38" i="2"/>
  <c r="L38" i="2"/>
  <c r="M38" i="2"/>
  <c r="N38" i="2"/>
  <c r="O38" i="2"/>
  <c r="P38" i="2"/>
  <c r="Q38" i="2"/>
  <c r="K38" i="2" s="1"/>
  <c r="R38" i="2"/>
  <c r="S38" i="2"/>
  <c r="D39" i="2"/>
  <c r="C39" i="2" s="1"/>
  <c r="E39" i="2"/>
  <c r="F39" i="2"/>
  <c r="I39" i="2"/>
  <c r="J39" i="2"/>
  <c r="L39" i="2"/>
  <c r="M39" i="2"/>
  <c r="N39" i="2"/>
  <c r="O39" i="2"/>
  <c r="P39" i="2"/>
  <c r="Q39" i="2"/>
  <c r="K39" i="2" s="1"/>
  <c r="R39" i="2"/>
  <c r="S39" i="2"/>
  <c r="D40" i="2"/>
  <c r="C40" i="2" s="1"/>
  <c r="E40" i="2"/>
  <c r="F40" i="2"/>
  <c r="I40" i="2"/>
  <c r="J40" i="2"/>
  <c r="L40" i="2"/>
  <c r="M40" i="2"/>
  <c r="N40" i="2"/>
  <c r="O40" i="2"/>
  <c r="P40" i="2"/>
  <c r="Q40" i="2"/>
  <c r="K40" i="2" s="1"/>
  <c r="R40" i="2"/>
  <c r="S40" i="2"/>
  <c r="D41" i="2"/>
  <c r="C41" i="2" s="1"/>
  <c r="E41" i="2"/>
  <c r="F41" i="2"/>
  <c r="I41" i="2"/>
  <c r="J41" i="2"/>
  <c r="L41" i="2"/>
  <c r="M41" i="2"/>
  <c r="N41" i="2"/>
  <c r="O41" i="2"/>
  <c r="P41" i="2"/>
  <c r="Q41" i="2"/>
  <c r="K41" i="2" s="1"/>
  <c r="R41" i="2"/>
  <c r="S41" i="2"/>
  <c r="D43" i="2"/>
  <c r="C43" i="2" s="1"/>
  <c r="E43" i="2"/>
  <c r="F43" i="2"/>
  <c r="I43" i="2"/>
  <c r="L43" i="2"/>
  <c r="M43" i="2"/>
  <c r="N43" i="2"/>
  <c r="O43" i="2"/>
  <c r="P43" i="2"/>
  <c r="Q43" i="2"/>
  <c r="K43" i="2" s="1"/>
  <c r="R43" i="2"/>
  <c r="S43" i="2"/>
  <c r="D44" i="2"/>
  <c r="C44" i="2" s="1"/>
  <c r="E44" i="2"/>
  <c r="F44" i="2"/>
  <c r="I44" i="2"/>
  <c r="J44" i="2"/>
  <c r="L44" i="2"/>
  <c r="M44" i="2"/>
  <c r="N44" i="2"/>
  <c r="O44" i="2"/>
  <c r="P44" i="2"/>
  <c r="Q44" i="2"/>
  <c r="K44" i="2" s="1"/>
  <c r="R44" i="2"/>
  <c r="S44" i="2"/>
  <c r="D45" i="2"/>
  <c r="C45" i="2" s="1"/>
  <c r="E45" i="2"/>
  <c r="F45" i="2"/>
  <c r="I45" i="2"/>
  <c r="J45" i="2"/>
  <c r="L45" i="2"/>
  <c r="M45" i="2"/>
  <c r="N45" i="2"/>
  <c r="O45" i="2"/>
  <c r="P45" i="2"/>
  <c r="Q45" i="2"/>
  <c r="K45" i="2" s="1"/>
  <c r="R45" i="2"/>
  <c r="S45" i="2"/>
  <c r="D46" i="2"/>
  <c r="C46" i="2" s="1"/>
  <c r="E46" i="2"/>
  <c r="F46" i="2"/>
  <c r="I46" i="2"/>
  <c r="J46" i="2"/>
  <c r="L46" i="2"/>
  <c r="M46" i="2"/>
  <c r="N46" i="2"/>
  <c r="O46" i="2"/>
  <c r="P46" i="2"/>
  <c r="Q46" i="2"/>
  <c r="K46" i="2" s="1"/>
  <c r="R46" i="2"/>
  <c r="S46" i="2"/>
  <c r="S36" i="2"/>
  <c r="R36" i="2"/>
  <c r="Q36" i="2"/>
  <c r="K36" i="2" s="1"/>
  <c r="P36" i="2"/>
  <c r="O36" i="2"/>
  <c r="N36" i="2"/>
  <c r="M36" i="2"/>
  <c r="L36" i="2"/>
  <c r="J36" i="2"/>
  <c r="I36" i="2"/>
  <c r="F36" i="2"/>
  <c r="E36" i="2"/>
  <c r="D36" i="2"/>
  <c r="C36" i="2" s="1"/>
  <c r="N27" i="2"/>
  <c r="D21" i="2"/>
  <c r="C21" i="2" s="1"/>
  <c r="E21" i="2"/>
  <c r="F21" i="2"/>
  <c r="I21" i="2"/>
  <c r="J21" i="2"/>
  <c r="L21" i="2"/>
  <c r="M21" i="2"/>
  <c r="N21" i="2"/>
  <c r="O21" i="2"/>
  <c r="P21" i="2"/>
  <c r="Q21" i="2"/>
  <c r="K21" i="2" s="1"/>
  <c r="R21" i="2"/>
  <c r="S21" i="2"/>
  <c r="D22" i="2"/>
  <c r="C22" i="2" s="1"/>
  <c r="E22" i="2"/>
  <c r="F22" i="2"/>
  <c r="I22" i="2"/>
  <c r="J22" i="2"/>
  <c r="L22" i="2"/>
  <c r="N22" i="2"/>
  <c r="O22" i="2"/>
  <c r="P22" i="2"/>
  <c r="Q22" i="2"/>
  <c r="K22" i="2" s="1"/>
  <c r="R22" i="2"/>
  <c r="S22" i="2"/>
  <c r="D23" i="2"/>
  <c r="C23" i="2" s="1"/>
  <c r="E23" i="2"/>
  <c r="F23" i="2"/>
  <c r="I23" i="2"/>
  <c r="J23" i="2"/>
  <c r="L23" i="2"/>
  <c r="M23" i="2"/>
  <c r="N23" i="2"/>
  <c r="O23" i="2"/>
  <c r="P23" i="2"/>
  <c r="Q23" i="2"/>
  <c r="K23" i="2" s="1"/>
  <c r="R23" i="2"/>
  <c r="S23" i="2"/>
  <c r="D24" i="2"/>
  <c r="C24" i="2" s="1"/>
  <c r="E24" i="2"/>
  <c r="F24" i="2"/>
  <c r="I24" i="2"/>
  <c r="J24" i="2"/>
  <c r="L24" i="2"/>
  <c r="M24" i="2"/>
  <c r="O24" i="2"/>
  <c r="P24" i="2"/>
  <c r="Q24" i="2"/>
  <c r="K24" i="2" s="1"/>
  <c r="R24" i="2"/>
  <c r="S24" i="2"/>
  <c r="D27" i="2"/>
  <c r="C27" i="2" s="1"/>
  <c r="E27" i="2"/>
  <c r="F27" i="2"/>
  <c r="I27" i="2"/>
  <c r="J27" i="2"/>
  <c r="L27" i="2"/>
  <c r="M27" i="2"/>
  <c r="O27" i="2"/>
  <c r="P27" i="2"/>
  <c r="Q27" i="2"/>
  <c r="K27" i="2" s="1"/>
  <c r="R27" i="2"/>
  <c r="S27" i="2"/>
  <c r="D28" i="2"/>
  <c r="C28" i="2" s="1"/>
  <c r="E28" i="2"/>
  <c r="F28" i="2"/>
  <c r="I28" i="2"/>
  <c r="J28" i="2"/>
  <c r="L28" i="2"/>
  <c r="M28" i="2"/>
  <c r="N28" i="2"/>
  <c r="O28" i="2"/>
  <c r="P28" i="2"/>
  <c r="Q28" i="2"/>
  <c r="K28" i="2" s="1"/>
  <c r="R28" i="2"/>
  <c r="S28" i="2"/>
  <c r="D29" i="2"/>
  <c r="C29" i="2" s="1"/>
  <c r="E29" i="2"/>
  <c r="F29" i="2"/>
  <c r="I29" i="2"/>
  <c r="J29" i="2"/>
  <c r="L29" i="2"/>
  <c r="M29" i="2"/>
  <c r="N29" i="2"/>
  <c r="O29" i="2"/>
  <c r="P29" i="2"/>
  <c r="Q29" i="2"/>
  <c r="K29" i="2" s="1"/>
  <c r="R29" i="2"/>
  <c r="S29" i="2"/>
  <c r="D30" i="2"/>
  <c r="C30" i="2" s="1"/>
  <c r="E30" i="2"/>
  <c r="F30" i="2"/>
  <c r="I30" i="2"/>
  <c r="J30" i="2"/>
  <c r="L30" i="2"/>
  <c r="M30" i="2"/>
  <c r="N30" i="2"/>
  <c r="O30" i="2"/>
  <c r="P30" i="2"/>
  <c r="Q30" i="2"/>
  <c r="K30" i="2" s="1"/>
  <c r="R30" i="2"/>
  <c r="S30" i="2"/>
  <c r="S20" i="2"/>
  <c r="R20" i="2"/>
  <c r="Q20" i="2"/>
  <c r="K20" i="2" s="1"/>
  <c r="P20" i="2"/>
  <c r="O20" i="2"/>
  <c r="N20" i="2"/>
  <c r="M20" i="2"/>
  <c r="L20" i="2"/>
  <c r="J20" i="2"/>
  <c r="I20" i="2"/>
  <c r="F20" i="2"/>
  <c r="E20" i="2"/>
  <c r="D20" i="2"/>
  <c r="C20" i="2" s="1"/>
  <c r="I7" i="2"/>
  <c r="L12" i="2"/>
  <c r="E5" i="2"/>
  <c r="I5" i="2"/>
  <c r="J5" i="2"/>
  <c r="L5" i="2"/>
  <c r="M5" i="2"/>
  <c r="N5" i="2"/>
  <c r="O5" i="2"/>
  <c r="Q5" i="2"/>
  <c r="K5" i="2" s="1"/>
  <c r="R5" i="2"/>
  <c r="S5" i="2"/>
  <c r="D6" i="2"/>
  <c r="C6" i="2" s="1"/>
  <c r="E6" i="2"/>
  <c r="I6" i="2"/>
  <c r="J6" i="2"/>
  <c r="L6" i="2"/>
  <c r="M6" i="2"/>
  <c r="N6" i="2"/>
  <c r="O6" i="2"/>
  <c r="Q6" i="2"/>
  <c r="K6" i="2" s="1"/>
  <c r="R6" i="2"/>
  <c r="S6" i="2"/>
  <c r="D7" i="2"/>
  <c r="C7" i="2" s="1"/>
  <c r="E7" i="2"/>
  <c r="J7" i="2"/>
  <c r="L7" i="2"/>
  <c r="M7" i="2"/>
  <c r="N7" i="2"/>
  <c r="O7" i="2"/>
  <c r="Q7" i="2"/>
  <c r="K7" i="2" s="1"/>
  <c r="R7" i="2"/>
  <c r="S7" i="2"/>
  <c r="D8" i="2"/>
  <c r="C8" i="2" s="1"/>
  <c r="E8" i="2"/>
  <c r="I8" i="2"/>
  <c r="J8" i="2"/>
  <c r="L8" i="2"/>
  <c r="M8" i="2"/>
  <c r="N8" i="2"/>
  <c r="O8" i="2"/>
  <c r="Q8" i="2"/>
  <c r="K8" i="2" s="1"/>
  <c r="R8" i="2"/>
  <c r="S8" i="2"/>
  <c r="D9" i="2"/>
  <c r="C9" i="2" s="1"/>
  <c r="E9" i="2"/>
  <c r="I9" i="2"/>
  <c r="J9" i="2"/>
  <c r="L9" i="2"/>
  <c r="M9" i="2"/>
  <c r="N9" i="2"/>
  <c r="O9" i="2"/>
  <c r="Q9" i="2"/>
  <c r="K9" i="2" s="1"/>
  <c r="R9" i="2"/>
  <c r="S9" i="2"/>
  <c r="D11" i="2"/>
  <c r="C11" i="2" s="1"/>
  <c r="E11" i="2"/>
  <c r="F11" i="2"/>
  <c r="I11" i="2"/>
  <c r="J11" i="2"/>
  <c r="L11" i="2"/>
  <c r="M11" i="2"/>
  <c r="N11" i="2"/>
  <c r="O11" i="2"/>
  <c r="Q11" i="2"/>
  <c r="K11" i="2" s="1"/>
  <c r="R11" i="2"/>
  <c r="S11" i="2"/>
  <c r="D12" i="2"/>
  <c r="C12" i="2" s="1"/>
  <c r="E12" i="2"/>
  <c r="F12" i="2"/>
  <c r="J12" i="2"/>
  <c r="M12" i="2"/>
  <c r="N12" i="2"/>
  <c r="O12" i="2"/>
  <c r="Q12" i="2"/>
  <c r="K12" i="2" s="1"/>
  <c r="R12" i="2"/>
  <c r="S12" i="2"/>
  <c r="D13" i="2"/>
  <c r="C13" i="2" s="1"/>
  <c r="E13" i="2"/>
  <c r="F13" i="2"/>
  <c r="I13" i="2"/>
  <c r="J13" i="2"/>
  <c r="L13" i="2"/>
  <c r="M13" i="2"/>
  <c r="N13" i="2"/>
  <c r="O13" i="2"/>
  <c r="Q13" i="2"/>
  <c r="K13" i="2" s="1"/>
  <c r="R13" i="2"/>
  <c r="S13" i="2"/>
  <c r="D14" i="2"/>
  <c r="C14" i="2" s="1"/>
  <c r="E14" i="2"/>
  <c r="F14" i="2"/>
  <c r="J14" i="2"/>
  <c r="L14" i="2"/>
  <c r="N14" i="2"/>
  <c r="O14" i="2"/>
  <c r="Q14" i="2"/>
  <c r="K14" i="2" s="1"/>
  <c r="R14" i="2"/>
  <c r="S14" i="2"/>
  <c r="Q4" i="2"/>
  <c r="K4" i="2" s="1"/>
  <c r="P4" i="2"/>
  <c r="O4" i="2"/>
  <c r="N4" i="2"/>
  <c r="M4" i="2"/>
  <c r="L4" i="2"/>
  <c r="E4" i="2"/>
  <c r="D4" i="2"/>
  <c r="C4" i="2" s="1"/>
  <c r="L16" i="2" l="1"/>
  <c r="P16" i="2"/>
  <c r="I32" i="2"/>
  <c r="N32" i="2"/>
  <c r="R32" i="2"/>
  <c r="E48" i="2"/>
  <c r="L48" i="2"/>
  <c r="P48" i="2"/>
  <c r="E64" i="2"/>
  <c r="L64" i="2"/>
  <c r="P64" i="2"/>
  <c r="E80" i="2"/>
  <c r="L80" i="2"/>
  <c r="P80" i="2"/>
  <c r="I96" i="2"/>
  <c r="N96" i="2"/>
  <c r="R96" i="2"/>
  <c r="E96" i="2"/>
  <c r="E144" i="2"/>
  <c r="L144" i="2"/>
  <c r="P144" i="2"/>
  <c r="E160" i="2"/>
  <c r="L160" i="2"/>
  <c r="P160" i="2"/>
  <c r="E176" i="2"/>
  <c r="L176" i="2"/>
  <c r="P176" i="2"/>
  <c r="E192" i="2"/>
  <c r="L192" i="2"/>
  <c r="P192" i="2"/>
  <c r="I192" i="2"/>
  <c r="N192" i="2"/>
  <c r="D192" i="2"/>
  <c r="J192" i="2"/>
  <c r="C32" i="2"/>
  <c r="Q16" i="2"/>
  <c r="J16" i="2"/>
  <c r="C16" i="2"/>
  <c r="D32" i="2"/>
  <c r="J32" i="2"/>
  <c r="O32" i="2"/>
  <c r="S32" i="2"/>
  <c r="F48" i="2"/>
  <c r="M48" i="2"/>
  <c r="Q48" i="2"/>
  <c r="F64" i="2"/>
  <c r="M64" i="2"/>
  <c r="Q64" i="2"/>
  <c r="F80" i="2"/>
  <c r="M80" i="2"/>
  <c r="Q80" i="2"/>
  <c r="J96" i="2"/>
  <c r="O96" i="2"/>
  <c r="S96" i="2"/>
  <c r="F144" i="2"/>
  <c r="M144" i="2"/>
  <c r="Q144" i="2"/>
  <c r="F160" i="2"/>
  <c r="M160" i="2"/>
  <c r="Q160" i="2"/>
  <c r="F176" i="2"/>
  <c r="M176" i="2"/>
  <c r="Q176" i="2"/>
  <c r="F192" i="2"/>
  <c r="M192" i="2"/>
  <c r="Q192" i="2"/>
  <c r="M16" i="2"/>
  <c r="D16" i="2"/>
  <c r="N16" i="2"/>
  <c r="R16" i="2"/>
  <c r="I16" i="2"/>
  <c r="E32" i="2"/>
  <c r="L32" i="2"/>
  <c r="P32" i="2"/>
  <c r="C48" i="2"/>
  <c r="I48" i="2"/>
  <c r="N48" i="2"/>
  <c r="R48" i="2"/>
  <c r="C64" i="2"/>
  <c r="I64" i="2"/>
  <c r="N64" i="2"/>
  <c r="R64" i="2"/>
  <c r="C80" i="2"/>
  <c r="I80" i="2"/>
  <c r="N80" i="2"/>
  <c r="R80" i="2"/>
  <c r="D96" i="2"/>
  <c r="L96" i="2"/>
  <c r="P96" i="2"/>
  <c r="C144" i="2"/>
  <c r="I144" i="2"/>
  <c r="N144" i="2"/>
  <c r="R144" i="2"/>
  <c r="C160" i="2"/>
  <c r="I160" i="2"/>
  <c r="N160" i="2"/>
  <c r="R160" i="2"/>
  <c r="C176" i="2"/>
  <c r="I176" i="2"/>
  <c r="N176" i="2"/>
  <c r="R176" i="2"/>
  <c r="C192" i="2"/>
  <c r="R192" i="2"/>
  <c r="E16" i="2"/>
  <c r="O16" i="2"/>
  <c r="S16" i="2"/>
  <c r="F16" i="2"/>
  <c r="F32" i="2"/>
  <c r="M32" i="2"/>
  <c r="Q32" i="2"/>
  <c r="D48" i="2"/>
  <c r="J48" i="2"/>
  <c r="O48" i="2"/>
  <c r="S48" i="2"/>
  <c r="D64" i="2"/>
  <c r="J64" i="2"/>
  <c r="O64" i="2"/>
  <c r="S64" i="2"/>
  <c r="D80" i="2"/>
  <c r="J80" i="2"/>
  <c r="O80" i="2"/>
  <c r="S80" i="2"/>
  <c r="F96" i="2"/>
  <c r="M96" i="2"/>
  <c r="Q96" i="2"/>
  <c r="C96" i="2"/>
  <c r="D144" i="2"/>
  <c r="J144" i="2"/>
  <c r="O144" i="2"/>
  <c r="S144" i="2"/>
  <c r="D160" i="2"/>
  <c r="J160" i="2"/>
  <c r="O160" i="2"/>
  <c r="S160" i="2"/>
  <c r="D176" i="2"/>
  <c r="J176" i="2"/>
  <c r="O176" i="2"/>
  <c r="S176" i="2"/>
  <c r="O192" i="2"/>
  <c r="S192" i="2"/>
  <c r="E128" i="2"/>
  <c r="L128" i="2"/>
  <c r="P128" i="2"/>
  <c r="C128" i="2"/>
  <c r="I128" i="2"/>
  <c r="N128" i="2"/>
  <c r="R128" i="2"/>
  <c r="F128" i="2"/>
  <c r="M128" i="2"/>
  <c r="Q128" i="2"/>
  <c r="D128" i="2"/>
  <c r="J128" i="2"/>
  <c r="O128" i="2"/>
  <c r="S128" i="2"/>
  <c r="U22" i="2"/>
  <c r="U20" i="2"/>
  <c r="U29" i="2"/>
  <c r="U27" i="2"/>
  <c r="U40" i="2"/>
  <c r="U5" i="2"/>
  <c r="U45" i="2"/>
  <c r="U39" i="2"/>
  <c r="U37" i="2"/>
  <c r="U24" i="2"/>
  <c r="U46" i="2"/>
  <c r="U44" i="2"/>
  <c r="U7" i="2"/>
  <c r="U189" i="2"/>
  <c r="U184" i="2"/>
  <c r="U180" i="2"/>
  <c r="U182" i="2"/>
  <c r="U157" i="2"/>
  <c r="U185" i="2"/>
  <c r="U141" i="2"/>
  <c r="U140" i="2"/>
  <c r="U137" i="2"/>
  <c r="U135" i="2"/>
  <c r="U133" i="2"/>
  <c r="U125" i="2"/>
  <c r="U120" i="2"/>
  <c r="U116" i="2"/>
  <c r="U118" i="2"/>
  <c r="U123" i="2"/>
  <c r="U126" i="2"/>
  <c r="U8" i="2"/>
  <c r="U13" i="2"/>
  <c r="U168" i="2"/>
  <c r="U166" i="2"/>
  <c r="U164" i="2"/>
  <c r="U151" i="2"/>
  <c r="U149" i="2"/>
  <c r="U173" i="2"/>
  <c r="U91" i="2"/>
  <c r="U85" i="2"/>
  <c r="U88" i="2"/>
  <c r="U84" i="2"/>
  <c r="U92" i="2"/>
  <c r="U87" i="2"/>
  <c r="U155" i="2"/>
  <c r="U152" i="2"/>
  <c r="U174" i="2"/>
  <c r="U171" i="2"/>
  <c r="U68" i="2"/>
  <c r="U75" i="2"/>
  <c r="U69" i="2"/>
  <c r="U70" i="2"/>
  <c r="U148" i="2"/>
  <c r="U61" i="2"/>
  <c r="U56" i="2"/>
  <c r="U60" i="2"/>
  <c r="U57" i="2"/>
  <c r="U55" i="2"/>
  <c r="U53" i="2"/>
  <c r="U41" i="2"/>
  <c r="U9" i="2"/>
  <c r="U12" i="2"/>
  <c r="U86" i="2"/>
  <c r="U136" i="2"/>
  <c r="U14" i="2"/>
  <c r="U11" i="2"/>
  <c r="U6" i="2"/>
  <c r="U30" i="2"/>
  <c r="U28" i="2"/>
  <c r="U25" i="2"/>
  <c r="U59" i="2"/>
  <c r="U78" i="2"/>
  <c r="U76" i="2"/>
  <c r="U94" i="2"/>
  <c r="U124" i="2"/>
  <c r="U121" i="2"/>
  <c r="U139" i="2"/>
  <c r="U150" i="2"/>
  <c r="U172" i="2"/>
  <c r="U169" i="2"/>
  <c r="U181" i="2"/>
  <c r="U23" i="2"/>
  <c r="U4" i="2"/>
  <c r="V4" i="2" s="1"/>
  <c r="W4" i="2" s="1"/>
  <c r="U21" i="2"/>
  <c r="U43" i="2"/>
  <c r="U38" i="2"/>
  <c r="U52" i="2"/>
  <c r="U62" i="2"/>
  <c r="U54" i="2"/>
  <c r="U77" i="2"/>
  <c r="U73" i="2"/>
  <c r="U71" i="2"/>
  <c r="U93" i="2"/>
  <c r="U89" i="2"/>
  <c r="U119" i="2"/>
  <c r="U117" i="2"/>
  <c r="U134" i="2"/>
  <c r="U156" i="2"/>
  <c r="U153" i="2"/>
  <c r="U167" i="2"/>
  <c r="U165" i="2"/>
  <c r="U188" i="2"/>
  <c r="U72" i="2"/>
  <c r="U132" i="2"/>
  <c r="U187" i="2"/>
  <c r="U183" i="2"/>
  <c r="T29" i="2"/>
  <c r="T28" i="2"/>
  <c r="T27" i="2"/>
  <c r="T24" i="2"/>
  <c r="T23" i="2"/>
  <c r="T22" i="2"/>
  <c r="T21" i="2"/>
  <c r="T20" i="2"/>
  <c r="T157" i="2"/>
  <c r="V174" i="2" l="1"/>
  <c r="U190" i="2"/>
  <c r="V190" i="2" s="1"/>
  <c r="U158" i="2"/>
  <c r="V158" i="2" s="1"/>
  <c r="U142" i="2"/>
  <c r="V142" i="2" s="1"/>
  <c r="V126" i="2"/>
  <c r="V78" i="2"/>
  <c r="K144" i="2"/>
  <c r="K64" i="2"/>
  <c r="K16" i="2"/>
  <c r="K48" i="2"/>
  <c r="K96" i="2"/>
  <c r="V13" i="2"/>
  <c r="K192" i="2"/>
  <c r="U36" i="2"/>
  <c r="V30" i="2"/>
  <c r="K80" i="2"/>
  <c r="K176" i="2"/>
  <c r="V46" i="2"/>
  <c r="V94" i="2"/>
  <c r="V14" i="2"/>
  <c r="W14" i="2" s="1"/>
  <c r="K160" i="2"/>
  <c r="K32" i="2"/>
  <c r="K128" i="2"/>
  <c r="V62" i="2"/>
  <c r="W30" i="2" l="1"/>
  <c r="W46" i="2" s="1"/>
  <c r="W62" i="2" s="1"/>
  <c r="W78" i="2" s="1"/>
  <c r="W94" i="2" s="1"/>
  <c r="EK20" i="1"/>
  <c r="DE20" i="1"/>
  <c r="FN20" i="1"/>
  <c r="AX37" i="1"/>
  <c r="T11" i="2" l="1"/>
  <c r="T9" i="2"/>
  <c r="T7" i="2"/>
  <c r="T6" i="2"/>
  <c r="T5" i="2"/>
  <c r="T53" i="2"/>
  <c r="T69" i="2"/>
  <c r="T85" i="2"/>
  <c r="T101" i="2"/>
  <c r="T117" i="2"/>
  <c r="T133" i="2"/>
  <c r="T149" i="2"/>
  <c r="T165" i="2"/>
  <c r="T181" i="2"/>
  <c r="T38" i="2"/>
  <c r="T54" i="2"/>
  <c r="T70" i="2"/>
  <c r="T86" i="2"/>
  <c r="T102" i="2"/>
  <c r="T118" i="2"/>
  <c r="T134" i="2"/>
  <c r="T150" i="2"/>
  <c r="T166" i="2"/>
  <c r="T182" i="2"/>
  <c r="T39" i="2"/>
  <c r="T55" i="2"/>
  <c r="T71" i="2"/>
  <c r="T87" i="2"/>
  <c r="T103" i="2"/>
  <c r="T119" i="2"/>
  <c r="T135" i="2"/>
  <c r="T151" i="2"/>
  <c r="T167" i="2"/>
  <c r="T183" i="2"/>
  <c r="T8" i="2"/>
  <c r="T40" i="2"/>
  <c r="T56" i="2"/>
  <c r="T72" i="2"/>
  <c r="T88" i="2"/>
  <c r="T104" i="2"/>
  <c r="T120" i="2"/>
  <c r="T136" i="2"/>
  <c r="T152" i="2"/>
  <c r="T168" i="2"/>
  <c r="T184" i="2"/>
  <c r="T41" i="2"/>
  <c r="T57" i="2"/>
  <c r="T73" i="2"/>
  <c r="T89" i="2"/>
  <c r="T105" i="2"/>
  <c r="T121" i="2"/>
  <c r="T137" i="2"/>
  <c r="T153" i="2"/>
  <c r="T169" i="2"/>
  <c r="T185" i="2"/>
  <c r="T43" i="2"/>
  <c r="T59" i="2"/>
  <c r="T75" i="2"/>
  <c r="T91" i="2"/>
  <c r="T107" i="2"/>
  <c r="T123" i="2"/>
  <c r="T139" i="2"/>
  <c r="T155" i="2"/>
  <c r="T171" i="2"/>
  <c r="T187" i="2"/>
  <c r="T12" i="2"/>
  <c r="T44" i="2"/>
  <c r="T60" i="2"/>
  <c r="T76" i="2"/>
  <c r="T92" i="2"/>
  <c r="T108" i="2"/>
  <c r="T124" i="2"/>
  <c r="T140" i="2"/>
  <c r="T156" i="2"/>
  <c r="T172" i="2"/>
  <c r="T188" i="2"/>
  <c r="T45" i="2"/>
  <c r="T61" i="2"/>
  <c r="T77" i="2"/>
  <c r="T93" i="2"/>
  <c r="T109" i="2"/>
  <c r="T125" i="2"/>
  <c r="T141" i="2"/>
  <c r="T173" i="2"/>
  <c r="T189" i="2"/>
  <c r="AD4" i="2"/>
  <c r="AD5" i="2"/>
  <c r="AD6" i="2"/>
  <c r="AD7" i="2"/>
  <c r="AD8" i="2"/>
  <c r="AD9" i="2"/>
  <c r="AD3" i="2"/>
  <c r="T52" i="2"/>
  <c r="T68" i="2"/>
  <c r="T84" i="2"/>
  <c r="T100" i="2"/>
  <c r="T116" i="2"/>
  <c r="T132" i="2"/>
  <c r="T148" i="2"/>
  <c r="T164" i="2"/>
  <c r="T180" i="2"/>
  <c r="FL3" i="1"/>
  <c r="EI3" i="1"/>
  <c r="DC3" i="1"/>
  <c r="AV3" i="1"/>
  <c r="T144" i="2" l="1"/>
  <c r="T192" i="2"/>
  <c r="V188" i="2"/>
  <c r="V185" i="2"/>
  <c r="V183" i="2"/>
  <c r="V189" i="2"/>
  <c r="V187" i="2"/>
  <c r="V184" i="2"/>
  <c r="V182" i="2"/>
  <c r="T80" i="2"/>
  <c r="T176" i="2"/>
  <c r="T16" i="2"/>
  <c r="AD16" i="2"/>
  <c r="T112" i="2"/>
  <c r="V167" i="2"/>
  <c r="V165" i="2"/>
  <c r="V135" i="2"/>
  <c r="V125" i="2"/>
  <c r="V137" i="2"/>
  <c r="V88" i="2"/>
  <c r="V86" i="2"/>
  <c r="V157" i="2"/>
  <c r="V155" i="2"/>
  <c r="V152" i="2"/>
  <c r="V150" i="2"/>
  <c r="V5" i="2"/>
  <c r="W5" i="2" s="1"/>
  <c r="V38" i="2"/>
  <c r="V57" i="2"/>
  <c r="V55" i="2"/>
  <c r="V53" i="2"/>
  <c r="V77" i="2"/>
  <c r="V75" i="2"/>
  <c r="V70" i="2"/>
  <c r="V92" i="2"/>
  <c r="V89" i="2"/>
  <c r="V87" i="2"/>
  <c r="V85" i="2"/>
  <c r="V124" i="2"/>
  <c r="V121" i="2"/>
  <c r="V119" i="2"/>
  <c r="V117" i="2"/>
  <c r="V141" i="2"/>
  <c r="V139" i="2"/>
  <c r="V136" i="2"/>
  <c r="V134" i="2"/>
  <c r="V156" i="2"/>
  <c r="V153" i="2"/>
  <c r="V151" i="2"/>
  <c r="V149" i="2"/>
  <c r="V173" i="2"/>
  <c r="V171" i="2"/>
  <c r="V168" i="2"/>
  <c r="V166" i="2"/>
  <c r="V24" i="2"/>
  <c r="V54" i="2"/>
  <c r="V91" i="2"/>
  <c r="V23" i="2"/>
  <c r="V21" i="2"/>
  <c r="V45" i="2"/>
  <c r="V43" i="2"/>
  <c r="V40" i="2"/>
  <c r="V60" i="2"/>
  <c r="V44" i="2"/>
  <c r="V73" i="2"/>
  <c r="V69" i="2"/>
  <c r="V181" i="2"/>
  <c r="V41" i="2"/>
  <c r="V56" i="2"/>
  <c r="V28" i="2"/>
  <c r="V25" i="2"/>
  <c r="V59" i="2"/>
  <c r="V76" i="2"/>
  <c r="V71" i="2"/>
  <c r="V22" i="2"/>
  <c r="V120" i="2"/>
  <c r="V140" i="2"/>
  <c r="V172" i="2"/>
  <c r="V169" i="2"/>
  <c r="V61" i="2"/>
  <c r="V12" i="2"/>
  <c r="W12" i="2" s="1"/>
  <c r="V29" i="2"/>
  <c r="V7" i="2"/>
  <c r="W7" i="2" s="1"/>
  <c r="V11" i="2"/>
  <c r="W11" i="2" s="1"/>
  <c r="V8" i="2"/>
  <c r="W8" i="2" s="1"/>
  <c r="W13" i="2"/>
  <c r="T160" i="2"/>
  <c r="T128" i="2"/>
  <c r="T48" i="2"/>
  <c r="V72" i="2"/>
  <c r="V118" i="2"/>
  <c r="V39" i="2"/>
  <c r="T64" i="2"/>
  <c r="T96" i="2"/>
  <c r="T32" i="2"/>
  <c r="V93" i="2"/>
  <c r="AA22" i="2" l="1"/>
  <c r="V180" i="2"/>
  <c r="V132" i="2"/>
  <c r="V133" i="2"/>
  <c r="V148" i="2"/>
  <c r="V37" i="2"/>
  <c r="V52" i="2"/>
  <c r="W21" i="2"/>
  <c r="V27" i="2"/>
  <c r="W27" i="2" s="1"/>
  <c r="W43" i="2" s="1"/>
  <c r="W59" i="2" s="1"/>
  <c r="W75" i="2" s="1"/>
  <c r="W91" i="2" s="1"/>
  <c r="W23" i="2"/>
  <c r="W39" i="2" s="1"/>
  <c r="W55" i="2" s="1"/>
  <c r="W71" i="2" s="1"/>
  <c r="W87" i="2" s="1"/>
  <c r="W28" i="2"/>
  <c r="W44" i="2" s="1"/>
  <c r="W60" i="2" s="1"/>
  <c r="W76" i="2" s="1"/>
  <c r="W92" i="2" s="1"/>
  <c r="W29" i="2"/>
  <c r="W45" i="2" s="1"/>
  <c r="W61" i="2" s="1"/>
  <c r="W77" i="2" s="1"/>
  <c r="W93" i="2" s="1"/>
  <c r="W24" i="2"/>
  <c r="W40" i="2" s="1"/>
  <c r="W56" i="2" s="1"/>
  <c r="W72" i="2" s="1"/>
  <c r="W88" i="2" s="1"/>
  <c r="V36" i="2"/>
  <c r="V20" i="2"/>
  <c r="W20" i="2" s="1"/>
  <c r="V68" i="2"/>
  <c r="U80" i="2"/>
  <c r="V116" i="2"/>
  <c r="U96" i="2"/>
  <c r="V84" i="2"/>
  <c r="V6" i="2"/>
  <c r="W6" i="2" s="1"/>
  <c r="W22" i="2" s="1"/>
  <c r="W38" i="2" s="1"/>
  <c r="W54" i="2" s="1"/>
  <c r="W70" i="2" s="1"/>
  <c r="W86" i="2" s="1"/>
  <c r="V9" i="2"/>
  <c r="W9" i="2" s="1"/>
  <c r="W25" i="2" s="1"/>
  <c r="W41" i="2" s="1"/>
  <c r="W57" i="2" s="1"/>
  <c r="W73" i="2" s="1"/>
  <c r="W89" i="2" s="1"/>
  <c r="V164" i="2"/>
  <c r="U176" i="2"/>
  <c r="V123" i="2"/>
  <c r="U192" i="2" l="1"/>
  <c r="U144" i="2"/>
  <c r="U32" i="2"/>
  <c r="U160" i="2"/>
  <c r="W37" i="2"/>
  <c r="W53" i="2" s="1"/>
  <c r="W69" i="2" s="1"/>
  <c r="W85" i="2" s="1"/>
  <c r="U48" i="2"/>
  <c r="U64" i="2"/>
  <c r="W36" i="2"/>
  <c r="W52" i="2" s="1"/>
  <c r="W68" i="2" s="1"/>
  <c r="W84" i="2" s="1"/>
  <c r="U16" i="2"/>
  <c r="U128" i="2"/>
  <c r="AA23" i="2" l="1"/>
  <c r="AA24" i="2" s="1"/>
  <c r="AA25" i="2" s="1"/>
  <c r="N105" i="2" l="1"/>
  <c r="N9" i="3" s="1"/>
  <c r="F104" i="2"/>
  <c r="F8" i="3" s="1"/>
  <c r="Q108" i="2"/>
  <c r="D110" i="2"/>
  <c r="H104" i="2"/>
  <c r="E103" i="2"/>
  <c r="E7" i="3" s="1"/>
  <c r="P109" i="2"/>
  <c r="P13" i="3" s="1"/>
  <c r="P102" i="2"/>
  <c r="P108" i="2"/>
  <c r="P12" i="3" s="1"/>
  <c r="R102" i="2"/>
  <c r="R6" i="3" s="1"/>
  <c r="H108" i="2"/>
  <c r="H110" i="2"/>
  <c r="Q101" i="2"/>
  <c r="O110" i="2"/>
  <c r="O14" i="3" s="1"/>
  <c r="J105" i="2"/>
  <c r="J9" i="3" s="1"/>
  <c r="M107" i="2"/>
  <c r="M11" i="3" s="1"/>
  <c r="J104" i="2"/>
  <c r="J8" i="3" s="1"/>
  <c r="D108" i="2"/>
  <c r="L104" i="2"/>
  <c r="L8" i="3" s="1"/>
  <c r="O101" i="2"/>
  <c r="O5" i="3" s="1"/>
  <c r="L101" i="2"/>
  <c r="L5" i="3" s="1"/>
  <c r="I101" i="2"/>
  <c r="I5" i="3" s="1"/>
  <c r="O103" i="2"/>
  <c r="O7" i="3" s="1"/>
  <c r="H101" i="2"/>
  <c r="I107" i="2"/>
  <c r="I11" i="3" s="1"/>
  <c r="F107" i="2"/>
  <c r="F11" i="3" s="1"/>
  <c r="N108" i="2"/>
  <c r="N12" i="3" s="1"/>
  <c r="J103" i="2"/>
  <c r="J7" i="3" s="1"/>
  <c r="R103" i="2"/>
  <c r="R7" i="3" s="1"/>
  <c r="J108" i="2"/>
  <c r="J12" i="3" s="1"/>
  <c r="P101" i="2"/>
  <c r="P5" i="3" s="1"/>
  <c r="D103" i="2"/>
  <c r="Q107" i="2"/>
  <c r="F109" i="2"/>
  <c r="F13" i="3" s="1"/>
  <c r="E102" i="2"/>
  <c r="E6" i="3" s="1"/>
  <c r="P105" i="2"/>
  <c r="P9" i="3" s="1"/>
  <c r="R100" i="2"/>
  <c r="R101" i="2"/>
  <c r="R5" i="3" s="1"/>
  <c r="M101" i="2"/>
  <c r="M5" i="3" s="1"/>
  <c r="D101" i="2"/>
  <c r="N110" i="2"/>
  <c r="N14" i="3" s="1"/>
  <c r="H100" i="2"/>
  <c r="G100" i="2" s="1"/>
  <c r="G4" i="3" s="1"/>
  <c r="R108" i="2"/>
  <c r="R12" i="3" s="1"/>
  <c r="E105" i="2"/>
  <c r="E9" i="3" s="1"/>
  <c r="S110" i="2"/>
  <c r="S14" i="3" s="1"/>
  <c r="H102" i="2"/>
  <c r="Q110" i="2"/>
  <c r="F110" i="2"/>
  <c r="F14" i="3" s="1"/>
  <c r="M100" i="2"/>
  <c r="M4" i="3" s="1"/>
  <c r="J109" i="2"/>
  <c r="J13" i="3" s="1"/>
  <c r="I104" i="2"/>
  <c r="I8" i="3" s="1"/>
  <c r="R105" i="2"/>
  <c r="R9" i="3" s="1"/>
  <c r="S105" i="2"/>
  <c r="S9" i="3" s="1"/>
  <c r="Q105" i="2"/>
  <c r="P107" i="2"/>
  <c r="M104" i="2"/>
  <c r="M8" i="3" s="1"/>
  <c r="H105" i="2"/>
  <c r="J100" i="2"/>
  <c r="J4" i="3" s="1"/>
  <c r="M108" i="2"/>
  <c r="M12" i="3" s="1"/>
  <c r="N107" i="2"/>
  <c r="N11" i="3" s="1"/>
  <c r="N109" i="2"/>
  <c r="N13" i="3" s="1"/>
  <c r="H107" i="2"/>
  <c r="L105" i="2"/>
  <c r="L9" i="3" s="1"/>
  <c r="S100" i="2"/>
  <c r="D100" i="2"/>
  <c r="O109" i="2"/>
  <c r="O13" i="3" s="1"/>
  <c r="E110" i="2"/>
  <c r="E14" i="3" s="1"/>
  <c r="O108" i="2"/>
  <c r="O12" i="3" s="1"/>
  <c r="E108" i="2"/>
  <c r="E12" i="3" s="1"/>
  <c r="P110" i="2"/>
  <c r="O102" i="2"/>
  <c r="O6" i="3" s="1"/>
  <c r="Q100" i="2"/>
  <c r="E101" i="2"/>
  <c r="E5" i="3" s="1"/>
  <c r="L108" i="2"/>
  <c r="L12" i="3" s="1"/>
  <c r="L100" i="2"/>
  <c r="E109" i="2"/>
  <c r="E13" i="3" s="1"/>
  <c r="E104" i="2"/>
  <c r="E8" i="3" s="1"/>
  <c r="I103" i="2"/>
  <c r="I7" i="3" s="1"/>
  <c r="N103" i="2"/>
  <c r="N7" i="3" s="1"/>
  <c r="I109" i="2"/>
  <c r="I13" i="3" s="1"/>
  <c r="F103" i="2"/>
  <c r="F7" i="3" s="1"/>
  <c r="E107" i="2"/>
  <c r="E11" i="3" s="1"/>
  <c r="H109" i="2"/>
  <c r="R104" i="2"/>
  <c r="R8" i="3" s="1"/>
  <c r="S107" i="2"/>
  <c r="S11" i="3" s="1"/>
  <c r="M102" i="2"/>
  <c r="M6" i="3" s="1"/>
  <c r="I108" i="2"/>
  <c r="I12" i="3" s="1"/>
  <c r="J107" i="2"/>
  <c r="J11" i="3" s="1"/>
  <c r="L103" i="2"/>
  <c r="L7" i="3" s="1"/>
  <c r="D102" i="2"/>
  <c r="O107" i="2"/>
  <c r="O11" i="3" s="1"/>
  <c r="F102" i="2"/>
  <c r="F6" i="3" s="1"/>
  <c r="F108" i="2"/>
  <c r="F12" i="3" s="1"/>
  <c r="P100" i="2"/>
  <c r="P4" i="3" s="1"/>
  <c r="Q109" i="2"/>
  <c r="R109" i="2"/>
  <c r="R13" i="3" s="1"/>
  <c r="M103" i="2"/>
  <c r="M7" i="3" s="1"/>
  <c r="F100" i="2"/>
  <c r="F4" i="3" s="1"/>
  <c r="S108" i="2"/>
  <c r="S12" i="3" s="1"/>
  <c r="I100" i="2"/>
  <c r="I4" i="3" s="1"/>
  <c r="J102" i="2"/>
  <c r="J6" i="3" s="1"/>
  <c r="S104" i="2"/>
  <c r="S8" i="3" s="1"/>
  <c r="D104" i="2"/>
  <c r="E100" i="2"/>
  <c r="O104" i="2"/>
  <c r="O8" i="3" s="1"/>
  <c r="N101" i="2"/>
  <c r="N5" i="3" s="1"/>
  <c r="Q102" i="2"/>
  <c r="M105" i="2"/>
  <c r="M9" i="3" s="1"/>
  <c r="I102" i="2"/>
  <c r="H103" i="2"/>
  <c r="S101" i="2"/>
  <c r="S5" i="3" s="1"/>
  <c r="N102" i="2"/>
  <c r="N6" i="3" s="1"/>
  <c r="S109" i="2"/>
  <c r="S13" i="3" s="1"/>
  <c r="L110" i="2"/>
  <c r="L14" i="3" s="1"/>
  <c r="L109" i="2"/>
  <c r="L13" i="3" s="1"/>
  <c r="L102" i="2"/>
  <c r="L6" i="3" s="1"/>
  <c r="N104" i="2"/>
  <c r="N8" i="3" s="1"/>
  <c r="Q104" i="2"/>
  <c r="R110" i="2"/>
  <c r="R14" i="3" s="1"/>
  <c r="P103" i="2"/>
  <c r="P7" i="3" s="1"/>
  <c r="O100" i="2"/>
  <c r="O4" i="3" s="1"/>
  <c r="L107" i="2"/>
  <c r="L11" i="3" s="1"/>
  <c r="F105" i="2"/>
  <c r="P104" i="2"/>
  <c r="P8" i="3" s="1"/>
  <c r="J110" i="2"/>
  <c r="J14" i="3" s="1"/>
  <c r="F101" i="2"/>
  <c r="F5" i="3" s="1"/>
  <c r="J101" i="2"/>
  <c r="S102" i="2"/>
  <c r="S6" i="3" s="1"/>
  <c r="S103" i="2"/>
  <c r="S7" i="3" s="1"/>
  <c r="M109" i="2"/>
  <c r="M13" i="3" s="1"/>
  <c r="D105" i="2"/>
  <c r="Q103" i="2"/>
  <c r="D107" i="2"/>
  <c r="I105" i="2"/>
  <c r="I9" i="3" s="1"/>
  <c r="D109" i="2"/>
  <c r="N100" i="2"/>
  <c r="O105" i="2"/>
  <c r="O9" i="3" s="1"/>
  <c r="M110" i="2"/>
  <c r="M14" i="3" s="1"/>
  <c r="R107" i="2"/>
  <c r="R11" i="3" s="1"/>
  <c r="I110" i="2"/>
  <c r="I14" i="3" s="1"/>
  <c r="D11" i="3" l="1"/>
  <c r="C107" i="2"/>
  <c r="C11" i="3" s="1"/>
  <c r="Q7" i="3"/>
  <c r="K103" i="2"/>
  <c r="K7" i="3" s="1"/>
  <c r="Q8" i="3"/>
  <c r="K104" i="2"/>
  <c r="K8" i="3" s="1"/>
  <c r="H7" i="3"/>
  <c r="G103" i="2"/>
  <c r="G7" i="3" s="1"/>
  <c r="D8" i="3"/>
  <c r="C104" i="2"/>
  <c r="C8" i="3" s="1"/>
  <c r="Q13" i="3"/>
  <c r="K109" i="2"/>
  <c r="K13" i="3" s="1"/>
  <c r="Q4" i="3"/>
  <c r="K100" i="2"/>
  <c r="D4" i="3"/>
  <c r="C100" i="2"/>
  <c r="C4" i="3" s="1"/>
  <c r="H9" i="3"/>
  <c r="G105" i="2"/>
  <c r="G9" i="3" s="1"/>
  <c r="D9" i="3"/>
  <c r="C105" i="2"/>
  <c r="C9" i="3" s="1"/>
  <c r="Q11" i="3"/>
  <c r="K107" i="2"/>
  <c r="K11" i="3" s="1"/>
  <c r="Q5" i="3"/>
  <c r="K101" i="2"/>
  <c r="K5" i="3" s="1"/>
  <c r="H8" i="3"/>
  <c r="G104" i="2"/>
  <c r="G8" i="3" s="1"/>
  <c r="Q14" i="3"/>
  <c r="K110" i="2"/>
  <c r="K14" i="3" s="1"/>
  <c r="D5" i="3"/>
  <c r="C101" i="2"/>
  <c r="C5" i="3" s="1"/>
  <c r="D7" i="3"/>
  <c r="C103" i="2"/>
  <c r="C7" i="3" s="1"/>
  <c r="H14" i="3"/>
  <c r="G110" i="2"/>
  <c r="G14" i="3" s="1"/>
  <c r="D14" i="3"/>
  <c r="C110" i="2"/>
  <c r="C14" i="3" s="1"/>
  <c r="D13" i="3"/>
  <c r="C109" i="2"/>
  <c r="C13" i="3" s="1"/>
  <c r="Q6" i="3"/>
  <c r="K102" i="2"/>
  <c r="K6" i="3" s="1"/>
  <c r="H11" i="3"/>
  <c r="G107" i="2"/>
  <c r="G11" i="3" s="1"/>
  <c r="Q9" i="3"/>
  <c r="K105" i="2"/>
  <c r="K9" i="3" s="1"/>
  <c r="H6" i="3"/>
  <c r="G102" i="2"/>
  <c r="G6" i="3" s="1"/>
  <c r="H12" i="3"/>
  <c r="G108" i="2"/>
  <c r="G12" i="3" s="1"/>
  <c r="H13" i="3"/>
  <c r="G109" i="2"/>
  <c r="G13" i="3" s="1"/>
  <c r="D12" i="3"/>
  <c r="C108" i="2"/>
  <c r="Q12" i="3"/>
  <c r="K108" i="2"/>
  <c r="K12" i="3" s="1"/>
  <c r="D6" i="3"/>
  <c r="C102" i="2"/>
  <c r="C6" i="3" s="1"/>
  <c r="H5" i="3"/>
  <c r="G101" i="2"/>
  <c r="J112" i="2"/>
  <c r="J15" i="3" s="1"/>
  <c r="J5" i="3"/>
  <c r="F112" i="2"/>
  <c r="F15" i="3" s="1"/>
  <c r="P11" i="3"/>
  <c r="I112" i="2"/>
  <c r="I15" i="3" s="1"/>
  <c r="N112" i="2"/>
  <c r="N15" i="3" s="1"/>
  <c r="E112" i="2"/>
  <c r="E15" i="3" s="1"/>
  <c r="P112" i="2"/>
  <c r="P15" i="3" s="1"/>
  <c r="F9" i="3"/>
  <c r="O112" i="2"/>
  <c r="O15" i="3" s="1"/>
  <c r="I6" i="3"/>
  <c r="E4" i="3"/>
  <c r="M112" i="2"/>
  <c r="M15" i="3" s="1"/>
  <c r="L112" i="2"/>
  <c r="L15" i="3" s="1"/>
  <c r="L4" i="3"/>
  <c r="S112" i="2"/>
  <c r="S15" i="3" s="1"/>
  <c r="N4" i="3"/>
  <c r="H112" i="2"/>
  <c r="H15" i="3" s="1"/>
  <c r="H4" i="3"/>
  <c r="S4" i="3"/>
  <c r="P14" i="3"/>
  <c r="R112" i="2"/>
  <c r="R15" i="3" s="1"/>
  <c r="R4" i="3"/>
  <c r="Q112" i="2"/>
  <c r="Q15" i="3" s="1"/>
  <c r="D112" i="2"/>
  <c r="D15" i="3" s="1"/>
  <c r="P6" i="3"/>
  <c r="C12" i="3" l="1"/>
  <c r="G112" i="2"/>
  <c r="G15" i="3" s="1"/>
  <c r="G5" i="3"/>
  <c r="C112" i="2"/>
  <c r="C15" i="3" s="1"/>
  <c r="U100" i="2"/>
  <c r="V100" i="2" s="1"/>
  <c r="W100" i="2" s="1"/>
  <c r="W116" i="2" s="1"/>
  <c r="W132" i="2" s="1"/>
  <c r="W148" i="2" s="1"/>
  <c r="W164" i="2" s="1"/>
  <c r="W180" i="2" s="1"/>
  <c r="U107" i="2"/>
  <c r="V107" i="2" s="1"/>
  <c r="W107" i="2" s="1"/>
  <c r="W123" i="2" s="1"/>
  <c r="W139" i="2" s="1"/>
  <c r="W155" i="2" s="1"/>
  <c r="W171" i="2" s="1"/>
  <c r="W187" i="2" s="1"/>
  <c r="U102" i="2"/>
  <c r="V102" i="2" s="1"/>
  <c r="W102" i="2" s="1"/>
  <c r="W118" i="2" s="1"/>
  <c r="W134" i="2" s="1"/>
  <c r="W150" i="2" s="1"/>
  <c r="W166" i="2" s="1"/>
  <c r="W182" i="2" s="1"/>
  <c r="U101" i="2"/>
  <c r="V101" i="2" s="1"/>
  <c r="W101" i="2" s="1"/>
  <c r="W117" i="2" s="1"/>
  <c r="W133" i="2" s="1"/>
  <c r="W149" i="2" s="1"/>
  <c r="W165" i="2" s="1"/>
  <c r="W181" i="2" s="1"/>
  <c r="U109" i="2"/>
  <c r="V109" i="2" s="1"/>
  <c r="W109" i="2" s="1"/>
  <c r="W125" i="2" s="1"/>
  <c r="W141" i="2" s="1"/>
  <c r="W157" i="2" s="1"/>
  <c r="W173" i="2" s="1"/>
  <c r="W189" i="2" s="1"/>
  <c r="U105" i="2"/>
  <c r="V105" i="2" s="1"/>
  <c r="W105" i="2" s="1"/>
  <c r="W121" i="2" s="1"/>
  <c r="W137" i="2" s="1"/>
  <c r="W153" i="2" s="1"/>
  <c r="W169" i="2" s="1"/>
  <c r="W185" i="2" s="1"/>
  <c r="U103" i="2"/>
  <c r="V103" i="2" s="1"/>
  <c r="W103" i="2" s="1"/>
  <c r="W119" i="2" s="1"/>
  <c r="W135" i="2" s="1"/>
  <c r="W151" i="2" s="1"/>
  <c r="W167" i="2" s="1"/>
  <c r="W183" i="2" s="1"/>
  <c r="K4" i="3"/>
  <c r="U108" i="2"/>
  <c r="V108" i="2" s="1"/>
  <c r="W108" i="2" s="1"/>
  <c r="W124" i="2" s="1"/>
  <c r="W140" i="2" s="1"/>
  <c r="W156" i="2" s="1"/>
  <c r="W172" i="2" s="1"/>
  <c r="W188" i="2" s="1"/>
  <c r="U104" i="2"/>
  <c r="V104" i="2" s="1"/>
  <c r="W104" i="2" s="1"/>
  <c r="W120" i="2" s="1"/>
  <c r="W136" i="2" s="1"/>
  <c r="W152" i="2" s="1"/>
  <c r="W168" i="2" s="1"/>
  <c r="W184" i="2" s="1"/>
  <c r="U110" i="2"/>
  <c r="V110" i="2" s="1"/>
  <c r="W110" i="2" s="1"/>
  <c r="W126" i="2" s="1"/>
  <c r="W142" i="2" s="1"/>
  <c r="W158" i="2" s="1"/>
  <c r="W174" i="2" s="1"/>
  <c r="W190" i="2" s="1"/>
  <c r="K112" i="2"/>
  <c r="K15" i="3" s="1"/>
  <c r="U11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Putschler, Walter (054)</author>
  </authors>
  <commentList>
    <comment ref="AK7" authorId="0" shapeId="0" xr:uid="{140DC5E0-18E9-4E21-833B-B4F7387F082B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AR7" authorId="0" shapeId="0" xr:uid="{75AD49C9-A377-4F58-AE3E-8F96491F9E42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AY7" authorId="0" shapeId="0" xr:uid="{D2882AD8-4802-4AC6-BE9A-28BD3A53DFC7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BM7" authorId="0" shapeId="0" xr:uid="{0FBA8BF1-C41F-46D3-ADD8-EE60D96E56DC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BT7" authorId="0" shapeId="0" xr:uid="{38E69536-B8A1-439F-8249-5D756C23B810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CA7" authorId="0" shapeId="0" xr:uid="{A0CAD002-4F65-4E7F-BE10-DFAFC19D5DE4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CH7" authorId="0" shapeId="0" xr:uid="{6877701E-87F9-4852-A474-ED1058EE4C7F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DC7" authorId="0" shapeId="0" xr:uid="{BB5C1933-77A8-4CBA-A4F1-BC4FB3D67BEE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DJ7" authorId="0" shapeId="0" xr:uid="{675860EE-E1E7-4ACF-A618-1C58DF967A2F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DQ7" authorId="0" shapeId="0" xr:uid="{088CD623-FDCD-4C11-B933-377AEB5C4A8D}">
      <text>
        <r>
          <rPr>
            <b/>
            <sz val="9"/>
            <color indexed="10"/>
            <rFont val="Segoe UI"/>
            <family val="2"/>
          </rPr>
          <t xml:space="preserve">Raum für Verabschiedung geblockt
</t>
        </r>
      </text>
    </comment>
    <comment ref="V8" authorId="0" shapeId="0" xr:uid="{44E13F61-95E8-4E15-ACE7-1A65315C6E87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C8" authorId="0" shapeId="0" xr:uid="{2859650A-F102-4897-A22E-938DF7635C0E}">
      <text>
        <r>
          <rPr>
            <b/>
            <sz val="9"/>
            <color indexed="10"/>
            <rFont val="Segoe UI"/>
            <family val="2"/>
          </rPr>
          <t xml:space="preserve">Monatlicher Verfallscheck RTW </t>
        </r>
      </text>
    </comment>
    <comment ref="AX8" authorId="0" shapeId="0" xr:uid="{5A96C638-699A-42FB-944D-18E8B2136A09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Y8" authorId="0" shapeId="0" xr:uid="{BE8EF418-CB28-4099-B09F-79640E589A2C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BD8" authorId="0" shapeId="0" xr:uid="{2A98ABBB-5B71-45F3-968A-D4ED98BFF34B}">
      <text>
        <r>
          <rPr>
            <b/>
            <sz val="9"/>
            <color indexed="10"/>
            <rFont val="Segoe UI"/>
            <family val="2"/>
          </rPr>
          <t xml:space="preserve">13:00 Uhr Teams Austausch mit J. Koch </t>
        </r>
      </text>
    </comment>
    <comment ref="BL8" authorId="0" shapeId="0" xr:uid="{E9DCF332-9BAF-41D3-99C7-37E79AFAAB06}">
      <text>
        <r>
          <rPr>
            <b/>
            <sz val="9"/>
            <color indexed="10"/>
            <rFont val="Segoe UI"/>
            <family val="2"/>
          </rPr>
          <t xml:space="preserve">priv. Termin gegen 10:00 Uhr anwesend
</t>
        </r>
      </text>
    </comment>
    <comment ref="CB8" authorId="0" shapeId="0" xr:uid="{A63D84AC-887A-4D81-A93B-15172A675578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C8" authorId="0" shapeId="0" xr:uid="{B6B5C9D5-F7B0-4B46-BEC8-04C4060FF113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H8" authorId="0" shapeId="0" xr:uid="{9CAB757F-B12B-48C0-8815-92633C213CBA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DP8" authorId="0" shapeId="0" xr:uid="{5C6FA705-7149-4C04-8609-C1129035ABA0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I9" authorId="0" shapeId="0" xr:uid="{E65F1A37-8FC2-4B3B-96F8-6D3E92206430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J9" authorId="0" shapeId="0" xr:uid="{77FC10B0-BFB5-4188-9CD9-C9E30764A6BB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K9" authorId="0" shapeId="0" xr:uid="{1D2BCCF8-21FE-421A-98FC-39077AD5FC6C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BS9" authorId="0" shapeId="0" xr:uid="{5088DC29-55B5-43CB-852A-E13F3204F581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A9" authorId="0" shapeId="0" xr:uid="{8B6F70A5-036A-465A-9441-AA77DB4907CB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CB9" authorId="0" shapeId="0" xr:uid="{26BBF074-6150-4E5A-A100-8FD010B51174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C9" authorId="0" shapeId="0" xr:uid="{25805DC2-8257-4859-9548-BC0E45C4E7EC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D10" authorId="0" shapeId="0" xr:uid="{26EDF2B3-6D71-4071-B926-2ABE4E0B4534}">
      <text>
        <r>
          <rPr>
            <b/>
            <sz val="9"/>
            <color indexed="10"/>
            <rFont val="Segoe UI"/>
            <family val="2"/>
          </rPr>
          <t xml:space="preserve">AZ 08:00 - 14:30 Uhr
</t>
        </r>
      </text>
    </comment>
    <comment ref="BF10" authorId="0" shapeId="0" xr:uid="{98965731-66E1-45A5-BDD3-6C8C3C8BD05E}">
      <text>
        <r>
          <rPr>
            <b/>
            <sz val="9"/>
            <color indexed="10"/>
            <rFont val="Segoe UI"/>
            <family val="2"/>
          </rPr>
          <t xml:space="preserve">AZ 08:00 - 14:30 Uhr
</t>
        </r>
      </text>
    </comment>
    <comment ref="BH10" authorId="0" shapeId="0" xr:uid="{CB98F412-DF88-4D88-8D61-502D23D58C0A}">
      <text>
        <r>
          <rPr>
            <b/>
            <sz val="9"/>
            <color indexed="10"/>
            <rFont val="Segoe UI"/>
            <family val="2"/>
          </rPr>
          <t xml:space="preserve">AZ 08:00 - 14:30 Uhr
</t>
        </r>
      </text>
    </comment>
    <comment ref="BK10" authorId="0" shapeId="0" xr:uid="{B166A185-5731-4404-824E-ACD8BF0A7E48}">
      <text>
        <r>
          <rPr>
            <b/>
            <sz val="9"/>
            <color indexed="10"/>
            <rFont val="Segoe UI"/>
            <family val="2"/>
          </rPr>
          <t xml:space="preserve">AZ 08:00 - 14:30 Uhr
</t>
        </r>
      </text>
    </comment>
    <comment ref="BL10" authorId="0" shapeId="0" xr:uid="{DC6CC806-7B19-45DA-BBE2-83A3FB955019}">
      <text>
        <r>
          <rPr>
            <b/>
            <sz val="9"/>
            <color indexed="10"/>
            <rFont val="Segoe UI"/>
            <family val="2"/>
          </rPr>
          <t xml:space="preserve">AZ 08:00 - 14:30 Uhr
</t>
        </r>
      </text>
    </comment>
    <comment ref="BM10" authorId="0" shapeId="0" xr:uid="{F5CE0ABF-5A1D-4A4D-AF67-E6D599ECB90A}">
      <text>
        <r>
          <rPr>
            <b/>
            <sz val="9"/>
            <color indexed="10"/>
            <rFont val="Segoe UI"/>
            <family val="2"/>
          </rPr>
          <t xml:space="preserve">AZ 08:00 - 14:30 Uhr
</t>
        </r>
      </text>
    </comment>
    <comment ref="BN10" authorId="0" shapeId="0" xr:uid="{F7C19917-655D-4D5D-B3F9-901F16688124}">
      <text>
        <r>
          <rPr>
            <b/>
            <sz val="9"/>
            <color indexed="10"/>
            <rFont val="Segoe UI"/>
            <family val="2"/>
          </rPr>
          <t xml:space="preserve">AZ 08:00 - 14:30 Uhr
</t>
        </r>
      </text>
    </comment>
    <comment ref="BO10" authorId="0" shapeId="0" xr:uid="{84B1D080-C724-45DD-B356-A7C2A67F2838}">
      <text>
        <r>
          <rPr>
            <b/>
            <sz val="9"/>
            <color indexed="10"/>
            <rFont val="Segoe UI"/>
            <family val="2"/>
          </rPr>
          <t xml:space="preserve">AZ 08:00 - 14:30 Uhr
</t>
        </r>
      </text>
    </comment>
    <comment ref="BR10" authorId="0" shapeId="0" xr:uid="{3FF5FB85-3A62-47FC-826E-7C5151DB7DE9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BS10" authorId="0" shapeId="0" xr:uid="{EDD4A187-4E85-4536-AC30-15969333D6ED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BT10" authorId="0" shapeId="0" xr:uid="{3457B086-2D49-432C-B5AB-790D46B9AAA5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BU10" authorId="0" shapeId="0" xr:uid="{27F00B23-4B7F-4A65-B71D-04D5640A7ABF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BV10" authorId="0" shapeId="0" xr:uid="{CE8EB38B-E430-4AD9-BF8B-B75810505674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BY10" authorId="0" shapeId="0" xr:uid="{6B32FF13-79AC-46CB-8B0E-04C21F77567D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BZ10" authorId="0" shapeId="0" xr:uid="{C9F91789-B82D-430A-B3B7-BDF7EBB37B35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A10" authorId="0" shapeId="0" xr:uid="{4058EF98-C620-466E-BA48-1F1EBDDF1A59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B10" authorId="0" shapeId="0" xr:uid="{EEAE7870-6397-4AF9-9FE7-797790D67F85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C10" authorId="0" shapeId="0" xr:uid="{E1A5B612-C803-494F-A8DE-B3AC4A3A8057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F10" authorId="0" shapeId="0" xr:uid="{E620BFB4-B7E1-4E27-A9E0-FE89223382F3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G10" authorId="0" shapeId="0" xr:uid="{6986EE72-1F88-4D21-A194-8D23D27F5A21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H10" authorId="0" shapeId="0" xr:uid="{EB561870-BFC9-4B6C-ABA0-91B692516234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I10" authorId="0" shapeId="0" xr:uid="{AB478DE9-A9E9-4832-87F7-F710BB08950A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J10" authorId="0" shapeId="0" xr:uid="{6C2B7B50-5A47-480E-B294-68119CEE0C0D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M10" authorId="0" shapeId="0" xr:uid="{CC15E0DF-637C-4FD4-A383-6F082494407A}">
      <text>
        <r>
          <rPr>
            <b/>
            <u/>
            <sz val="9"/>
            <color indexed="10"/>
            <rFont val="Segoe UI"/>
            <family val="2"/>
          </rPr>
          <t>Monatlicher Verfallscheck:</t>
        </r>
        <r>
          <rPr>
            <b/>
            <sz val="9"/>
            <color indexed="10"/>
            <rFont val="Segoe UI"/>
            <family val="2"/>
          </rPr>
          <t xml:space="preserve"> 
- RTW 83/1 u. 83/2
- Ambulanz RA u. KU
- Diag. 1 u. 2
- Physik. Therap.
</t>
        </r>
      </text>
    </comment>
    <comment ref="CN10" authorId="0" shapeId="0" xr:uid="{8B436770-233D-410A-8F8F-7775323669FE}">
      <text>
        <r>
          <rPr>
            <b/>
            <u/>
            <sz val="9"/>
            <color indexed="10"/>
            <rFont val="Segoe UI"/>
            <family val="2"/>
          </rPr>
          <t>Monatlicher Verfallscheck:</t>
        </r>
        <r>
          <rPr>
            <b/>
            <sz val="9"/>
            <color indexed="10"/>
            <rFont val="Segoe UI"/>
            <family val="2"/>
          </rPr>
          <t xml:space="preserve"> 
- RTW 83/1 u. 83/2
- Ambulanz RA u. KU
- Diag. 1 u. 2
- Physik. Therap.
</t>
        </r>
      </text>
    </comment>
    <comment ref="CO10" authorId="0" shapeId="0" xr:uid="{BF7C2E58-82F5-4905-B8C2-0D870D2CC952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P10" authorId="0" shapeId="0" xr:uid="{567B0A0F-A9F8-4301-9E6D-2C3546330CF4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U10" authorId="0" shapeId="0" xr:uid="{78710E89-D2B7-495C-9E3F-DC5BE2F70EA6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V10" authorId="0" shapeId="0" xr:uid="{DB1E510F-5A3A-4ECB-9063-750760E5EBAC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W10" authorId="0" shapeId="0" xr:uid="{773505DF-CF65-4DC6-A310-EA6E933B1C06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X10" authorId="0" shapeId="0" xr:uid="{9249DF6F-5092-4299-8D7C-4B43C4979ED5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CZ10" authorId="0" shapeId="0" xr:uid="{0F24173A-4D8B-4672-930B-62184B79D848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DA10" authorId="0" shapeId="0" xr:uid="{A520468D-C50F-4CF7-ABE6-6E860A8CC925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DB10" authorId="0" shapeId="0" xr:uid="{9FB1483C-0F20-49F7-B3EC-FBECD1650DB1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DC10" authorId="0" shapeId="0" xr:uid="{8C926F88-AD9D-44F2-87D1-066288919C13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DD10" authorId="0" shapeId="0" xr:uid="{506D95F2-524E-4CAF-970A-079D99B33DAC}">
      <text>
        <r>
          <rPr>
            <b/>
            <sz val="9"/>
            <color indexed="10"/>
            <rFont val="Segoe UI"/>
            <family val="2"/>
          </rPr>
          <t xml:space="preserve">AZ 06:00 - 12:00 Uhr
</t>
        </r>
      </text>
    </comment>
    <comment ref="D11" authorId="0" shapeId="0" xr:uid="{100690D7-D2DC-4305-83B2-711141323E6D}">
      <text>
        <r>
          <rPr>
            <b/>
            <sz val="9"/>
            <color indexed="10"/>
            <rFont val="Segoe UI"/>
            <family val="2"/>
          </rPr>
          <t xml:space="preserve">Arbeitszeitregelung folgt noch!
</t>
        </r>
      </text>
    </comment>
    <comment ref="G11" authorId="0" shapeId="0" xr:uid="{E0E24169-D550-4C94-BD15-FB0BD05A014C}">
      <text>
        <r>
          <rPr>
            <b/>
            <sz val="9"/>
            <color indexed="10"/>
            <rFont val="Segoe UI"/>
            <family val="2"/>
          </rPr>
          <t xml:space="preserve">Arbeitszeitregelung folgt noch!
</t>
        </r>
      </text>
    </comment>
    <comment ref="AK11" authorId="0" shapeId="0" xr:uid="{AC17C7B9-EDF3-4BE7-8877-0665C21596A7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AL11" authorId="0" shapeId="0" xr:uid="{9001B60B-6689-4F12-8EC2-7C986F3EE42C}">
      <text>
        <r>
          <rPr>
            <b/>
            <sz val="9"/>
            <color indexed="10"/>
            <rFont val="Segoe UI"/>
            <family val="2"/>
          </rPr>
          <t xml:space="preserve">QM-Themen in UT bei T. Fritz
</t>
        </r>
      </text>
    </comment>
    <comment ref="AQ11" authorId="0" shapeId="0" xr:uid="{10697DC8-5620-40AE-A1AE-2FD85F3D1556}">
      <text>
        <r>
          <rPr>
            <b/>
            <sz val="9"/>
            <color indexed="10"/>
            <rFont val="Tahoma"/>
            <family val="2"/>
          </rPr>
          <t xml:space="preserve">alle 8 Wochen einzuplanen
</t>
        </r>
      </text>
    </comment>
    <comment ref="AR11" authorId="0" shapeId="0" xr:uid="{7315F3CF-75FC-4416-9C9E-884F5F07D3A3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BF11" authorId="0" shapeId="0" xr:uid="{B102CB47-F22D-4897-A7AC-E14F30CE6FA5}">
      <text>
        <r>
          <rPr>
            <b/>
            <u/>
            <sz val="9"/>
            <color indexed="10"/>
            <rFont val="Segoe UI"/>
            <family val="2"/>
          </rPr>
          <t>Monatlicher Verfallscheck:</t>
        </r>
        <r>
          <rPr>
            <b/>
            <sz val="9"/>
            <color indexed="10"/>
            <rFont val="Segoe UI"/>
            <family val="2"/>
          </rPr>
          <t xml:space="preserve"> 
- RTW 83/1 u. 83/2
- Ambulanz RA u. KU
- Diag. 1 u. 2
- Physik. Therap.
</t>
        </r>
      </text>
    </comment>
    <comment ref="BG11" authorId="0" shapeId="0" xr:uid="{BD974079-9FC2-4171-87B4-23C383AC6ECD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H11" authorId="0" shapeId="0" xr:uid="{3C8BEB1F-CC66-4272-852D-3EE9F6B670FD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L11" authorId="0" shapeId="0" xr:uid="{1453BAB3-2406-4D82-BB18-47BA5D0AB64F}">
      <text>
        <r>
          <rPr>
            <b/>
            <sz val="9"/>
            <color indexed="10"/>
            <rFont val="Segoe UI"/>
            <family val="2"/>
          </rPr>
          <t xml:space="preserve">bis ca. 10:00 Uhr DI
</t>
        </r>
      </text>
    </comment>
    <comment ref="BU11" authorId="0" shapeId="0" xr:uid="{3599B925-C935-4B57-B068-A83CC26456D0}">
      <text>
        <r>
          <rPr>
            <b/>
            <sz val="9"/>
            <color indexed="10"/>
            <rFont val="Segoe UI"/>
            <family val="2"/>
          </rPr>
          <t xml:space="preserve">Rücksprachen mit Thorsten Fritz zu EQMS-Rastatt
06:30 -14:00 Uhr
</t>
        </r>
      </text>
    </comment>
    <comment ref="CY11" authorId="0" shapeId="0" xr:uid="{612383EB-A7DF-4847-9540-D8CBFEB8F610}">
      <text>
        <r>
          <rPr>
            <b/>
            <sz val="9"/>
            <color indexed="10"/>
            <rFont val="Segoe UI"/>
            <family val="2"/>
          </rPr>
          <t xml:space="preserve">evtl. Taping Kurs extern
</t>
        </r>
      </text>
    </comment>
    <comment ref="DI11" authorId="0" shapeId="0" xr:uid="{7DE68F94-5FD0-4DA5-A2FE-3961D8D0C1D4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DL11" authorId="0" shapeId="0" xr:uid="{568BB880-7376-4C4A-B635-1A182C9C2104}">
      <text>
        <r>
          <rPr>
            <b/>
            <sz val="9"/>
            <color indexed="10"/>
            <rFont val="Segoe UI"/>
            <family val="2"/>
          </rPr>
          <t xml:space="preserve">Teamevent Paris
</t>
        </r>
      </text>
    </comment>
    <comment ref="BE12" authorId="0" shapeId="0" xr:uid="{D5E243E6-5B9A-4A55-8CF8-A866E882CE05}">
      <text>
        <r>
          <rPr>
            <b/>
            <sz val="8"/>
            <color indexed="10"/>
            <rFont val="Tahoma"/>
            <family val="2"/>
          </rPr>
          <t>OneERP Schulung</t>
        </r>
      </text>
    </comment>
    <comment ref="BF12" authorId="0" shapeId="0" xr:uid="{14383B30-E34C-4D76-96B7-DB0E226AB502}">
      <text>
        <r>
          <rPr>
            <b/>
            <sz val="8"/>
            <color indexed="10"/>
            <rFont val="Tahoma"/>
            <family val="2"/>
          </rPr>
          <t>OneERP Schulung</t>
        </r>
      </text>
    </comment>
    <comment ref="BG12" authorId="0" shapeId="0" xr:uid="{476000D0-C0AF-4064-8C58-DFED6EC7E36B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H12" authorId="0" shapeId="0" xr:uid="{23644BED-A61A-4FC5-8CE5-11993E5BCCF6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T12" authorId="0" shapeId="0" xr:uid="{7F0FEE08-698E-4259-83BA-30266D299FFE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DA12" authorId="0" shapeId="0" xr:uid="{5825E743-3EA7-4111-BD4F-213DDAC3C989}">
      <text>
        <r>
          <rPr>
            <b/>
            <sz val="9"/>
            <color indexed="10"/>
            <rFont val="Segoe UI"/>
            <family val="2"/>
          </rPr>
          <t>Firma Fleischhacker wg. STK/MTK im Haus</t>
        </r>
      </text>
    </comment>
    <comment ref="DB12" authorId="0" shapeId="0" xr:uid="{84A04F2B-05F9-468B-828C-F89030B4F8BB}">
      <text>
        <r>
          <rPr>
            <b/>
            <sz val="9"/>
            <color indexed="10"/>
            <rFont val="Segoe UI"/>
            <family val="2"/>
          </rPr>
          <t>Firma Fleischhacker wg. STK/MTK im Haus</t>
        </r>
      </text>
    </comment>
    <comment ref="DC12" authorId="0" shapeId="0" xr:uid="{E0C1B75C-5B94-4C1F-8BEE-6251532CB792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FG12" authorId="0" shapeId="0" xr:uid="{1EF52231-D066-4AF3-8B29-1B9CA407BA38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FH12" authorId="0" shapeId="0" xr:uid="{ADDE911A-846D-4517-AEAB-F94C19D63772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FI12" authorId="0" shapeId="0" xr:uid="{D6C0E02B-4502-4AEA-898B-453446E8B7AA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O13" authorId="0" shapeId="0" xr:uid="{2DAFFD6C-9E1F-4846-9C0F-07FDF9EFBA1C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BL13" authorId="0" shapeId="0" xr:uid="{95E98569-5FF7-4369-A9F7-9B01C75A3605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BZ13" authorId="0" shapeId="0" xr:uid="{E3B13FED-FB9C-4432-BDAD-801EBA0DAFCE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B13" authorId="0" shapeId="0" xr:uid="{73D1D3DD-2AD0-4F6C-B85E-26B36B94C502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C13" authorId="0" shapeId="0" xr:uid="{3A933C51-3F62-4681-A292-73E75A88828F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G13" authorId="0" shapeId="0" xr:uid="{2D2111D1-B230-4BD3-8A7F-FAD6E9118E47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V13" authorId="0" shapeId="0" xr:uid="{6FF98C86-4AFE-4226-AF9A-147CDF702422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I14" authorId="0" shapeId="0" xr:uid="{CA13441E-074A-4736-A791-6A5B3ECF123F}">
      <text>
        <r>
          <rPr>
            <b/>
            <sz val="9"/>
            <color indexed="81"/>
            <rFont val="Segoe UI"/>
            <family val="2"/>
          </rPr>
          <t>Putschler, Walter (054):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J14" authorId="0" shapeId="0" xr:uid="{7F8C7FAD-B020-40B0-9D66-42F9853E0B1B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Q14" authorId="0" shapeId="0" xr:uid="{59AE350C-CC36-4BA0-9193-B07B8DEC294D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X14" authorId="0" shapeId="0" xr:uid="{38C7FFEF-388D-46F4-9E51-B62111543DAC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B14" authorId="0" shapeId="0" xr:uid="{06C6BE4B-F20B-4611-91AA-D12F6FB40C13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C14" authorId="0" shapeId="0" xr:uid="{9542FF2D-B47F-49BA-B61F-BDE60C15F3C5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DB14" authorId="0" shapeId="0" xr:uid="{8D75C131-D56E-4040-8109-5498520B23E6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R15" authorId="0" shapeId="0" xr:uid="{E203D2FC-7656-4EB1-8E2B-147D6CD1822E}">
      <text>
        <r>
          <rPr>
            <b/>
            <sz val="9"/>
            <color indexed="10"/>
            <rFont val="Segoe UI"/>
            <family val="2"/>
          </rPr>
          <t xml:space="preserve">Kein Dienst
</t>
        </r>
      </text>
    </comment>
    <comment ref="S15" authorId="0" shapeId="0" xr:uid="{C02268A6-CA6C-48DA-8652-9F090126D17F}">
      <text>
        <r>
          <rPr>
            <b/>
            <sz val="9"/>
            <color indexed="81"/>
            <rFont val="Segoe UI"/>
            <family val="2"/>
          </rPr>
          <t>Kein Dienst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J15" authorId="0" shapeId="0" xr:uid="{D463DD39-CAA1-43CB-9A55-BFE15D9E852D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K15" authorId="0" shapeId="0" xr:uid="{383BD629-9D5C-4C61-9DF3-CFA7BDEC2C55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L15" authorId="0" shapeId="0" xr:uid="{A74A1926-9C32-48DE-99C3-4D7B7BCB56BA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M15" authorId="0" shapeId="0" xr:uid="{17DD188E-3EAD-4E3D-9DD9-ED1A592D014B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BG15" authorId="0" shapeId="0" xr:uid="{BF8AF596-2F51-49FB-A5B9-37610EDC67CD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H15" authorId="0" shapeId="0" xr:uid="{441F353C-1C3B-44AE-B7D8-7AEBC548320D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M15" authorId="0" shapeId="0" xr:uid="{A11F8C3F-D963-47FB-A1D7-94F935D7D35F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CH15" authorId="0" shapeId="0" xr:uid="{EFA20CB9-4EB4-4E89-BF1C-DCC355BC1ECD}">
      <text>
        <r>
          <rPr>
            <b/>
            <sz val="9"/>
            <color indexed="10"/>
            <rFont val="Segoe UI"/>
            <family val="2"/>
          </rPr>
          <t xml:space="preserve">Wunsch vom 29.01.26 --&gt; GT
</t>
        </r>
      </text>
    </comment>
    <comment ref="CI15" authorId="0" shapeId="0" xr:uid="{23F07765-8D36-42F4-81C1-EEACA5326A03}">
      <text>
        <r>
          <rPr>
            <b/>
            <sz val="9"/>
            <color indexed="10"/>
            <rFont val="Segoe UI"/>
            <family val="2"/>
          </rPr>
          <t xml:space="preserve">Wunsch vom 08.01.26 --&gt; GT
</t>
        </r>
      </text>
    </comment>
    <comment ref="DJ15" authorId="0" shapeId="0" xr:uid="{33E43F46-7DEE-4667-8572-ECAC0D47CC7E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DL15" authorId="0" shapeId="0" xr:uid="{6224EF24-1871-45B5-A9C9-4C2932F61F18}">
      <text>
        <r>
          <rPr>
            <b/>
            <sz val="9"/>
            <color indexed="10"/>
            <rFont val="Segoe UI"/>
            <family val="2"/>
          </rPr>
          <t xml:space="preserve">Teamevent Paris
</t>
        </r>
      </text>
    </comment>
    <comment ref="DP15" authorId="0" shapeId="0" xr:uid="{1ED9334A-3E15-4334-B6D4-C338E191763E}">
      <text>
        <r>
          <rPr>
            <b/>
            <u/>
            <sz val="9"/>
            <color indexed="10"/>
            <rFont val="Segoe UI"/>
            <family val="2"/>
          </rPr>
          <t>Monatlicher Verfallscheck:</t>
        </r>
        <r>
          <rPr>
            <b/>
            <sz val="9"/>
            <color indexed="10"/>
            <rFont val="Segoe UI"/>
            <family val="2"/>
          </rPr>
          <t xml:space="preserve"> 
- RTW 83/1 u. 83/2
- Ambulanz RA u. KU
- Diag. 1 u. 2
- Physik. Therap.
</t>
        </r>
      </text>
    </comment>
    <comment ref="FG15" authorId="0" shapeId="0" xr:uid="{302FE815-EC66-471D-A268-278A92FE86AF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FH15" authorId="0" shapeId="0" xr:uid="{897A26D8-6D0A-400E-93BD-39254329525D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FI15" authorId="0" shapeId="0" xr:uid="{C33849E2-94C5-4333-B789-5EFE91195F4C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AI16" authorId="0" shapeId="0" xr:uid="{39F044EC-5B21-438B-9F05-99A50DC4D71F}">
      <text>
        <r>
          <rPr>
            <b/>
            <sz val="9"/>
            <color indexed="10"/>
            <rFont val="Segoe UI"/>
            <family val="2"/>
          </rPr>
          <t xml:space="preserve">- 1. AT Florian Behrendt
</t>
        </r>
      </text>
    </comment>
    <comment ref="AL16" authorId="0" shapeId="0" xr:uid="{6F6AAD11-A632-433A-82EB-3555905AA72E}">
      <text>
        <r>
          <rPr>
            <b/>
            <sz val="9"/>
            <color indexed="10"/>
            <rFont val="Segoe UI"/>
            <family val="2"/>
          </rPr>
          <t xml:space="preserve">QM-Themen in UT bei T. Fritz
</t>
        </r>
      </text>
    </comment>
    <comment ref="AN16" authorId="0" shapeId="0" xr:uid="{9419E490-F36B-43A8-96A3-D1BD9FEFE186}">
      <text>
        <r>
          <rPr>
            <b/>
            <sz val="9"/>
            <color indexed="10"/>
            <rFont val="Segoe UI"/>
            <family val="2"/>
          </rPr>
          <t xml:space="preserve">EH - Kurs Emmaus
</t>
        </r>
      </text>
    </comment>
    <comment ref="AR16" authorId="0" shapeId="0" xr:uid="{0EEC4E3B-85AC-45C8-BEB2-2AD327918B1B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AS16" authorId="0" shapeId="0" xr:uid="{73EA40EE-96E3-4228-80C2-36E766800AFE}">
      <text>
        <r>
          <rPr>
            <b/>
            <sz val="9"/>
            <color indexed="10"/>
            <rFont val="Segoe UI"/>
            <family val="2"/>
          </rPr>
          <t>priv. T. 
ZA 17:15 Uhr</t>
        </r>
      </text>
    </comment>
    <comment ref="BD16" authorId="0" shapeId="0" xr:uid="{3A2E91CE-37CB-4C65-97D1-EF341B6B7CF8}">
      <text>
        <r>
          <rPr>
            <b/>
            <sz val="9"/>
            <color indexed="10"/>
            <rFont val="Segoe UI"/>
            <family val="2"/>
          </rPr>
          <t xml:space="preserve">13:00 Uhr Teams Austausch mit J. Koch </t>
        </r>
      </text>
    </comment>
    <comment ref="BG16" authorId="0" shapeId="0" xr:uid="{3D9BCDA1-53D1-4A6C-A14D-E05F10F63280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H16" authorId="0" shapeId="0" xr:uid="{7C6E2A9E-C268-4D98-9FA0-8EAD0D2EF9C3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S16" authorId="0" shapeId="0" xr:uid="{2B9238FF-C38A-445E-A4AA-6802F8FA8272}">
      <text>
        <r>
          <rPr>
            <b/>
            <sz val="9"/>
            <color indexed="10"/>
            <rFont val="Segoe UI"/>
            <family val="2"/>
          </rPr>
          <t xml:space="preserve">Navi Gespräch 13:30 - 14:00 Uhr
</t>
        </r>
      </text>
    </comment>
    <comment ref="BU16" authorId="0" shapeId="0" xr:uid="{08F399F8-6694-4139-BE90-5E04635191B4}">
      <text>
        <r>
          <rPr>
            <b/>
            <sz val="9"/>
            <color indexed="10"/>
            <rFont val="Segoe UI"/>
            <family val="2"/>
          </rPr>
          <t xml:space="preserve">Rücksprachen mit Thorsten Fritz zu EQMS-Rastatt
06:30 -14:00 Uhr
</t>
        </r>
      </text>
    </comment>
    <comment ref="DL16" authorId="0" shapeId="0" xr:uid="{9E2C8C35-0E83-4DC9-AD1F-ED42FA42633A}">
      <text>
        <r>
          <rPr>
            <b/>
            <sz val="9"/>
            <color indexed="10"/>
            <rFont val="Segoe UI"/>
            <family val="2"/>
          </rPr>
          <t xml:space="preserve">Teamevent Paris
</t>
        </r>
      </text>
    </comment>
    <comment ref="DB25" authorId="0" shapeId="0" xr:uid="{DB738F4A-E6B0-47BB-9BFB-CF7E66D684DA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25" authorId="0" shapeId="0" xr:uid="{34E1FC4D-0B7F-4ACC-9C3D-561AF470A1BE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25" authorId="0" shapeId="0" xr:uid="{09AF09C6-1182-4812-8EA3-0D0F3D7675F5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25" authorId="0" shapeId="0" xr:uid="{496BEB1B-83EA-4C82-9EDD-A2C35C06F3AF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25" authorId="0" shapeId="0" xr:uid="{9F755F35-F0BA-45D2-A970-CD4C63CE7E3A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B27" authorId="0" shapeId="0" xr:uid="{10AEBCAC-44E0-47BB-A834-373A05B734D4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27" authorId="0" shapeId="0" xr:uid="{F5F41573-0C7E-4948-BBB6-F4AD70EC9ED7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27" authorId="0" shapeId="0" xr:uid="{B52B5EF4-3FF8-48D8-AE06-1CD2111D9BC2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27" authorId="0" shapeId="0" xr:uid="{DBFD84F8-50FB-435E-829E-B2520EB13995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27" authorId="0" shapeId="0" xr:uid="{34CB32D5-5C18-4469-862C-68DA12F73916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28" authorId="0" shapeId="0" xr:uid="{02A7CD35-FAF3-43BC-AC6B-ACFDDEA38527}">
      <text>
        <r>
          <rPr>
            <b/>
            <sz val="8"/>
            <color indexed="10"/>
            <rFont val="Tahoma"/>
            <family val="2"/>
          </rPr>
          <t>08:30 - 16:30 Uhr Qualimassnahme</t>
        </r>
      </text>
    </comment>
    <comment ref="DB28" authorId="0" shapeId="0" xr:uid="{DB93434B-DF00-44CF-B35B-8B6C180849A5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28" authorId="0" shapeId="0" xr:uid="{9A59A630-087F-4271-8948-52F16CCCA868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28" authorId="0" shapeId="0" xr:uid="{8E1FFE84-1392-4C8A-8FA8-87CEDC91D2F6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28" authorId="0" shapeId="0" xr:uid="{991078F5-8013-419C-AE9D-301521EA5FC2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28" authorId="0" shapeId="0" xr:uid="{4E43619A-CE2C-49BC-9908-C3CDDFD9DF34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B29" authorId="0" shapeId="0" xr:uid="{71F3A11C-A268-40CB-A447-4FE0A8DDB4EB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29" authorId="0" shapeId="0" xr:uid="{F9920E10-A1C3-43E8-B04A-05A612225D40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29" authorId="0" shapeId="0" xr:uid="{EED8E309-3E1E-4264-8CA6-3C8271EA9AFA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29" authorId="0" shapeId="0" xr:uid="{C610C568-5373-43A1-9F90-86B5F7AE75A9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29" authorId="0" shapeId="0" xr:uid="{7557FDCB-4459-44BA-8791-7B7840E690CC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CO30" authorId="0" shapeId="0" xr:uid="{4C3213B6-C339-433A-A0F5-2BBD5487BFA3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CP30" authorId="0" shapeId="0" xr:uid="{F88CD4A0-D022-4437-9DC8-AF2A9045B9F8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CQ30" authorId="0" shapeId="0" xr:uid="{5E4380F5-70BA-4462-8BD1-D629BCD4934B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DB30" authorId="0" shapeId="0" xr:uid="{E7151730-DFBA-4DEE-A802-F90C43A0D13B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30" authorId="0" shapeId="0" xr:uid="{D8EACA8A-C96E-44CF-B480-582150E99AD8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30" authorId="0" shapeId="0" xr:uid="{F81F14BF-A004-447E-BB6E-0B3003BFDE30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30" authorId="0" shapeId="0" xr:uid="{5353E725-9929-4729-B38C-F00F544A6566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30" authorId="0" shapeId="0" xr:uid="{3494487A-1D33-4AE4-9732-A1BDAD1E1F66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CO31" authorId="0" shapeId="0" xr:uid="{6C83B46E-76BB-4712-B228-9D5C62E6A5C2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CP31" authorId="0" shapeId="0" xr:uid="{422132A1-DFFE-4568-9068-EA5371AF46E4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CQ31" authorId="0" shapeId="0" xr:uid="{D7262DB0-E857-43BE-BEA3-B2838EF17A7B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K32" authorId="0" shapeId="0" xr:uid="{67F1CBAD-3FB6-4FA6-AB20-A5FA7F1584AC}">
      <text>
        <r>
          <rPr>
            <b/>
            <sz val="8"/>
            <color indexed="10"/>
            <rFont val="Tahoma"/>
            <family val="2"/>
          </rPr>
          <t>Gesundheitsvortrag über LMS</t>
        </r>
      </text>
    </comment>
    <comment ref="L32" authorId="0" shapeId="0" xr:uid="{60232A86-9DF4-45A1-8EF9-9072624FAB22}">
      <text>
        <r>
          <rPr>
            <b/>
            <sz val="9"/>
            <color indexed="10"/>
            <rFont val="Segoe UI"/>
            <family val="2"/>
          </rPr>
          <t xml:space="preserve">Wunsch vom 29.01.26 --&gt; GT
</t>
        </r>
      </text>
    </comment>
    <comment ref="DB32" authorId="0" shapeId="0" xr:uid="{B092E8DD-67CE-48D4-A7DC-EE6E15FEF6CF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32" authorId="0" shapeId="0" xr:uid="{463D3A07-1607-4DDD-97B5-BAC7D97DF9BD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32" authorId="0" shapeId="0" xr:uid="{554DF8B5-CCD6-453E-A51C-DC065E6AC439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32" authorId="0" shapeId="0" xr:uid="{F7340423-6A95-45D8-A7C2-08B1C5C92FEB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32" authorId="0" shapeId="0" xr:uid="{0DC1A488-4FD0-4C3D-B4D4-A1EB5EE1ED4B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FB32" authorId="0" shapeId="0" xr:uid="{F1CE0D07-791E-4AA1-94C7-867559D79A94}">
      <text>
        <r>
          <rPr>
            <b/>
            <sz val="8"/>
            <color indexed="10"/>
            <rFont val="Tahoma"/>
            <family val="2"/>
          </rPr>
          <t>Gesundheitsvortrag über LMS</t>
        </r>
      </text>
    </comment>
    <comment ref="J33" authorId="0" shapeId="0" xr:uid="{B396AFFF-77B4-4ECB-954C-B1DA31549562}">
      <text>
        <r>
          <rPr>
            <b/>
            <sz val="9"/>
            <color indexed="10"/>
            <rFont val="Segoe UI"/>
            <family val="2"/>
          </rPr>
          <t xml:space="preserve">15:45 Uhr priv. T. ZA
</t>
        </r>
      </text>
    </comment>
    <comment ref="BI33" authorId="0" shapeId="0" xr:uid="{00BD6743-E75B-4394-86AD-5EE4A762960F}">
      <text>
        <r>
          <rPr>
            <b/>
            <sz val="9"/>
            <color indexed="10"/>
            <rFont val="Segoe UI"/>
            <family val="2"/>
          </rPr>
          <t xml:space="preserve">Vorbereitung Joel
</t>
        </r>
      </text>
    </comment>
    <comment ref="BJ33" authorId="0" shapeId="0" xr:uid="{500F0A05-605F-481B-841D-F7D99654346C}">
      <text>
        <r>
          <rPr>
            <b/>
            <sz val="9"/>
            <color indexed="10"/>
            <rFont val="Segoe UI"/>
            <family val="2"/>
          </rPr>
          <t xml:space="preserve">Kein Dienst - Event Joel
</t>
        </r>
      </text>
    </comment>
    <comment ref="DB33" authorId="0" shapeId="0" xr:uid="{1AF69A4A-7CEE-4E81-8643-213F49F02C68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33" authorId="0" shapeId="0" xr:uid="{6185B60E-8467-4225-82A1-4F5228553FEF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33" authorId="0" shapeId="0" xr:uid="{6EF677F9-90A9-45F1-AA90-95E0A929EA0A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33" authorId="0" shapeId="0" xr:uid="{DC729819-DD1C-435A-B258-1E1D4A49B179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33" authorId="0" shapeId="0" xr:uid="{6F993463-F54E-48F9-BBA1-7A6548963F70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EB33" authorId="0" shapeId="0" xr:uid="{E47B1432-6278-4BBC-A45E-4AB0139AF631}">
      <text>
        <r>
          <rPr>
            <b/>
            <sz val="9"/>
            <color indexed="10"/>
            <rFont val="Segoe UI"/>
            <family val="2"/>
          </rPr>
          <t xml:space="preserve">EH - Kurs Arche
</t>
        </r>
      </text>
    </comment>
    <comment ref="CX40" authorId="0" shapeId="0" xr:uid="{0EFB348F-E459-4561-AE8C-2E4CE7064525}">
      <text>
        <r>
          <rPr>
            <b/>
            <sz val="9"/>
            <color indexed="10"/>
            <rFont val="Segoe UI"/>
            <family val="2"/>
          </rPr>
          <t xml:space="preserve">Bezahlter Schichtausgleichstag
</t>
        </r>
      </text>
    </comment>
    <comment ref="CZ40" authorId="0" shapeId="0" xr:uid="{00000000-0006-0000-0000-00004D010000}">
      <text>
        <r>
          <rPr>
            <b/>
            <sz val="9"/>
            <color indexed="10"/>
            <rFont val="Segoe UI"/>
            <family val="2"/>
          </rPr>
          <t xml:space="preserve">OF-Begehung mit S. Smarsly
09:00 - 12:00 Uhr
Treffpunkt Stempeluhr P-Wesen
</t>
        </r>
      </text>
    </comment>
    <comment ref="CX41" authorId="0" shapeId="0" xr:uid="{00000000-0006-0000-0000-000051010000}">
      <text>
        <r>
          <rPr>
            <b/>
            <sz val="10"/>
            <color indexed="10"/>
            <rFont val="Tahoma"/>
            <family val="2"/>
          </rPr>
          <t>QMB - Treffen 
opt. Termin</t>
        </r>
      </text>
    </comment>
    <comment ref="CX42" authorId="0" shapeId="0" xr:uid="{00000000-0006-0000-0000-000053010000}">
      <text>
        <r>
          <rPr>
            <b/>
            <sz val="10"/>
            <color indexed="10"/>
            <rFont val="Tahoma"/>
            <family val="2"/>
          </rPr>
          <t>08:00 - 12:00 Uhr Konzernfobi via Skype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Y42" authorId="0" shapeId="0" xr:uid="{00000000-0006-0000-0000-000054010000}">
      <text>
        <r>
          <rPr>
            <b/>
            <sz val="9"/>
            <color indexed="10"/>
            <rFont val="Segoe UI"/>
            <family val="2"/>
          </rPr>
          <t xml:space="preserve">EH-Ausbilder Fobi bei DRK OV Gernsbach
</t>
        </r>
      </text>
    </comment>
    <comment ref="CW43" authorId="0" shapeId="0" xr:uid="{00000000-0006-0000-0000-000056010000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X43" authorId="0" shapeId="0" xr:uid="{00000000-0006-0000-0000-000057010000}">
      <text>
        <r>
          <rPr>
            <b/>
            <sz val="9"/>
            <color indexed="10"/>
            <rFont val="Segoe UI"/>
            <family val="2"/>
          </rPr>
          <t>Monatlicher Verfallscheck RTW + Unterstützung RTW Desinfektion</t>
        </r>
      </text>
    </comment>
    <comment ref="CY43" authorId="0" shapeId="0" xr:uid="{00000000-0006-0000-0000-000058010000}">
      <text>
        <r>
          <rPr>
            <b/>
            <sz val="9"/>
            <color indexed="10"/>
            <rFont val="Tahoma"/>
            <family val="2"/>
          </rPr>
          <t xml:space="preserve">alle 8 Wochen einzuplanen
</t>
        </r>
      </text>
    </comment>
    <comment ref="CX44" authorId="0" shapeId="0" xr:uid="{00000000-0006-0000-0000-00005A010000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CX45" authorId="0" shapeId="0" xr:uid="{00000000-0006-0000-0000-00005D010000}">
      <text>
        <r>
          <rPr>
            <b/>
            <sz val="9"/>
            <color indexed="10"/>
            <rFont val="Segoe UI"/>
            <family val="2"/>
          </rPr>
          <t xml:space="preserve">KA = Kurzarbeit
</t>
        </r>
      </text>
    </comment>
    <comment ref="CX46" authorId="0" shapeId="0" xr:uid="{00000000-0006-0000-0000-00005E010000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CY46" authorId="0" shapeId="0" xr:uid="{B616821F-9379-4E0F-B24C-50E0B0D2D499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CX52" authorId="0" shapeId="0" xr:uid="{F9981D4F-BD39-4DFA-8934-6F281BB6B3A9}">
      <text>
        <r>
          <rPr>
            <b/>
            <sz val="9"/>
            <color indexed="10"/>
            <rFont val="Segoe UI"/>
            <family val="2"/>
          </rPr>
          <t xml:space="preserve">Montageeinsatz Bereich Jessica Moser
</t>
        </r>
      </text>
    </comment>
    <comment ref="CY52" authorId="0" shapeId="0" xr:uid="{A21551C7-1411-41AC-A224-9361EE115B15}">
      <text>
        <r>
          <rPr>
            <b/>
            <sz val="9"/>
            <color indexed="10"/>
            <rFont val="Segoe UI"/>
            <family val="2"/>
          </rPr>
          <t xml:space="preserve">Montageeinsatz Bereich Jessica Moser
</t>
        </r>
      </text>
    </comment>
    <comment ref="CV53" authorId="0" shapeId="0" xr:uid="{00000000-0006-0000-0000-000061010000}">
      <text>
        <r>
          <rPr>
            <b/>
            <sz val="9"/>
            <color indexed="10"/>
            <rFont val="Segoe UI"/>
            <family val="2"/>
          </rPr>
          <t xml:space="preserve">Ablösung Andi 03.00 Uhr wegen Einhaltung seiner 11h Ruhezeit;
Teamentwicklung im WATTS
Pforzheimer Str. 67 · 76275 Ettlingen
</t>
        </r>
      </text>
    </comment>
    <comment ref="CW53" authorId="0" shapeId="0" xr:uid="{00000000-0006-0000-0000-000062010000}">
      <text>
        <r>
          <rPr>
            <b/>
            <sz val="9"/>
            <color indexed="10"/>
            <rFont val="Segoe UI"/>
            <family val="2"/>
          </rPr>
          <t xml:space="preserve">08.00 - 13.30 Uhr FI;
ab 14.00 Uhr Teamentwicklung Ettlingen
</t>
        </r>
      </text>
    </comment>
    <comment ref="CX53" authorId="0" shapeId="0" xr:uid="{00000000-0006-0000-0000-000063010000}">
      <text>
        <r>
          <rPr>
            <b/>
            <sz val="9"/>
            <color indexed="10"/>
            <rFont val="Segoe UI"/>
            <family val="2"/>
          </rPr>
          <t xml:space="preserve">Teamentwicklung im
WATTS
Pforzheimer Str. 67 · 76275 Ettlingen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<sst xmlns="http://schemas.openxmlformats.org/spreadsheetml/2006/main" count="2003" uniqueCount="167">
  <si>
    <t>Januar</t>
  </si>
  <si>
    <t>Di</t>
  </si>
  <si>
    <t>Mi</t>
  </si>
  <si>
    <t>Do</t>
  </si>
  <si>
    <t>Fr</t>
  </si>
  <si>
    <t>Sa</t>
  </si>
  <si>
    <t>So</t>
  </si>
  <si>
    <t>Mo</t>
  </si>
  <si>
    <t>U</t>
  </si>
  <si>
    <t>Putschler</t>
  </si>
  <si>
    <t>September</t>
  </si>
  <si>
    <t>November</t>
  </si>
  <si>
    <t>Krempl</t>
  </si>
  <si>
    <t>GT</t>
  </si>
  <si>
    <t>FZC</t>
  </si>
  <si>
    <t>Juli</t>
  </si>
  <si>
    <t>EH</t>
  </si>
  <si>
    <t>KT</t>
  </si>
  <si>
    <t>SD</t>
  </si>
  <si>
    <t>Fobi</t>
  </si>
  <si>
    <t>Sek</t>
  </si>
  <si>
    <t>NST</t>
  </si>
  <si>
    <t>Februar</t>
  </si>
  <si>
    <t>Summe</t>
  </si>
  <si>
    <t>März</t>
  </si>
  <si>
    <t>April</t>
  </si>
  <si>
    <t>Mai</t>
  </si>
  <si>
    <t>Juni</t>
  </si>
  <si>
    <t>August</t>
  </si>
  <si>
    <t>Oktober</t>
  </si>
  <si>
    <t>Dezember</t>
  </si>
  <si>
    <t>Jahr</t>
  </si>
  <si>
    <t>Mitarbeiter</t>
  </si>
  <si>
    <t>Schichten</t>
  </si>
  <si>
    <t>Arbeitstage</t>
  </si>
  <si>
    <t>IRTAZ</t>
  </si>
  <si>
    <t>Zeit</t>
  </si>
  <si>
    <t>Soll AZ</t>
  </si>
  <si>
    <t>Ist AZ</t>
  </si>
  <si>
    <t>Differenz</t>
  </si>
  <si>
    <t>Jan</t>
  </si>
  <si>
    <t>Feb</t>
  </si>
  <si>
    <t>Mrz</t>
  </si>
  <si>
    <t>Apr</t>
  </si>
  <si>
    <t>Jun</t>
  </si>
  <si>
    <t>Jul</t>
  </si>
  <si>
    <t>Aug</t>
  </si>
  <si>
    <t>Sep</t>
  </si>
  <si>
    <t>Okt</t>
  </si>
  <si>
    <t>Dez</t>
  </si>
  <si>
    <t>FII</t>
  </si>
  <si>
    <t>Samstage</t>
  </si>
  <si>
    <t>Gesamt</t>
  </si>
  <si>
    <t>Arbeitszeit Jahr Soll Ist alle MA</t>
  </si>
  <si>
    <t>Soll</t>
  </si>
  <si>
    <t>Ist</t>
  </si>
  <si>
    <t>Osterferien</t>
  </si>
  <si>
    <t>Pfingstferien</t>
  </si>
  <si>
    <t>Sommerferien</t>
  </si>
  <si>
    <t>Herbstferien</t>
  </si>
  <si>
    <t>Weihnachtsferien</t>
  </si>
  <si>
    <t>Kur</t>
  </si>
  <si>
    <t>Urlaub in Std.</t>
  </si>
  <si>
    <t>Diff. + Urlaub</t>
  </si>
  <si>
    <t xml:space="preserve">Soll AZ </t>
  </si>
  <si>
    <t>IRTAZ mal Arbeitstage</t>
  </si>
  <si>
    <t>erforderliche AZ laut Dienstplan</t>
  </si>
  <si>
    <t>Std. ZEM</t>
  </si>
  <si>
    <t>RTW- Des.</t>
  </si>
  <si>
    <t>QM</t>
  </si>
  <si>
    <t>Nov</t>
  </si>
  <si>
    <t>FI</t>
  </si>
  <si>
    <t>SI</t>
  </si>
  <si>
    <t>DI</t>
  </si>
  <si>
    <t>NI</t>
  </si>
  <si>
    <t>DII</t>
  </si>
  <si>
    <t>A</t>
  </si>
  <si>
    <t>FZC 83</t>
  </si>
  <si>
    <t>KW 1</t>
  </si>
  <si>
    <t>KW 2</t>
  </si>
  <si>
    <t>KW 3</t>
  </si>
  <si>
    <t>KW 4</t>
  </si>
  <si>
    <t>KW 5</t>
  </si>
  <si>
    <t>KW 6</t>
  </si>
  <si>
    <t>KW 7</t>
  </si>
  <si>
    <t>KW 8</t>
  </si>
  <si>
    <t>KW 9</t>
  </si>
  <si>
    <t>KW 10</t>
  </si>
  <si>
    <t>KW 11</t>
  </si>
  <si>
    <t>KW 12</t>
  </si>
  <si>
    <t>KW 13</t>
  </si>
  <si>
    <t>KW 14</t>
  </si>
  <si>
    <t>KW 15</t>
  </si>
  <si>
    <t>KW 16</t>
  </si>
  <si>
    <t>KW 17</t>
  </si>
  <si>
    <t>KW 18</t>
  </si>
  <si>
    <t>KW 19</t>
  </si>
  <si>
    <t>KW 20</t>
  </si>
  <si>
    <t>KW 21</t>
  </si>
  <si>
    <t>KW 22</t>
  </si>
  <si>
    <t>KW 23</t>
  </si>
  <si>
    <t>KW 24</t>
  </si>
  <si>
    <t>KW 25</t>
  </si>
  <si>
    <t>KW 26</t>
  </si>
  <si>
    <t>KW 28</t>
  </si>
  <si>
    <t>KW 29</t>
  </si>
  <si>
    <t>KW 30</t>
  </si>
  <si>
    <t>KW 31</t>
  </si>
  <si>
    <t>KW 32</t>
  </si>
  <si>
    <t>KW 33</t>
  </si>
  <si>
    <t>KW 35</t>
  </si>
  <si>
    <t>KW 38</t>
  </si>
  <si>
    <t>KW 36</t>
  </si>
  <si>
    <t>KW 37</t>
  </si>
  <si>
    <t>KW 39</t>
  </si>
  <si>
    <t>KW 40</t>
  </si>
  <si>
    <t>KW 41</t>
  </si>
  <si>
    <t>KW 42</t>
  </si>
  <si>
    <t>KW 43</t>
  </si>
  <si>
    <t>KW 44</t>
  </si>
  <si>
    <t>KW 45</t>
  </si>
  <si>
    <t>KW 46</t>
  </si>
  <si>
    <t>KW 47</t>
  </si>
  <si>
    <t>KW 48</t>
  </si>
  <si>
    <t>KW 49</t>
  </si>
  <si>
    <t>KW 50</t>
  </si>
  <si>
    <t>KW 51</t>
  </si>
  <si>
    <t>KW 52</t>
  </si>
  <si>
    <t>Breig</t>
  </si>
  <si>
    <t>T-ZG</t>
  </si>
  <si>
    <t xml:space="preserve"> </t>
  </si>
  <si>
    <t>TE</t>
  </si>
  <si>
    <r>
      <rPr>
        <b/>
        <sz val="10"/>
        <color theme="1"/>
        <rFont val="Arial"/>
        <family val="2"/>
      </rPr>
      <t>FI</t>
    </r>
    <r>
      <rPr>
        <b/>
        <sz val="10"/>
        <color rgb="FFFF0000"/>
        <rFont val="Arial"/>
        <family val="2"/>
      </rPr>
      <t xml:space="preserve">      TE</t>
    </r>
  </si>
  <si>
    <r>
      <rPr>
        <b/>
        <sz val="10"/>
        <color theme="1"/>
        <rFont val="Arial"/>
        <family val="2"/>
      </rPr>
      <t>NI</t>
    </r>
    <r>
      <rPr>
        <b/>
        <sz val="10"/>
        <color rgb="FFFF0000"/>
        <rFont val="Arial"/>
        <family val="2"/>
      </rPr>
      <t xml:space="preserve">      TE</t>
    </r>
  </si>
  <si>
    <t>KA</t>
  </si>
  <si>
    <t>Jochim</t>
  </si>
  <si>
    <t>KW 27</t>
  </si>
  <si>
    <t>KW 34</t>
  </si>
  <si>
    <r>
      <t xml:space="preserve">Sek  </t>
    </r>
    <r>
      <rPr>
        <sz val="7"/>
        <color rgb="FFFF0000"/>
        <rFont val="Arial"/>
        <family val="2"/>
      </rPr>
      <t>13-16 h</t>
    </r>
  </si>
  <si>
    <t>Schmidt</t>
  </si>
  <si>
    <t>Radimersky</t>
  </si>
  <si>
    <t>Faschingsferien</t>
  </si>
  <si>
    <t>Siebert</t>
  </si>
  <si>
    <t>Wunsch</t>
  </si>
  <si>
    <t>Göpfrich</t>
  </si>
  <si>
    <t>Kunz</t>
  </si>
  <si>
    <t>FI  MO</t>
  </si>
  <si>
    <t>SI  MO</t>
  </si>
  <si>
    <t>Resturlaub</t>
  </si>
  <si>
    <t>Zusatzurlaub wg. 50+ Nachtschicht</t>
  </si>
  <si>
    <t>Zeller</t>
  </si>
  <si>
    <t>Behrendt</t>
  </si>
  <si>
    <r>
      <t xml:space="preserve">U    </t>
    </r>
    <r>
      <rPr>
        <b/>
        <sz val="10"/>
        <color rgb="FFFF0000"/>
        <rFont val="Arial"/>
        <family val="2"/>
      </rPr>
      <t>alt</t>
    </r>
  </si>
  <si>
    <t>KU</t>
  </si>
  <si>
    <t>SII</t>
  </si>
  <si>
    <t>1.AT</t>
  </si>
  <si>
    <t>(DI) 2h</t>
  </si>
  <si>
    <t>T-ZUG</t>
  </si>
  <si>
    <t>(FII) 2h</t>
  </si>
  <si>
    <t>(DII) 2h</t>
  </si>
  <si>
    <t>(FII) 4h</t>
  </si>
  <si>
    <t>SD 4h</t>
  </si>
  <si>
    <t>(DI) 4h</t>
  </si>
  <si>
    <t>(DII) 4h</t>
  </si>
  <si>
    <t>(FI) 4h</t>
  </si>
  <si>
    <t>(SII) 6h</t>
  </si>
  <si>
    <t>(NII) 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</si>
</sst>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0"/>
      <name val="Arial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8"/>
      <color indexed="10"/>
      <name val="Arial"/>
      <family val="2"/>
    </font>
    <font>
      <sz val="10"/>
      <color indexed="48"/>
      <name val="Arial"/>
      <family val="2"/>
    </font>
    <font>
      <sz val="2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26"/>
      <name val="Arial"/>
      <family val="2"/>
    </font>
    <font>
      <b/>
      <sz val="12"/>
      <name val="Arial"/>
      <family val="2"/>
    </font>
    <font>
      <sz val="8"/>
      <color indexed="10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sz val="22"/>
      <color indexed="60"/>
      <name val="Arial"/>
      <family val="2"/>
    </font>
    <font>
      <b/>
      <sz val="10"/>
      <color indexed="10"/>
      <name val="Tahoma"/>
      <family val="2"/>
    </font>
    <font>
      <sz val="8"/>
      <color indexed="81"/>
      <name val="Tahoma"/>
      <family val="2"/>
    </font>
    <font>
      <b/>
      <sz val="16"/>
      <name val="Arial"/>
      <family val="2"/>
    </font>
    <font>
      <b/>
      <sz val="12"/>
      <color indexed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10"/>
      <name val="Tahoma"/>
      <family val="2"/>
    </font>
    <font>
      <b/>
      <sz val="9"/>
      <color indexed="10"/>
      <name val="Segoe UI"/>
      <family val="2"/>
    </font>
    <font>
      <b/>
      <sz val="9"/>
      <color rgb="FFFF0000"/>
      <name val="Arial"/>
      <family val="2"/>
    </font>
    <font>
      <b/>
      <sz val="20"/>
      <color rgb="FFC00000"/>
      <name val="Arial"/>
      <family val="2"/>
    </font>
    <font>
      <b/>
      <sz val="20"/>
      <color indexed="60"/>
      <name val="Arial"/>
      <family val="2"/>
    </font>
    <font>
      <b/>
      <sz val="14"/>
      <color rgb="FFC00000"/>
      <name val="Arial"/>
      <family val="2"/>
    </font>
    <font>
      <b/>
      <sz val="18"/>
      <color rgb="FFC00000"/>
      <name val="Arial"/>
      <family val="2"/>
    </font>
    <font>
      <sz val="10"/>
      <color theme="1"/>
      <name val="Arial"/>
      <family val="2"/>
    </font>
    <font>
      <sz val="7"/>
      <color rgb="FFFF0000"/>
      <name val="Arial"/>
      <family val="2"/>
    </font>
    <font>
      <b/>
      <sz val="11"/>
      <color rgb="FFFF0000"/>
      <name val="Arial"/>
      <family val="2"/>
    </font>
    <font>
      <b/>
      <sz val="22"/>
      <color rgb="FFC00000"/>
      <name val="Calibri Light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color indexed="10"/>
      <name val="Tahoma"/>
      <family val="2"/>
    </font>
    <font>
      <b/>
      <u/>
      <sz val="9"/>
      <color indexed="10"/>
      <name val="Segoe U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21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61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81">
    <border>
      <left/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5">
    <xf numFmtId="0" fontId="0" fillId="0" borderId="0" xfId="0"/>
    <xf numFmtId="0" fontId="0" fillId="2" borderId="0" xfId="0" applyFill="1"/>
    <xf numFmtId="0" fontId="6" fillId="0" borderId="0" xfId="0" applyFont="1"/>
    <xf numFmtId="0" fontId="7" fillId="0" borderId="0" xfId="0" applyFont="1"/>
    <xf numFmtId="0" fontId="6" fillId="3" borderId="0" xfId="0" applyFont="1" applyFill="1"/>
    <xf numFmtId="0" fontId="0" fillId="3" borderId="0" xfId="0" applyFill="1"/>
    <xf numFmtId="0" fontId="22" fillId="0" borderId="0" xfId="0" applyFont="1"/>
    <xf numFmtId="0" fontId="3" fillId="0" borderId="1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0" fillId="0" borderId="6" xfId="0" applyBorder="1"/>
    <xf numFmtId="0" fontId="0" fillId="2" borderId="6" xfId="0" applyFill="1" applyBorder="1"/>
    <xf numFmtId="0" fontId="6" fillId="3" borderId="6" xfId="0" applyFont="1" applyFill="1" applyBorder="1"/>
    <xf numFmtId="0" fontId="0" fillId="0" borderId="7" xfId="0" applyBorder="1"/>
    <xf numFmtId="0" fontId="6" fillId="3" borderId="0" xfId="0" applyFont="1" applyFill="1" applyAlignment="1">
      <alignment horizontal="center"/>
    </xf>
    <xf numFmtId="0" fontId="0" fillId="0" borderId="8" xfId="0" applyBorder="1"/>
    <xf numFmtId="0" fontId="0" fillId="2" borderId="14" xfId="0" applyFill="1" applyBorder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14" xfId="0" applyBorder="1"/>
    <xf numFmtId="0" fontId="6" fillId="3" borderId="14" xfId="0" applyFont="1" applyFill="1" applyBorder="1"/>
    <xf numFmtId="0" fontId="0" fillId="0" borderId="20" xfId="0" applyBorder="1"/>
    <xf numFmtId="0" fontId="3" fillId="0" borderId="0" xfId="0" applyFont="1"/>
    <xf numFmtId="0" fontId="0" fillId="0" borderId="21" xfId="0" applyBorder="1"/>
    <xf numFmtId="0" fontId="0" fillId="0" borderId="22" xfId="0" applyBorder="1"/>
    <xf numFmtId="0" fontId="7" fillId="0" borderId="6" xfId="0" applyFont="1" applyBorder="1"/>
    <xf numFmtId="0" fontId="6" fillId="0" borderId="6" xfId="0" applyFont="1" applyBorder="1"/>
    <xf numFmtId="0" fontId="3" fillId="0" borderId="15" xfId="0" applyFont="1" applyBorder="1"/>
    <xf numFmtId="0" fontId="3" fillId="0" borderId="28" xfId="0" applyFont="1" applyBorder="1"/>
    <xf numFmtId="0" fontId="3" fillId="0" borderId="23" xfId="0" applyFont="1" applyBorder="1" applyProtection="1">
      <protection locked="0"/>
    </xf>
    <xf numFmtId="0" fontId="3" fillId="0" borderId="24" xfId="0" applyFont="1" applyBorder="1" applyProtection="1">
      <protection locked="0"/>
    </xf>
    <xf numFmtId="0" fontId="6" fillId="0" borderId="29" xfId="0" applyFont="1" applyBorder="1"/>
    <xf numFmtId="0" fontId="6" fillId="0" borderId="30" xfId="0" applyFont="1" applyBorder="1"/>
    <xf numFmtId="0" fontId="6" fillId="0" borderId="31" xfId="0" applyFont="1" applyBorder="1"/>
    <xf numFmtId="0" fontId="6" fillId="0" borderId="32" xfId="0" applyFont="1" applyBorder="1"/>
    <xf numFmtId="0" fontId="7" fillId="4" borderId="14" xfId="0" applyFont="1" applyFill="1" applyBorder="1" applyAlignment="1">
      <alignment horizontal="center"/>
    </xf>
    <xf numFmtId="0" fontId="3" fillId="0" borderId="2" xfId="0" applyFont="1" applyBorder="1"/>
    <xf numFmtId="0" fontId="3" fillId="0" borderId="23" xfId="0" applyFont="1" applyBorder="1"/>
    <xf numFmtId="0" fontId="0" fillId="0" borderId="23" xfId="0" applyBorder="1"/>
    <xf numFmtId="0" fontId="6" fillId="0" borderId="24" xfId="0" applyFont="1" applyBorder="1"/>
    <xf numFmtId="0" fontId="3" fillId="0" borderId="3" xfId="0" applyFont="1" applyBorder="1"/>
    <xf numFmtId="0" fontId="3" fillId="0" borderId="5" xfId="0" applyFont="1" applyBorder="1"/>
    <xf numFmtId="0" fontId="6" fillId="0" borderId="1" xfId="0" applyFont="1" applyBorder="1" applyProtection="1">
      <protection locked="0"/>
    </xf>
    <xf numFmtId="0" fontId="2" fillId="11" borderId="27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0" fillId="13" borderId="18" xfId="0" applyFill="1" applyBorder="1" applyAlignment="1">
      <alignment horizontal="center" vertical="center"/>
    </xf>
    <xf numFmtId="0" fontId="0" fillId="13" borderId="18" xfId="0" applyFill="1" applyBorder="1" applyAlignment="1">
      <alignment vertical="center"/>
    </xf>
    <xf numFmtId="0" fontId="14" fillId="13" borderId="18" xfId="0" applyFont="1" applyFill="1" applyBorder="1" applyAlignment="1">
      <alignment horizontal="center" vertical="center"/>
    </xf>
    <xf numFmtId="0" fontId="0" fillId="13" borderId="6" xfId="0" applyFill="1" applyBorder="1" applyAlignment="1">
      <alignment vertical="center"/>
    </xf>
    <xf numFmtId="0" fontId="13" fillId="4" borderId="37" xfId="0" applyFont="1" applyFill="1" applyBorder="1" applyAlignment="1">
      <alignment horizontal="center" vertical="center"/>
    </xf>
    <xf numFmtId="0" fontId="0" fillId="4" borderId="36" xfId="0" applyFill="1" applyBorder="1" applyAlignment="1">
      <alignment vertical="center"/>
    </xf>
    <xf numFmtId="0" fontId="14" fillId="4" borderId="3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7" fontId="13" fillId="4" borderId="9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vertical="center"/>
    </xf>
    <xf numFmtId="0" fontId="15" fillId="4" borderId="36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5" borderId="40" xfId="0" applyFont="1" applyFill="1" applyBorder="1" applyAlignment="1">
      <alignment horizontal="center" vertical="center"/>
    </xf>
    <xf numFmtId="0" fontId="2" fillId="5" borderId="5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14" fillId="12" borderId="0" xfId="0" applyFont="1" applyFill="1" applyAlignment="1">
      <alignment vertical="center"/>
    </xf>
    <xf numFmtId="0" fontId="15" fillId="4" borderId="19" xfId="0" applyFont="1" applyFill="1" applyBorder="1" applyAlignment="1">
      <alignment vertical="center"/>
    </xf>
    <xf numFmtId="0" fontId="15" fillId="4" borderId="7" xfId="0" applyFont="1" applyFill="1" applyBorder="1" applyAlignment="1">
      <alignment vertical="center"/>
    </xf>
    <xf numFmtId="0" fontId="14" fillId="4" borderId="0" xfId="0" applyFont="1" applyFill="1" applyAlignment="1">
      <alignment vertical="center"/>
    </xf>
    <xf numFmtId="0" fontId="14" fillId="1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5" fillId="4" borderId="35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12" borderId="0" xfId="0" applyFont="1" applyFill="1" applyAlignment="1">
      <alignment vertical="center"/>
    </xf>
    <xf numFmtId="0" fontId="15" fillId="4" borderId="2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12" borderId="0" xfId="0" applyFill="1" applyAlignment="1">
      <alignment vertical="center"/>
    </xf>
    <xf numFmtId="0" fontId="6" fillId="0" borderId="0" xfId="0" applyFont="1" applyAlignment="1">
      <alignment horizontal="center" vertical="center"/>
    </xf>
    <xf numFmtId="17" fontId="1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6" fillId="13" borderId="0" xfId="0" applyFont="1" applyFill="1" applyAlignment="1">
      <alignment vertical="center"/>
    </xf>
    <xf numFmtId="0" fontId="1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Alignment="1">
      <alignment horizontal="center" vertical="center"/>
    </xf>
    <xf numFmtId="0" fontId="17" fillId="13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17" fillId="12" borderId="0" xfId="0" applyFont="1" applyFill="1" applyAlignment="1">
      <alignment vertical="center"/>
    </xf>
    <xf numFmtId="0" fontId="15" fillId="13" borderId="0" xfId="0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5" fillId="12" borderId="0" xfId="0" applyFont="1" applyFill="1" applyAlignment="1">
      <alignment vertical="center"/>
    </xf>
    <xf numFmtId="0" fontId="19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16" fontId="5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21" xfId="0" applyFont="1" applyBorder="1" applyAlignment="1">
      <alignment horizontal="center"/>
    </xf>
    <xf numFmtId="0" fontId="28" fillId="8" borderId="27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14" fillId="4" borderId="21" xfId="0" applyFont="1" applyFill="1" applyBorder="1" applyAlignment="1">
      <alignment horizontal="center" vertical="center"/>
    </xf>
    <xf numFmtId="0" fontId="0" fillId="13" borderId="37" xfId="0" applyFill="1" applyBorder="1" applyAlignment="1">
      <alignment vertical="center"/>
    </xf>
    <xf numFmtId="0" fontId="16" fillId="13" borderId="21" xfId="0" applyFont="1" applyFill="1" applyBorder="1" applyAlignment="1">
      <alignment vertical="center"/>
    </xf>
    <xf numFmtId="0" fontId="0" fillId="13" borderId="21" xfId="0" applyFill="1" applyBorder="1" applyAlignment="1">
      <alignment vertical="center"/>
    </xf>
    <xf numFmtId="0" fontId="28" fillId="8" borderId="12" xfId="0" applyFont="1" applyFill="1" applyBorder="1" applyAlignment="1">
      <alignment horizontal="center"/>
    </xf>
    <xf numFmtId="0" fontId="29" fillId="9" borderId="58" xfId="0" applyFont="1" applyFill="1" applyBorder="1" applyAlignment="1">
      <alignment horizontal="center" vertical="center"/>
    </xf>
    <xf numFmtId="0" fontId="3" fillId="16" borderId="25" xfId="0" applyFont="1" applyFill="1" applyBorder="1" applyAlignment="1">
      <alignment horizontal="center" vertical="center"/>
    </xf>
    <xf numFmtId="0" fontId="29" fillId="16" borderId="25" xfId="0" applyFont="1" applyFill="1" applyBorder="1" applyAlignment="1">
      <alignment horizontal="center" vertical="center"/>
    </xf>
    <xf numFmtId="0" fontId="33" fillId="16" borderId="25" xfId="0" applyFont="1" applyFill="1" applyBorder="1" applyAlignment="1">
      <alignment horizontal="center" vertical="center" wrapText="1"/>
    </xf>
    <xf numFmtId="0" fontId="29" fillId="9" borderId="25" xfId="0" applyFont="1" applyFill="1" applyBorder="1" applyAlignment="1">
      <alignment horizontal="center"/>
    </xf>
    <xf numFmtId="0" fontId="28" fillId="12" borderId="27" xfId="0" applyFont="1" applyFill="1" applyBorder="1" applyAlignment="1">
      <alignment horizontal="center"/>
    </xf>
    <xf numFmtId="0" fontId="15" fillId="7" borderId="7" xfId="0" applyFont="1" applyFill="1" applyBorder="1" applyAlignment="1">
      <alignment vertical="center"/>
    </xf>
    <xf numFmtId="0" fontId="28" fillId="12" borderId="0" xfId="0" applyFont="1" applyFill="1" applyAlignment="1">
      <alignment horizontal="center"/>
    </xf>
    <xf numFmtId="0" fontId="15" fillId="4" borderId="39" xfId="0" applyFont="1" applyFill="1" applyBorder="1" applyAlignment="1">
      <alignment vertical="center"/>
    </xf>
    <xf numFmtId="0" fontId="28" fillId="8" borderId="40" xfId="0" applyFont="1" applyFill="1" applyBorder="1" applyAlignment="1">
      <alignment horizontal="center"/>
    </xf>
    <xf numFmtId="0" fontId="0" fillId="4" borderId="37" xfId="0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62" xfId="0" applyFont="1" applyFill="1" applyBorder="1" applyAlignment="1">
      <alignment horizontal="center" vertical="center"/>
    </xf>
    <xf numFmtId="0" fontId="2" fillId="5" borderId="34" xfId="0" applyFont="1" applyFill="1" applyBorder="1" applyAlignment="1">
      <alignment horizontal="center" vertical="center"/>
    </xf>
    <xf numFmtId="0" fontId="2" fillId="5" borderId="63" xfId="0" applyFont="1" applyFill="1" applyBorder="1" applyAlignment="1">
      <alignment horizontal="center" vertical="center"/>
    </xf>
    <xf numFmtId="0" fontId="15" fillId="4" borderId="54" xfId="0" applyFont="1" applyFill="1" applyBorder="1" applyAlignment="1">
      <alignment horizontal="center" vertical="center"/>
    </xf>
    <xf numFmtId="0" fontId="28" fillId="12" borderId="12" xfId="0" applyFont="1" applyFill="1" applyBorder="1" applyAlignment="1">
      <alignment horizontal="center"/>
    </xf>
    <xf numFmtId="0" fontId="6" fillId="5" borderId="25" xfId="0" applyFont="1" applyFill="1" applyBorder="1" applyAlignment="1">
      <alignment horizontal="center" vertical="center"/>
    </xf>
    <xf numFmtId="0" fontId="2" fillId="14" borderId="40" xfId="0" applyFont="1" applyFill="1" applyBorder="1" applyAlignment="1">
      <alignment horizontal="center" vertical="center"/>
    </xf>
    <xf numFmtId="0" fontId="26" fillId="5" borderId="26" xfId="0" applyFont="1" applyFill="1" applyBorder="1" applyAlignment="1">
      <alignment horizontal="center" vertical="center"/>
    </xf>
    <xf numFmtId="0" fontId="26" fillId="5" borderId="33" xfId="0" applyFont="1" applyFill="1" applyBorder="1" applyAlignment="1">
      <alignment horizontal="center" vertical="center"/>
    </xf>
    <xf numFmtId="0" fontId="3" fillId="12" borderId="12" xfId="0" applyFont="1" applyFill="1" applyBorder="1" applyAlignment="1">
      <alignment horizontal="center" vertical="center"/>
    </xf>
    <xf numFmtId="0" fontId="3" fillId="12" borderId="62" xfId="0" applyFont="1" applyFill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3" fillId="12" borderId="25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0" fontId="29" fillId="9" borderId="12" xfId="0" applyFont="1" applyFill="1" applyBorder="1" applyAlignment="1">
      <alignment horizontal="center" vertical="center" wrapText="1"/>
    </xf>
    <xf numFmtId="0" fontId="29" fillId="9" borderId="12" xfId="0" applyFont="1" applyFill="1" applyBorder="1" applyAlignment="1">
      <alignment horizontal="center" vertical="center"/>
    </xf>
    <xf numFmtId="0" fontId="27" fillId="15" borderId="13" xfId="0" applyFont="1" applyFill="1" applyBorder="1" applyAlignment="1">
      <alignment horizontal="center" vertical="center"/>
    </xf>
    <xf numFmtId="0" fontId="29" fillId="17" borderId="25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2" fillId="5" borderId="50" xfId="0" applyFont="1" applyFill="1" applyBorder="1" applyAlignment="1">
      <alignment horizontal="center" vertical="center"/>
    </xf>
    <xf numFmtId="0" fontId="28" fillId="8" borderId="15" xfId="0" applyFont="1" applyFill="1" applyBorder="1" applyAlignment="1">
      <alignment horizontal="center"/>
    </xf>
    <xf numFmtId="0" fontId="28" fillId="12" borderId="50" xfId="0" applyFont="1" applyFill="1" applyBorder="1" applyAlignment="1">
      <alignment horizontal="center"/>
    </xf>
    <xf numFmtId="0" fontId="2" fillId="10" borderId="67" xfId="0" applyFont="1" applyFill="1" applyBorder="1" applyAlignment="1">
      <alignment horizontal="center" vertical="center"/>
    </xf>
    <xf numFmtId="0" fontId="0" fillId="13" borderId="69" xfId="0" applyFill="1" applyBorder="1" applyAlignment="1">
      <alignment vertical="center"/>
    </xf>
    <xf numFmtId="0" fontId="0" fillId="0" borderId="38" xfId="0" applyBorder="1" applyAlignment="1">
      <alignment vertical="center"/>
    </xf>
    <xf numFmtId="0" fontId="28" fillId="8" borderId="25" xfId="0" applyFont="1" applyFill="1" applyBorder="1" applyAlignment="1">
      <alignment horizontal="center"/>
    </xf>
    <xf numFmtId="0" fontId="29" fillId="14" borderId="13" xfId="0" applyFont="1" applyFill="1" applyBorder="1" applyAlignment="1">
      <alignment horizontal="center" vertical="center" wrapText="1"/>
    </xf>
    <xf numFmtId="17" fontId="26" fillId="5" borderId="26" xfId="0" applyNumberFormat="1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8" fillId="12" borderId="25" xfId="0" applyFont="1" applyFill="1" applyBorder="1" applyAlignment="1">
      <alignment horizontal="center"/>
    </xf>
    <xf numFmtId="17" fontId="13" fillId="8" borderId="9" xfId="0" applyNumberFormat="1" applyFont="1" applyFill="1" applyBorder="1" applyAlignment="1">
      <alignment horizontal="center" vertical="center"/>
    </xf>
    <xf numFmtId="0" fontId="0" fillId="8" borderId="9" xfId="0" applyFill="1" applyBorder="1" applyAlignment="1">
      <alignment vertical="center"/>
    </xf>
    <xf numFmtId="0" fontId="0" fillId="8" borderId="10" xfId="0" applyFill="1" applyBorder="1" applyAlignment="1">
      <alignment vertical="center"/>
    </xf>
    <xf numFmtId="0" fontId="13" fillId="8" borderId="10" xfId="0" applyFont="1" applyFill="1" applyBorder="1" applyAlignment="1">
      <alignment vertical="center"/>
    </xf>
    <xf numFmtId="0" fontId="0" fillId="8" borderId="11" xfId="0" applyFill="1" applyBorder="1" applyAlignment="1">
      <alignment vertical="center"/>
    </xf>
    <xf numFmtId="17" fontId="13" fillId="8" borderId="9" xfId="0" applyNumberFormat="1" applyFont="1" applyFill="1" applyBorder="1" applyAlignment="1">
      <alignment vertical="center"/>
    </xf>
    <xf numFmtId="17" fontId="13" fillId="8" borderId="10" xfId="0" applyNumberFormat="1" applyFont="1" applyFill="1" applyBorder="1" applyAlignment="1">
      <alignment vertical="center"/>
    </xf>
    <xf numFmtId="17" fontId="13" fillId="8" borderId="11" xfId="0" applyNumberFormat="1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0" fillId="12" borderId="63" xfId="0" applyFill="1" applyBorder="1" applyAlignment="1">
      <alignment vertical="center"/>
    </xf>
    <xf numFmtId="0" fontId="28" fillId="9" borderId="25" xfId="0" applyFont="1" applyFill="1" applyBorder="1" applyAlignment="1">
      <alignment horizontal="center" vertical="center" wrapText="1"/>
    </xf>
    <xf numFmtId="0" fontId="2" fillId="12" borderId="27" xfId="0" applyFont="1" applyFill="1" applyBorder="1" applyAlignment="1">
      <alignment horizontal="center" vertical="center"/>
    </xf>
    <xf numFmtId="0" fontId="28" fillId="12" borderId="15" xfId="0" applyFont="1" applyFill="1" applyBorder="1" applyAlignment="1">
      <alignment horizontal="center"/>
    </xf>
    <xf numFmtId="0" fontId="2" fillId="12" borderId="50" xfId="0" applyFont="1" applyFill="1" applyBorder="1" applyAlignment="1">
      <alignment horizontal="center" vertical="center"/>
    </xf>
    <xf numFmtId="0" fontId="1" fillId="5" borderId="71" xfId="0" applyFont="1" applyFill="1" applyBorder="1" applyAlignment="1">
      <alignment horizontal="center" vertical="center"/>
    </xf>
    <xf numFmtId="0" fontId="28" fillId="8" borderId="58" xfId="0" applyFont="1" applyFill="1" applyBorder="1" applyAlignment="1">
      <alignment horizontal="center"/>
    </xf>
    <xf numFmtId="0" fontId="28" fillId="8" borderId="72" xfId="0" applyFont="1" applyFill="1" applyBorder="1" applyAlignment="1">
      <alignment horizontal="center"/>
    </xf>
    <xf numFmtId="0" fontId="40" fillId="12" borderId="27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0" fillId="12" borderId="12" xfId="0" applyFont="1" applyFill="1" applyBorder="1" applyAlignment="1">
      <alignment horizontal="center" vertical="center"/>
    </xf>
    <xf numFmtId="0" fontId="40" fillId="12" borderId="15" xfId="0" applyFont="1" applyFill="1" applyBorder="1" applyAlignment="1">
      <alignment horizontal="center" vertical="center"/>
    </xf>
    <xf numFmtId="0" fontId="38" fillId="12" borderId="50" xfId="0" applyFont="1" applyFill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vertical="center"/>
    </xf>
    <xf numFmtId="0" fontId="28" fillId="12" borderId="62" xfId="0" applyFont="1" applyFill="1" applyBorder="1" applyAlignment="1">
      <alignment horizontal="center" vertical="center"/>
    </xf>
    <xf numFmtId="0" fontId="6" fillId="0" borderId="1" xfId="0" applyFont="1" applyBorder="1"/>
    <xf numFmtId="0" fontId="29" fillId="8" borderId="27" xfId="0" applyFont="1" applyFill="1" applyBorder="1" applyAlignment="1">
      <alignment horizontal="center" vertical="center" wrapText="1"/>
    </xf>
    <xf numFmtId="0" fontId="27" fillId="12" borderId="13" xfId="0" applyFont="1" applyFill="1" applyBorder="1" applyAlignment="1">
      <alignment horizontal="center" vertical="center"/>
    </xf>
    <xf numFmtId="0" fontId="6" fillId="12" borderId="25" xfId="0" applyFont="1" applyFill="1" applyBorder="1" applyAlignment="1">
      <alignment horizontal="center" vertical="center"/>
    </xf>
    <xf numFmtId="0" fontId="28" fillId="12" borderId="13" xfId="0" applyFont="1" applyFill="1" applyBorder="1" applyAlignment="1">
      <alignment horizontal="center" vertical="center"/>
    </xf>
    <xf numFmtId="0" fontId="29" fillId="12" borderId="13" xfId="0" applyFont="1" applyFill="1" applyBorder="1" applyAlignment="1">
      <alignment horizontal="center" vertical="center" wrapText="1"/>
    </xf>
    <xf numFmtId="0" fontId="7" fillId="12" borderId="25" xfId="0" applyFont="1" applyFill="1" applyBorder="1" applyAlignment="1">
      <alignment horizontal="center" vertical="center"/>
    </xf>
    <xf numFmtId="0" fontId="2" fillId="12" borderId="12" xfId="0" applyFont="1" applyFill="1" applyBorder="1" applyAlignment="1">
      <alignment horizontal="center" vertical="center"/>
    </xf>
    <xf numFmtId="0" fontId="28" fillId="12" borderId="72" xfId="0" applyFont="1" applyFill="1" applyBorder="1" applyAlignment="1">
      <alignment horizontal="center"/>
    </xf>
    <xf numFmtId="0" fontId="28" fillId="12" borderId="40" xfId="0" applyFont="1" applyFill="1" applyBorder="1" applyAlignment="1">
      <alignment horizontal="center"/>
    </xf>
    <xf numFmtId="0" fontId="2" fillId="12" borderId="40" xfId="0" applyFont="1" applyFill="1" applyBorder="1" applyAlignment="1">
      <alignment horizontal="center" vertical="center"/>
    </xf>
    <xf numFmtId="0" fontId="0" fillId="4" borderId="10" xfId="0" applyFill="1" applyBorder="1" applyAlignment="1">
      <alignment vertical="center"/>
    </xf>
    <xf numFmtId="0" fontId="29" fillId="12" borderId="12" xfId="0" applyFont="1" applyFill="1" applyBorder="1" applyAlignment="1">
      <alignment horizontal="center" vertical="center"/>
    </xf>
    <xf numFmtId="0" fontId="2" fillId="5" borderId="41" xfId="0" applyFont="1" applyFill="1" applyBorder="1" applyAlignment="1">
      <alignment horizontal="center" vertical="center"/>
    </xf>
    <xf numFmtId="0" fontId="28" fillId="12" borderId="7" xfId="0" applyFont="1" applyFill="1" applyBorder="1" applyAlignment="1">
      <alignment horizontal="center"/>
    </xf>
    <xf numFmtId="0" fontId="0" fillId="12" borderId="37" xfId="0" applyFill="1" applyBorder="1" applyAlignment="1">
      <alignment vertical="center"/>
    </xf>
    <xf numFmtId="17" fontId="13" fillId="12" borderId="21" xfId="0" applyNumberFormat="1" applyFont="1" applyFill="1" applyBorder="1" applyAlignment="1">
      <alignment vertical="center"/>
    </xf>
    <xf numFmtId="0" fontId="15" fillId="12" borderId="21" xfId="0" applyFont="1" applyFill="1" applyBorder="1" applyAlignment="1">
      <alignment vertical="center"/>
    </xf>
    <xf numFmtId="0" fontId="2" fillId="12" borderId="21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/>
    </xf>
    <xf numFmtId="0" fontId="6" fillId="12" borderId="21" xfId="0" applyFont="1" applyFill="1" applyBorder="1" applyAlignment="1">
      <alignment horizontal="center" vertical="center"/>
    </xf>
    <xf numFmtId="0" fontId="28" fillId="12" borderId="13" xfId="0" applyFont="1" applyFill="1" applyBorder="1" applyAlignment="1">
      <alignment horizontal="center"/>
    </xf>
    <xf numFmtId="0" fontId="40" fillId="12" borderId="72" xfId="0" applyFont="1" applyFill="1" applyBorder="1" applyAlignment="1">
      <alignment horizontal="center" vertical="center"/>
    </xf>
    <xf numFmtId="0" fontId="3" fillId="12" borderId="72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/>
    </xf>
    <xf numFmtId="0" fontId="2" fillId="12" borderId="72" xfId="0" applyFont="1" applyFill="1" applyBorder="1" applyAlignment="1">
      <alignment horizontal="center" vertical="center"/>
    </xf>
    <xf numFmtId="0" fontId="2" fillId="12" borderId="58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8" fillId="8" borderId="50" xfId="0" applyFont="1" applyFill="1" applyBorder="1" applyAlignment="1">
      <alignment horizontal="center"/>
    </xf>
    <xf numFmtId="0" fontId="0" fillId="2" borderId="19" xfId="0" applyFill="1" applyBorder="1" applyAlignment="1">
      <alignment horizontal="center"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17" fillId="4" borderId="57" xfId="0" applyFont="1" applyFill="1" applyBorder="1" applyAlignment="1">
      <alignment vertical="center"/>
    </xf>
    <xf numFmtId="0" fontId="17" fillId="4" borderId="18" xfId="0" applyFont="1" applyFill="1" applyBorder="1" applyAlignment="1">
      <alignment vertical="center"/>
    </xf>
    <xf numFmtId="0" fontId="17" fillId="4" borderId="74" xfId="0" applyFont="1" applyFill="1" applyBorder="1" applyAlignment="1">
      <alignment vertical="center"/>
    </xf>
    <xf numFmtId="0" fontId="6" fillId="0" borderId="25" xfId="0" applyFont="1" applyBorder="1" applyAlignment="1">
      <alignment horizontal="center" vertical="center"/>
    </xf>
    <xf numFmtId="0" fontId="10" fillId="4" borderId="25" xfId="0" applyFont="1" applyFill="1" applyBorder="1" applyAlignment="1">
      <alignment horizontal="center" vertical="center"/>
    </xf>
    <xf numFmtId="0" fontId="3" fillId="9" borderId="25" xfId="0" applyFont="1" applyFill="1" applyBorder="1" applyAlignment="1">
      <alignment horizontal="center" vertical="center"/>
    </xf>
    <xf numFmtId="0" fontId="28" fillId="8" borderId="75" xfId="0" applyFont="1" applyFill="1" applyBorder="1" applyAlignment="1">
      <alignment horizontal="center"/>
    </xf>
    <xf numFmtId="0" fontId="3" fillId="9" borderId="12" xfId="0" applyFont="1" applyFill="1" applyBorder="1" applyAlignment="1">
      <alignment horizontal="center" vertical="center" wrapText="1"/>
    </xf>
    <xf numFmtId="0" fontId="1" fillId="5" borderId="76" xfId="0" applyFont="1" applyFill="1" applyBorder="1" applyAlignment="1">
      <alignment horizontal="center" vertical="center"/>
    </xf>
    <xf numFmtId="0" fontId="28" fillId="8" borderId="13" xfId="0" applyFont="1" applyFill="1" applyBorder="1" applyAlignment="1">
      <alignment horizontal="center"/>
    </xf>
    <xf numFmtId="0" fontId="0" fillId="0" borderId="21" xfId="0" applyBorder="1" applyAlignment="1">
      <alignment vertical="center"/>
    </xf>
    <xf numFmtId="0" fontId="15" fillId="19" borderId="0" xfId="0" applyFont="1" applyFill="1" applyAlignment="1">
      <alignment horizontal="center" vertical="center"/>
    </xf>
    <xf numFmtId="0" fontId="28" fillId="12" borderId="6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 vertical="center"/>
    </xf>
    <xf numFmtId="17" fontId="13" fillId="8" borderId="57" xfId="0" applyNumberFormat="1" applyFont="1" applyFill="1" applyBorder="1" applyAlignment="1">
      <alignment horizontal="center" vertical="center"/>
    </xf>
    <xf numFmtId="0" fontId="17" fillId="8" borderId="57" xfId="0" applyFont="1" applyFill="1" applyBorder="1" applyAlignment="1">
      <alignment vertical="center"/>
    </xf>
    <xf numFmtId="0" fontId="17" fillId="8" borderId="18" xfId="0" applyFont="1" applyFill="1" applyBorder="1" applyAlignment="1">
      <alignment vertical="center"/>
    </xf>
    <xf numFmtId="0" fontId="17" fillId="8" borderId="74" xfId="0" applyFont="1" applyFill="1" applyBorder="1" applyAlignment="1">
      <alignment vertical="center"/>
    </xf>
    <xf numFmtId="17" fontId="13" fillId="8" borderId="18" xfId="0" applyNumberFormat="1" applyFont="1" applyFill="1" applyBorder="1" applyAlignment="1">
      <alignment vertical="center"/>
    </xf>
    <xf numFmtId="0" fontId="13" fillId="8" borderId="18" xfId="0" applyFont="1" applyFill="1" applyBorder="1" applyAlignment="1">
      <alignment vertical="center"/>
    </xf>
    <xf numFmtId="17" fontId="17" fillId="8" borderId="74" xfId="0" applyNumberFormat="1" applyFont="1" applyFill="1" applyBorder="1" applyAlignment="1">
      <alignment vertical="center"/>
    </xf>
    <xf numFmtId="0" fontId="1" fillId="18" borderId="0" xfId="0" applyFont="1" applyFill="1" applyAlignment="1">
      <alignment horizontal="center" vertical="center"/>
    </xf>
    <xf numFmtId="0" fontId="3" fillId="12" borderId="77" xfId="0" applyFont="1" applyFill="1" applyBorder="1" applyAlignment="1">
      <alignment horizontal="center" vertical="center"/>
    </xf>
    <xf numFmtId="0" fontId="17" fillId="8" borderId="41" xfId="0" applyFont="1" applyFill="1" applyBorder="1" applyAlignment="1">
      <alignment vertical="center"/>
    </xf>
    <xf numFmtId="0" fontId="0" fillId="8" borderId="38" xfId="0" applyFill="1" applyBorder="1" applyAlignment="1">
      <alignment vertical="center"/>
    </xf>
    <xf numFmtId="0" fontId="17" fillId="8" borderId="38" xfId="0" applyFont="1" applyFill="1" applyBorder="1" applyAlignment="1">
      <alignment vertical="center"/>
    </xf>
    <xf numFmtId="0" fontId="17" fillId="8" borderId="27" xfId="0" applyFont="1" applyFill="1" applyBorder="1" applyAlignment="1">
      <alignment vertical="center"/>
    </xf>
    <xf numFmtId="0" fontId="1" fillId="18" borderId="78" xfId="0" applyFont="1" applyFill="1" applyBorder="1" applyAlignment="1">
      <alignment horizontal="center" vertical="center"/>
    </xf>
    <xf numFmtId="0" fontId="28" fillId="9" borderId="12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/>
    </xf>
    <xf numFmtId="0" fontId="3" fillId="12" borderId="25" xfId="0" applyFont="1" applyFill="1" applyBorder="1" applyAlignment="1">
      <alignment horizontal="center" vertical="center" wrapText="1"/>
    </xf>
    <xf numFmtId="0" fontId="2" fillId="12" borderId="25" xfId="0" applyFont="1" applyFill="1" applyBorder="1" applyAlignment="1">
      <alignment horizontal="center" vertical="center" wrapText="1"/>
    </xf>
    <xf numFmtId="0" fontId="29" fillId="12" borderId="25" xfId="0" applyFont="1" applyFill="1" applyBorder="1" applyAlignment="1">
      <alignment horizontal="center" vertical="center" wrapText="1"/>
    </xf>
    <xf numFmtId="0" fontId="29" fillId="12" borderId="25" xfId="0" applyFont="1" applyFill="1" applyBorder="1" applyAlignment="1">
      <alignment horizontal="center" vertical="center"/>
    </xf>
    <xf numFmtId="0" fontId="10" fillId="12" borderId="25" xfId="0" applyFont="1" applyFill="1" applyBorder="1" applyAlignment="1">
      <alignment horizontal="center" vertical="center"/>
    </xf>
    <xf numFmtId="0" fontId="29" fillId="12" borderId="27" xfId="0" applyFont="1" applyFill="1" applyBorder="1" applyAlignment="1">
      <alignment horizontal="center" vertical="center" wrapText="1"/>
    </xf>
    <xf numFmtId="0" fontId="40" fillId="12" borderId="58" xfId="0" applyFont="1" applyFill="1" applyBorder="1" applyAlignment="1">
      <alignment horizontal="center" vertical="center"/>
    </xf>
    <xf numFmtId="0" fontId="28" fillId="12" borderId="58" xfId="0" applyFont="1" applyFill="1" applyBorder="1" applyAlignment="1">
      <alignment horizontal="center" vertical="center"/>
    </xf>
    <xf numFmtId="0" fontId="28" fillId="12" borderId="32" xfId="0" applyFont="1" applyFill="1" applyBorder="1" applyAlignment="1">
      <alignment horizontal="center"/>
    </xf>
    <xf numFmtId="0" fontId="2" fillId="12" borderId="15" xfId="0" applyFont="1" applyFill="1" applyBorder="1" applyAlignment="1">
      <alignment horizontal="center" vertical="center" wrapText="1"/>
    </xf>
    <xf numFmtId="0" fontId="28" fillId="12" borderId="25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 wrapText="1"/>
    </xf>
    <xf numFmtId="0" fontId="29" fillId="12" borderId="58" xfId="0" applyFont="1" applyFill="1" applyBorder="1" applyAlignment="1">
      <alignment horizontal="center" vertical="center" wrapText="1"/>
    </xf>
    <xf numFmtId="0" fontId="28" fillId="12" borderId="77" xfId="0" applyFont="1" applyFill="1" applyBorder="1" applyAlignment="1">
      <alignment horizontal="center"/>
    </xf>
    <xf numFmtId="0" fontId="2" fillId="12" borderId="77" xfId="0" applyFont="1" applyFill="1" applyBorder="1" applyAlignment="1">
      <alignment horizontal="center" vertical="center"/>
    </xf>
    <xf numFmtId="0" fontId="28" fillId="12" borderId="77" xfId="0" applyFont="1" applyFill="1" applyBorder="1" applyAlignment="1">
      <alignment horizontal="center" vertical="center"/>
    </xf>
    <xf numFmtId="0" fontId="2" fillId="5" borderId="77" xfId="0" applyFont="1" applyFill="1" applyBorder="1" applyAlignment="1">
      <alignment horizontal="center" vertical="center"/>
    </xf>
    <xf numFmtId="0" fontId="34" fillId="8" borderId="25" xfId="0" applyFont="1" applyFill="1" applyBorder="1" applyAlignment="1">
      <alignment vertical="center" textRotation="90"/>
    </xf>
    <xf numFmtId="0" fontId="29" fillId="12" borderId="13" xfId="0" applyFont="1" applyFill="1" applyBorder="1" applyAlignment="1">
      <alignment horizontal="center" vertical="center"/>
    </xf>
    <xf numFmtId="0" fontId="28" fillId="12" borderId="58" xfId="0" applyFont="1" applyFill="1" applyBorder="1" applyAlignment="1">
      <alignment horizontal="center"/>
    </xf>
    <xf numFmtId="0" fontId="28" fillId="12" borderId="75" xfId="0" applyFont="1" applyFill="1" applyBorder="1" applyAlignment="1">
      <alignment horizontal="center"/>
    </xf>
    <xf numFmtId="0" fontId="6" fillId="12" borderId="62" xfId="0" applyFont="1" applyFill="1" applyBorder="1" applyAlignment="1">
      <alignment horizontal="center" vertical="center"/>
    </xf>
    <xf numFmtId="0" fontId="40" fillId="12" borderId="32" xfId="0" applyFont="1" applyFill="1" applyBorder="1" applyAlignment="1">
      <alignment horizontal="center" vertical="center"/>
    </xf>
    <xf numFmtId="0" fontId="3" fillId="12" borderId="32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 wrapText="1"/>
    </xf>
    <xf numFmtId="0" fontId="2" fillId="10" borderId="27" xfId="0" applyFont="1" applyFill="1" applyBorder="1" applyAlignment="1">
      <alignment horizontal="center" vertical="center"/>
    </xf>
    <xf numFmtId="0" fontId="2" fillId="11" borderId="72" xfId="0" applyFont="1" applyFill="1" applyBorder="1" applyAlignment="1">
      <alignment horizontal="center" vertical="center" wrapText="1"/>
    </xf>
    <xf numFmtId="0" fontId="34" fillId="8" borderId="13" xfId="0" applyFont="1" applyFill="1" applyBorder="1" applyAlignment="1">
      <alignment vertical="center" textRotation="90"/>
    </xf>
    <xf numFmtId="0" fontId="34" fillId="8" borderId="58" xfId="0" applyFont="1" applyFill="1" applyBorder="1" applyAlignment="1">
      <alignment vertical="center" textRotation="90"/>
    </xf>
    <xf numFmtId="0" fontId="3" fillId="12" borderId="73" xfId="0" applyFont="1" applyFill="1" applyBorder="1" applyAlignment="1">
      <alignment horizontal="center" vertical="center"/>
    </xf>
    <xf numFmtId="0" fontId="2" fillId="10" borderId="58" xfId="0" applyFont="1" applyFill="1" applyBorder="1" applyAlignment="1">
      <alignment horizontal="center" vertical="center"/>
    </xf>
    <xf numFmtId="0" fontId="3" fillId="18" borderId="13" xfId="0" applyFont="1" applyFill="1" applyBorder="1" applyAlignment="1">
      <alignment horizontal="center" vertical="center"/>
    </xf>
    <xf numFmtId="0" fontId="28" fillId="9" borderId="12" xfId="0" applyFont="1" applyFill="1" applyBorder="1" applyAlignment="1">
      <alignment horizontal="center"/>
    </xf>
    <xf numFmtId="0" fontId="3" fillId="20" borderId="13" xfId="0" applyFont="1" applyFill="1" applyBorder="1" applyAlignment="1">
      <alignment horizontal="center" vertical="center"/>
    </xf>
    <xf numFmtId="0" fontId="28" fillId="9" borderId="12" xfId="0" applyFont="1" applyFill="1" applyBorder="1" applyAlignment="1">
      <alignment horizontal="center" vertical="center"/>
    </xf>
    <xf numFmtId="0" fontId="2" fillId="11" borderId="73" xfId="0" applyFont="1" applyFill="1" applyBorder="1" applyAlignment="1">
      <alignment horizontal="center" vertical="center" wrapText="1"/>
    </xf>
    <xf numFmtId="0" fontId="2" fillId="11" borderId="58" xfId="0" applyFont="1" applyFill="1" applyBorder="1" applyAlignment="1">
      <alignment horizontal="center" vertical="center"/>
    </xf>
    <xf numFmtId="0" fontId="2" fillId="11" borderId="79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7" fillId="6" borderId="58" xfId="0" applyFont="1" applyFill="1" applyBorder="1" applyAlignment="1">
      <alignment horizontal="center" vertical="center"/>
    </xf>
    <xf numFmtId="0" fontId="2" fillId="10" borderId="40" xfId="0" applyFont="1" applyFill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28" fillId="9" borderId="72" xfId="0" applyFont="1" applyFill="1" applyBorder="1" applyAlignment="1">
      <alignment horizontal="center"/>
    </xf>
    <xf numFmtId="0" fontId="28" fillId="9" borderId="13" xfId="0" applyFont="1" applyFill="1" applyBorder="1" applyAlignment="1">
      <alignment horizontal="center" vertical="center"/>
    </xf>
    <xf numFmtId="0" fontId="29" fillId="14" borderId="58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2" fillId="10" borderId="62" xfId="0" applyFont="1" applyFill="1" applyBorder="1" applyAlignment="1">
      <alignment horizontal="center" vertical="center"/>
    </xf>
    <xf numFmtId="0" fontId="28" fillId="9" borderId="58" xfId="0" applyFont="1" applyFill="1" applyBorder="1" applyAlignment="1">
      <alignment horizontal="center" vertical="center"/>
    </xf>
    <xf numFmtId="0" fontId="2" fillId="11" borderId="72" xfId="0" applyFont="1" applyFill="1" applyBorder="1" applyAlignment="1">
      <alignment horizontal="center" vertical="center"/>
    </xf>
    <xf numFmtId="0" fontId="28" fillId="9" borderId="58" xfId="0" applyFont="1" applyFill="1" applyBorder="1" applyAlignment="1">
      <alignment horizontal="center"/>
    </xf>
    <xf numFmtId="0" fontId="3" fillId="9" borderId="13" xfId="0" applyFont="1" applyFill="1" applyBorder="1" applyAlignment="1">
      <alignment horizontal="center" vertical="center"/>
    </xf>
    <xf numFmtId="0" fontId="3" fillId="9" borderId="80" xfId="0" applyFont="1" applyFill="1" applyBorder="1" applyAlignment="1">
      <alignment horizontal="center" vertical="center"/>
    </xf>
    <xf numFmtId="0" fontId="29" fillId="11" borderId="27" xfId="0" applyFont="1" applyFill="1" applyBorder="1" applyAlignment="1">
      <alignment horizontal="center" vertical="center" wrapText="1"/>
    </xf>
    <xf numFmtId="0" fontId="29" fillId="16" borderId="25" xfId="0" applyFont="1" applyFill="1" applyBorder="1" applyAlignment="1">
      <alignment horizontal="center" vertical="center" wrapText="1"/>
    </xf>
    <xf numFmtId="0" fontId="15" fillId="4" borderId="41" xfId="0" applyFont="1" applyFill="1" applyBorder="1" applyAlignment="1">
      <alignment horizontal="center" vertical="center"/>
    </xf>
    <xf numFmtId="0" fontId="15" fillId="4" borderId="38" xfId="0" applyFont="1" applyFill="1" applyBorder="1" applyAlignment="1">
      <alignment horizontal="center" vertical="center"/>
    </xf>
    <xf numFmtId="0" fontId="15" fillId="4" borderId="27" xfId="0" applyFont="1" applyFill="1" applyBorder="1" applyAlignment="1">
      <alignment horizontal="center" vertical="center"/>
    </xf>
    <xf numFmtId="0" fontId="34" fillId="8" borderId="66" xfId="0" applyFont="1" applyFill="1" applyBorder="1" applyAlignment="1">
      <alignment horizontal="center" vertical="center" textRotation="90"/>
    </xf>
    <xf numFmtId="0" fontId="34" fillId="8" borderId="17" xfId="0" applyFont="1" applyFill="1" applyBorder="1" applyAlignment="1">
      <alignment horizontal="center" vertical="center" textRotation="90"/>
    </xf>
    <xf numFmtId="0" fontId="34" fillId="8" borderId="68" xfId="0" applyFont="1" applyFill="1" applyBorder="1" applyAlignment="1">
      <alignment horizontal="center" vertical="center" textRotation="90"/>
    </xf>
    <xf numFmtId="0" fontId="34" fillId="8" borderId="53" xfId="0" applyFont="1" applyFill="1" applyBorder="1" applyAlignment="1">
      <alignment horizontal="center" vertical="center" textRotation="90"/>
    </xf>
    <xf numFmtId="0" fontId="34" fillId="8" borderId="16" xfId="0" applyFont="1" applyFill="1" applyBorder="1" applyAlignment="1">
      <alignment horizontal="center" vertical="center" textRotation="90"/>
    </xf>
    <xf numFmtId="0" fontId="34" fillId="8" borderId="64" xfId="0" applyFont="1" applyFill="1" applyBorder="1" applyAlignment="1">
      <alignment horizontal="center" vertical="center" textRotation="90"/>
    </xf>
    <xf numFmtId="0" fontId="15" fillId="17" borderId="63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 vertical="center"/>
    </xf>
    <xf numFmtId="0" fontId="15" fillId="11" borderId="39" xfId="0" applyFont="1" applyFill="1" applyBorder="1" applyAlignment="1">
      <alignment horizontal="center" vertical="center"/>
    </xf>
    <xf numFmtId="0" fontId="15" fillId="4" borderId="25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8" borderId="64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right" vertical="center"/>
    </xf>
    <xf numFmtId="0" fontId="17" fillId="4" borderId="18" xfId="0" applyFont="1" applyFill="1" applyBorder="1" applyAlignment="1">
      <alignment horizontal="left" vertical="center"/>
    </xf>
    <xf numFmtId="17" fontId="13" fillId="4" borderId="18" xfId="0" applyNumberFormat="1" applyFont="1" applyFill="1" applyBorder="1" applyAlignment="1">
      <alignment horizontal="right" vertical="center"/>
    </xf>
    <xf numFmtId="0" fontId="17" fillId="4" borderId="18" xfId="0" applyFont="1" applyFill="1" applyBorder="1" applyAlignment="1">
      <alignment horizontal="right" vertical="center"/>
    </xf>
    <xf numFmtId="0" fontId="13" fillId="8" borderId="18" xfId="0" applyFont="1" applyFill="1" applyBorder="1" applyAlignment="1">
      <alignment horizontal="left" vertical="center"/>
    </xf>
    <xf numFmtId="0" fontId="13" fillId="8" borderId="38" xfId="0" applyFont="1" applyFill="1" applyBorder="1" applyAlignment="1">
      <alignment horizontal="right" vertical="center"/>
    </xf>
    <xf numFmtId="0" fontId="13" fillId="8" borderId="38" xfId="0" applyFont="1" applyFill="1" applyBorder="1" applyAlignment="1">
      <alignment horizontal="left" vertical="center"/>
    </xf>
    <xf numFmtId="0" fontId="13" fillId="8" borderId="18" xfId="0" applyFont="1" applyFill="1" applyBorder="1" applyAlignment="1">
      <alignment horizontal="right" vertical="center"/>
    </xf>
    <xf numFmtId="17" fontId="13" fillId="8" borderId="10" xfId="0" applyNumberFormat="1" applyFont="1" applyFill="1" applyBorder="1" applyAlignment="1">
      <alignment horizontal="right" vertical="center"/>
    </xf>
    <xf numFmtId="17" fontId="20" fillId="5" borderId="25" xfId="0" applyNumberFormat="1" applyFont="1" applyFill="1" applyBorder="1" applyAlignment="1">
      <alignment horizontal="center" vertical="center"/>
    </xf>
    <xf numFmtId="0" fontId="20" fillId="5" borderId="25" xfId="0" applyFont="1" applyFill="1" applyBorder="1" applyAlignment="1">
      <alignment horizontal="center" vertical="center"/>
    </xf>
    <xf numFmtId="0" fontId="15" fillId="4" borderId="54" xfId="0" applyFont="1" applyFill="1" applyBorder="1" applyAlignment="1">
      <alignment horizontal="center" vertical="center"/>
    </xf>
    <xf numFmtId="0" fontId="15" fillId="4" borderId="39" xfId="0" applyFont="1" applyFill="1" applyBorder="1" applyAlignment="1">
      <alignment horizontal="center" vertical="center"/>
    </xf>
    <xf numFmtId="0" fontId="41" fillId="4" borderId="65" xfId="0" applyFont="1" applyFill="1" applyBorder="1" applyAlignment="1">
      <alignment horizontal="center" vertical="center" textRotation="90"/>
    </xf>
    <xf numFmtId="0" fontId="41" fillId="4" borderId="55" xfId="0" applyFont="1" applyFill="1" applyBorder="1" applyAlignment="1">
      <alignment horizontal="center" vertical="center" textRotation="90"/>
    </xf>
    <xf numFmtId="0" fontId="41" fillId="4" borderId="70" xfId="0" applyFont="1" applyFill="1" applyBorder="1" applyAlignment="1">
      <alignment horizontal="center" vertical="center" textRotation="90"/>
    </xf>
    <xf numFmtId="0" fontId="23" fillId="4" borderId="53" xfId="0" applyFont="1" applyFill="1" applyBorder="1" applyAlignment="1">
      <alignment horizontal="center" vertical="center" textRotation="90"/>
    </xf>
    <xf numFmtId="0" fontId="23" fillId="4" borderId="16" xfId="0" applyFont="1" applyFill="1" applyBorder="1" applyAlignment="1">
      <alignment horizontal="center" vertical="center" textRotation="90"/>
    </xf>
    <xf numFmtId="0" fontId="36" fillId="8" borderId="53" xfId="0" applyFont="1" applyFill="1" applyBorder="1" applyAlignment="1">
      <alignment vertical="center" textRotation="90"/>
    </xf>
    <xf numFmtId="0" fontId="36" fillId="8" borderId="16" xfId="0" applyFont="1" applyFill="1" applyBorder="1" applyAlignment="1">
      <alignment vertical="center" textRotation="90"/>
    </xf>
    <xf numFmtId="0" fontId="36" fillId="8" borderId="64" xfId="0" applyFont="1" applyFill="1" applyBorder="1" applyAlignment="1">
      <alignment vertical="center" textRotation="90"/>
    </xf>
    <xf numFmtId="0" fontId="37" fillId="8" borderId="53" xfId="0" applyFont="1" applyFill="1" applyBorder="1" applyAlignment="1">
      <alignment vertical="center" textRotation="90"/>
    </xf>
    <xf numFmtId="0" fontId="37" fillId="8" borderId="16" xfId="0" applyFont="1" applyFill="1" applyBorder="1" applyAlignment="1">
      <alignment vertical="center" textRotation="90"/>
    </xf>
    <xf numFmtId="0" fontId="37" fillId="8" borderId="64" xfId="0" applyFont="1" applyFill="1" applyBorder="1" applyAlignment="1">
      <alignment vertical="center" textRotation="90"/>
    </xf>
    <xf numFmtId="0" fontId="15" fillId="11" borderId="41" xfId="0" applyFont="1" applyFill="1" applyBorder="1" applyAlignment="1">
      <alignment horizontal="center" vertical="center"/>
    </xf>
    <xf numFmtId="0" fontId="15" fillId="11" borderId="38" xfId="0" applyFont="1" applyFill="1" applyBorder="1" applyAlignment="1">
      <alignment horizontal="center" vertical="center"/>
    </xf>
    <xf numFmtId="0" fontId="15" fillId="11" borderId="54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7" fillId="8" borderId="18" xfId="0" applyFont="1" applyFill="1" applyBorder="1" applyAlignment="1">
      <alignment horizontal="left" vertical="center"/>
    </xf>
    <xf numFmtId="0" fontId="17" fillId="8" borderId="18" xfId="0" applyFont="1" applyFill="1" applyBorder="1" applyAlignment="1">
      <alignment horizontal="right" vertical="center"/>
    </xf>
    <xf numFmtId="0" fontId="35" fillId="4" borderId="26" xfId="0" applyFont="1" applyFill="1" applyBorder="1" applyAlignment="1">
      <alignment horizontal="center" vertical="center" textRotation="90"/>
    </xf>
    <xf numFmtId="0" fontId="35" fillId="4" borderId="14" xfId="0" applyFont="1" applyFill="1" applyBorder="1" applyAlignment="1">
      <alignment horizontal="center" vertical="center" textRotation="90"/>
    </xf>
    <xf numFmtId="0" fontId="35" fillId="4" borderId="57" xfId="0" applyFont="1" applyFill="1" applyBorder="1" applyAlignment="1">
      <alignment horizontal="center" vertical="center" textRotation="90"/>
    </xf>
    <xf numFmtId="0" fontId="23" fillId="4" borderId="13" xfId="0" applyFont="1" applyFill="1" applyBorder="1" applyAlignment="1">
      <alignment horizontal="center" vertical="center" textRotation="90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2" fontId="6" fillId="0" borderId="43" xfId="0" applyNumberFormat="1" applyFont="1" applyBorder="1" applyAlignment="1">
      <alignment horizontal="right"/>
    </xf>
    <xf numFmtId="2" fontId="6" fillId="0" borderId="44" xfId="0" applyNumberFormat="1" applyFont="1" applyBorder="1" applyAlignment="1">
      <alignment horizontal="right"/>
    </xf>
    <xf numFmtId="2" fontId="6" fillId="0" borderId="47" xfId="0" applyNumberFormat="1" applyFont="1" applyBorder="1" applyAlignment="1">
      <alignment horizontal="right"/>
    </xf>
    <xf numFmtId="2" fontId="6" fillId="0" borderId="48" xfId="0" applyNumberFormat="1" applyFont="1" applyBorder="1" applyAlignment="1">
      <alignment horizontal="right"/>
    </xf>
    <xf numFmtId="2" fontId="0" fillId="0" borderId="4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6" fillId="0" borderId="59" xfId="0" applyFont="1" applyBorder="1" applyAlignment="1">
      <alignment horizontal="center"/>
    </xf>
    <xf numFmtId="0" fontId="6" fillId="0" borderId="60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45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27" xfId="0" applyBorder="1" applyAlignment="1">
      <alignment horizontal="center"/>
    </xf>
    <xf numFmtId="0" fontId="3" fillId="9" borderId="12" xfId="0" applyFont="1" applyFill="1" applyBorder="1" applyAlignment="1">
      <alignment horizontal="center" vertical="center"/>
    </xf>
  </cellXfs>
  <cellStyles count="1">
    <cellStyle name="Standard" xfId="0" builtinId="0"/>
  </cellStyles>
  <dxfs count="93"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7BF57B"/>
      <color rgb="FF66FFFF"/>
      <color rgb="FF83A141"/>
      <color rgb="FFFF6600"/>
      <color rgb="FFBA57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1262468</xdr:colOff>
      <xdr:row>7</xdr:row>
      <xdr:rowOff>60075</xdr:rowOff>
    </xdr:from>
    <xdr:ext cx="405432" cy="3238500"/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6200000">
          <a:off x="-75689" y="3488289"/>
          <a:ext cx="32385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Neujahr</a:t>
          </a:r>
          <a:endParaRPr lang="de-DE" sz="18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371927</xdr:colOff>
      <xdr:row>7</xdr:row>
      <xdr:rowOff>1586</xdr:rowOff>
    </xdr:from>
    <xdr:ext cx="405432" cy="3202781"/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16200000">
          <a:off x="1818052" y="3406861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Dreikönig</a:t>
          </a:r>
          <a:endParaRPr lang="de-DE" sz="18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96</xdr:col>
      <xdr:colOff>22251</xdr:colOff>
      <xdr:row>24</xdr:row>
      <xdr:rowOff>205582</xdr:rowOff>
    </xdr:from>
    <xdr:ext cx="342786" cy="3202781"/>
    <xdr:sp macro="" textlink="">
      <xdr:nvSpPr>
        <xdr:cNvPr id="19" name="Rechteck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16200000">
          <a:off x="35727053" y="8836480"/>
          <a:ext cx="3202781" cy="34278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16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Tag der </a:t>
          </a:r>
          <a:r>
            <a:rPr lang="de-DE" sz="16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Deutschen</a:t>
          </a:r>
          <a:r>
            <a:rPr lang="de-DE" sz="16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Einheit</a:t>
          </a:r>
          <a:endParaRPr lang="de-DE" sz="14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124</xdr:col>
      <xdr:colOff>371930</xdr:colOff>
      <xdr:row>23</xdr:row>
      <xdr:rowOff>333376</xdr:rowOff>
    </xdr:from>
    <xdr:ext cx="405432" cy="3202781"/>
    <xdr:sp macro="" textlink="">
      <xdr:nvSpPr>
        <xdr:cNvPr id="20" name="Rechteck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16200000">
          <a:off x="46776055" y="8577351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Allerheiligen</a:t>
          </a:r>
        </a:p>
      </xdr:txBody>
    </xdr:sp>
    <xdr:clientData/>
  </xdr:oneCellAnchor>
  <xdr:oneCellAnchor>
    <xdr:from>
      <xdr:col>177</xdr:col>
      <xdr:colOff>357191</xdr:colOff>
      <xdr:row>23</xdr:row>
      <xdr:rowOff>345283</xdr:rowOff>
    </xdr:from>
    <xdr:ext cx="380998" cy="3202781"/>
    <xdr:sp macro="" textlink="">
      <xdr:nvSpPr>
        <xdr:cNvPr id="21" name="Rechteck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66942893" y="8197456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Heiligabend</a:t>
          </a:r>
        </a:p>
      </xdr:txBody>
    </xdr:sp>
    <xdr:clientData/>
  </xdr:oneCellAnchor>
  <xdr:oneCellAnchor>
    <xdr:from>
      <xdr:col>179</xdr:col>
      <xdr:colOff>1</xdr:colOff>
      <xdr:row>24</xdr:row>
      <xdr:rowOff>0</xdr:rowOff>
    </xdr:from>
    <xdr:ext cx="380998" cy="3202781"/>
    <xdr:sp macro="" textlink="">
      <xdr:nvSpPr>
        <xdr:cNvPr id="22" name="Rechteck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67347703" y="8209361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1. </a:t>
          </a:r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Weihnachtstag</a:t>
          </a:r>
        </a:p>
      </xdr:txBody>
    </xdr:sp>
    <xdr:clientData/>
  </xdr:oneCellAnchor>
  <xdr:oneCellAnchor>
    <xdr:from>
      <xdr:col>179</xdr:col>
      <xdr:colOff>369095</xdr:colOff>
      <xdr:row>23</xdr:row>
      <xdr:rowOff>345282</xdr:rowOff>
    </xdr:from>
    <xdr:ext cx="380998" cy="3202781"/>
    <xdr:sp macro="" textlink="">
      <xdr:nvSpPr>
        <xdr:cNvPr id="23" name="Rechteck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67716797" y="8197455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2. </a:t>
          </a:r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Weihnachtstag</a:t>
          </a:r>
        </a:p>
      </xdr:txBody>
    </xdr:sp>
    <xdr:clientData/>
  </xdr:oneCellAnchor>
  <xdr:oneCellAnchor>
    <xdr:from>
      <xdr:col>184</xdr:col>
      <xdr:colOff>369095</xdr:colOff>
      <xdr:row>24</xdr:row>
      <xdr:rowOff>11906</xdr:rowOff>
    </xdr:from>
    <xdr:ext cx="380998" cy="3202781"/>
    <xdr:sp macro="" textlink="">
      <xdr:nvSpPr>
        <xdr:cNvPr id="24" name="Rechteck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 rot="16200000">
          <a:off x="69621797" y="8221267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Silvester</a:t>
          </a:r>
        </a:p>
      </xdr:txBody>
    </xdr:sp>
    <xdr:clientData/>
  </xdr:oneCellAnchor>
  <xdr:oneCellAnchor>
    <xdr:from>
      <xdr:col>1</xdr:col>
      <xdr:colOff>1219200</xdr:colOff>
      <xdr:row>41</xdr:row>
      <xdr:rowOff>38100</xdr:rowOff>
    </xdr:from>
    <xdr:ext cx="405432" cy="3238500"/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CED95AFF-CFB1-4992-AAF2-0CDB0960D435}"/>
            </a:ext>
          </a:extLst>
        </xdr:cNvPr>
        <xdr:cNvSpPr/>
      </xdr:nvSpPr>
      <xdr:spPr>
        <a:xfrm rot="16200000">
          <a:off x="-121134" y="13837134"/>
          <a:ext cx="32385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DE" sz="2000" b="0" i="0" u="none" strike="noStrike" kern="0" cap="none" spc="100" normalizeH="0" baseline="0" noProof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uLnTx/>
              <a:uFillTx/>
              <a:latin typeface="Calibri Light" panose="020F0302020204030204" pitchFamily="34" charset="0"/>
              <a:cs typeface="Calibri Light" panose="020F0302020204030204" pitchFamily="34" charset="0"/>
            </a:rPr>
            <a:t>Neujahr</a:t>
          </a:r>
          <a:endParaRPr kumimoji="0" lang="de-DE" sz="1800" b="0" i="0" u="none" strike="noStrike" kern="0" cap="none" spc="100" normalizeH="0" baseline="0" noProof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uLnTx/>
            <a:uFillTx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342901</xdr:colOff>
      <xdr:row>41</xdr:row>
      <xdr:rowOff>25400</xdr:rowOff>
    </xdr:from>
    <xdr:ext cx="405432" cy="3202781"/>
    <xdr:sp macro="" textlink="">
      <xdr:nvSpPr>
        <xdr:cNvPr id="26" name="Rechteck 25">
          <a:extLst>
            <a:ext uri="{FF2B5EF4-FFF2-40B4-BE49-F238E27FC236}">
              <a16:creationId xmlns:a16="http://schemas.microsoft.com/office/drawing/2014/main" id="{73A5B673-3D17-4265-AA3B-161ACBECDD40}"/>
            </a:ext>
          </a:extLst>
        </xdr:cNvPr>
        <xdr:cNvSpPr/>
      </xdr:nvSpPr>
      <xdr:spPr>
        <a:xfrm rot="16200000">
          <a:off x="1789026" y="13806575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DE" sz="2000" b="0" i="0" u="none" strike="noStrike" kern="0" cap="none" spc="100" normalizeH="0" baseline="0" noProof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uLnTx/>
              <a:uFillTx/>
              <a:latin typeface="Calibri Light" panose="020F0302020204030204" pitchFamily="34" charset="0"/>
              <a:cs typeface="Calibri Light" panose="020F0302020204030204" pitchFamily="34" charset="0"/>
            </a:rPr>
            <a:t>Dreikönig</a:t>
          </a:r>
          <a:endParaRPr kumimoji="0" lang="de-DE" sz="1800" b="0" i="0" u="none" strike="noStrike" kern="0" cap="none" spc="100" normalizeH="0" baseline="0" noProof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uLnTx/>
            <a:uFillTx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121</xdr:col>
      <xdr:colOff>371932</xdr:colOff>
      <xdr:row>7</xdr:row>
      <xdr:rowOff>165100</xdr:rowOff>
    </xdr:from>
    <xdr:ext cx="405432" cy="3202781"/>
    <xdr:sp macro="" textlink="">
      <xdr:nvSpPr>
        <xdr:cNvPr id="29" name="Rechteck 28">
          <a:extLst>
            <a:ext uri="{FF2B5EF4-FFF2-40B4-BE49-F238E27FC236}">
              <a16:creationId xmlns:a16="http://schemas.microsoft.com/office/drawing/2014/main" id="{9C3F2C53-2AE9-46F9-BD6C-98B3DE39A4D6}"/>
            </a:ext>
          </a:extLst>
        </xdr:cNvPr>
        <xdr:cNvSpPr/>
      </xdr:nvSpPr>
      <xdr:spPr>
        <a:xfrm rot="16200000">
          <a:off x="46664297" y="3595775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Tag der Arbeit</a:t>
          </a:r>
        </a:p>
      </xdr:txBody>
    </xdr:sp>
    <xdr:clientData/>
  </xdr:oneCellAnchor>
  <xdr:oneCellAnchor>
    <xdr:from>
      <xdr:col>94</xdr:col>
      <xdr:colOff>14748</xdr:colOff>
      <xdr:row>7</xdr:row>
      <xdr:rowOff>0</xdr:rowOff>
    </xdr:from>
    <xdr:ext cx="357790" cy="3202781"/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FAAEEE06-2D8E-4E72-A4A6-EA050A268482}"/>
            </a:ext>
          </a:extLst>
        </xdr:cNvPr>
        <xdr:cNvSpPr/>
      </xdr:nvSpPr>
      <xdr:spPr>
        <a:xfrm rot="16200000">
          <a:off x="40681546" y="3405937"/>
          <a:ext cx="3202781" cy="357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de-DE" sz="1800" b="1" cap="none" spc="0">
            <a:ln w="22225">
              <a:solidFill>
                <a:schemeClr val="accent2">
                  <a:alpha val="99000"/>
                </a:schemeClr>
              </a:solidFill>
              <a:prstDash val="solid"/>
            </a:ln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93</xdr:col>
      <xdr:colOff>371927</xdr:colOff>
      <xdr:row>7</xdr:row>
      <xdr:rowOff>0</xdr:rowOff>
    </xdr:from>
    <xdr:ext cx="405432" cy="3202781"/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6A3406B-D99E-4E05-9989-4311278B52E5}"/>
            </a:ext>
          </a:extLst>
        </xdr:cNvPr>
        <xdr:cNvSpPr/>
      </xdr:nvSpPr>
      <xdr:spPr>
        <a:xfrm rot="16200000">
          <a:off x="40681546" y="3382116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Karfreitag</a:t>
          </a:r>
          <a:endParaRPr lang="de-DE" sz="18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95</xdr:col>
      <xdr:colOff>371927</xdr:colOff>
      <xdr:row>7</xdr:row>
      <xdr:rowOff>0</xdr:rowOff>
    </xdr:from>
    <xdr:ext cx="405432" cy="3202781"/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CA3C3F89-FDDA-4E0B-ABAA-BCA90C059E1F}"/>
            </a:ext>
          </a:extLst>
        </xdr:cNvPr>
        <xdr:cNvSpPr/>
      </xdr:nvSpPr>
      <xdr:spPr>
        <a:xfrm rot="16200000">
          <a:off x="41967981" y="3415734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Ostersonntag</a:t>
          </a:r>
          <a:endParaRPr lang="de-DE" sz="18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96</xdr:col>
      <xdr:colOff>371927</xdr:colOff>
      <xdr:row>7</xdr:row>
      <xdr:rowOff>0</xdr:rowOff>
    </xdr:from>
    <xdr:ext cx="405432" cy="3202781"/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4D7364A8-7E2F-41B1-AC45-6B2385FBCA79}"/>
            </a:ext>
          </a:extLst>
        </xdr:cNvPr>
        <xdr:cNvSpPr/>
      </xdr:nvSpPr>
      <xdr:spPr>
        <a:xfrm rot="16200000">
          <a:off x="42353464" y="3415734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Ostermontag</a:t>
          </a:r>
        </a:p>
      </xdr:txBody>
    </xdr:sp>
    <xdr:clientData/>
  </xdr:oneCellAnchor>
  <xdr:oneCellAnchor>
    <xdr:from>
      <xdr:col>135</xdr:col>
      <xdr:colOff>2834</xdr:colOff>
      <xdr:row>7</xdr:row>
      <xdr:rowOff>0</xdr:rowOff>
    </xdr:from>
    <xdr:ext cx="405432" cy="3202781"/>
    <xdr:sp macro="" textlink="">
      <xdr:nvSpPr>
        <xdr:cNvPr id="9" name="Rechteck 8">
          <a:extLst>
            <a:ext uri="{FF2B5EF4-FFF2-40B4-BE49-F238E27FC236}">
              <a16:creationId xmlns:a16="http://schemas.microsoft.com/office/drawing/2014/main" id="{6E3E3785-3CB4-4087-98BA-113CB92C9655}"/>
            </a:ext>
          </a:extLst>
        </xdr:cNvPr>
        <xdr:cNvSpPr/>
      </xdr:nvSpPr>
      <xdr:spPr>
        <a:xfrm rot="16200000">
          <a:off x="57018183" y="3415734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Christi</a:t>
          </a:r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Himmelfahrt</a:t>
          </a:r>
        </a:p>
      </xdr:txBody>
    </xdr:sp>
    <xdr:clientData/>
  </xdr:oneCellAnchor>
  <xdr:oneCellAnchor>
    <xdr:from>
      <xdr:col>156</xdr:col>
      <xdr:colOff>2</xdr:colOff>
      <xdr:row>6</xdr:row>
      <xdr:rowOff>345281</xdr:rowOff>
    </xdr:from>
    <xdr:ext cx="423006" cy="3202781"/>
    <xdr:sp macro="" textlink="">
      <xdr:nvSpPr>
        <xdr:cNvPr id="11" name="Rechteck 10">
          <a:extLst>
            <a:ext uri="{FF2B5EF4-FFF2-40B4-BE49-F238E27FC236}">
              <a16:creationId xmlns:a16="http://schemas.microsoft.com/office/drawing/2014/main" id="{AD54D3BF-0389-44AC-A007-ECFCA47906A6}"/>
            </a:ext>
          </a:extLst>
        </xdr:cNvPr>
        <xdr:cNvSpPr/>
      </xdr:nvSpPr>
      <xdr:spPr>
        <a:xfrm rot="16200000">
          <a:off x="65119267" y="3402604"/>
          <a:ext cx="3202781" cy="42300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Fronleichnam</a:t>
          </a:r>
        </a:p>
      </xdr:txBody>
    </xdr:sp>
    <xdr:clientData/>
  </xdr:oneCellAnchor>
  <xdr:oneCellAnchor>
    <xdr:from>
      <xdr:col>144</xdr:col>
      <xdr:colOff>368303</xdr:colOff>
      <xdr:row>7</xdr:row>
      <xdr:rowOff>24605</xdr:rowOff>
    </xdr:from>
    <xdr:ext cx="380998" cy="3202781"/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473F1E11-6EC3-4AD6-ACFE-2137BF2E3A64}"/>
            </a:ext>
          </a:extLst>
        </xdr:cNvPr>
        <xdr:cNvSpPr/>
      </xdr:nvSpPr>
      <xdr:spPr>
        <a:xfrm rot="16200000">
          <a:off x="60840776" y="3452556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Pfingstsonntag</a:t>
          </a:r>
        </a:p>
      </xdr:txBody>
    </xdr:sp>
    <xdr:clientData/>
  </xdr:oneCellAnchor>
  <xdr:oneCellAnchor>
    <xdr:from>
      <xdr:col>145</xdr:col>
      <xdr:colOff>365761</xdr:colOff>
      <xdr:row>7</xdr:row>
      <xdr:rowOff>30480</xdr:rowOff>
    </xdr:from>
    <xdr:ext cx="380998" cy="3202781"/>
    <xdr:sp macro="" textlink="">
      <xdr:nvSpPr>
        <xdr:cNvPr id="17" name="Rechteck 16">
          <a:extLst>
            <a:ext uri="{FF2B5EF4-FFF2-40B4-BE49-F238E27FC236}">
              <a16:creationId xmlns:a16="http://schemas.microsoft.com/office/drawing/2014/main" id="{01D032C9-0D86-48C4-8CFA-F136B700DA9A}"/>
            </a:ext>
          </a:extLst>
        </xdr:cNvPr>
        <xdr:cNvSpPr/>
      </xdr:nvSpPr>
      <xdr:spPr>
        <a:xfrm rot="16200000">
          <a:off x="61223716" y="3458431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Pfingstmontag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KP307"/>
  <sheetViews>
    <sheetView tabSelected="1" zoomScale="85" zoomScaleNormal="85" workbookViewId="0">
      <pane xSplit="2" topLeftCell="AD1" activePane="topRight" state="frozen"/>
      <selection pane="topRight" activeCell="BQ17" sqref="BQ17"/>
    </sheetView>
  </sheetViews>
  <sheetFormatPr baseColWidth="10" defaultColWidth="11.44140625" defaultRowHeight="15" x14ac:dyDescent="0.25"/>
  <cols>
    <col min="1" max="1" width="1.109375" style="45" customWidth="1"/>
    <col min="2" max="2" width="18.6640625" style="65" customWidth="1"/>
    <col min="3" max="64" width="5.6640625" style="53" customWidth="1"/>
    <col min="65" max="65" width="5.6640625" style="85" customWidth="1"/>
    <col min="66" max="155" width="5.6640625" style="53" customWidth="1"/>
    <col min="156" max="157" width="5.6640625" style="81" customWidth="1"/>
    <col min="158" max="183" width="5.6640625" style="53" customWidth="1"/>
    <col min="184" max="184" width="5.6640625" style="45" customWidth="1"/>
    <col min="185" max="186" width="5.6640625" style="53" customWidth="1"/>
    <col min="187" max="187" width="3.88671875" style="53" customWidth="1"/>
    <col min="188" max="188" width="12.33203125" style="53" customWidth="1"/>
    <col min="189" max="189" width="28.6640625" style="53" customWidth="1"/>
    <col min="190" max="16384" width="11.44140625" style="53"/>
  </cols>
  <sheetData>
    <row r="1" spans="1:302" s="45" customFormat="1" ht="6" customHeight="1" thickBot="1" x14ac:dyDescent="0.3">
      <c r="B1" s="46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8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  <c r="DX1" s="47"/>
      <c r="DY1" s="47"/>
      <c r="DZ1" s="47"/>
      <c r="EA1" s="47"/>
      <c r="EB1" s="47"/>
      <c r="EC1" s="47"/>
      <c r="ED1" s="47"/>
      <c r="EE1" s="47"/>
      <c r="EF1" s="47"/>
      <c r="EG1" s="47"/>
      <c r="EH1" s="47"/>
      <c r="EI1" s="47"/>
      <c r="EJ1" s="47"/>
      <c r="EK1" s="47"/>
      <c r="EL1" s="47"/>
      <c r="EM1" s="47"/>
      <c r="EN1" s="47"/>
      <c r="EO1" s="47"/>
      <c r="EP1" s="47"/>
      <c r="EQ1" s="47"/>
      <c r="ER1" s="47"/>
      <c r="ES1" s="47"/>
      <c r="ET1" s="47"/>
      <c r="EU1" s="47"/>
      <c r="EV1" s="47"/>
      <c r="EW1" s="47"/>
      <c r="EX1" s="47"/>
      <c r="EY1" s="47"/>
      <c r="EZ1" s="47"/>
      <c r="FA1" s="47"/>
      <c r="FB1" s="47"/>
      <c r="FC1" s="47"/>
      <c r="FD1" s="47"/>
      <c r="FE1" s="47"/>
      <c r="FF1" s="47"/>
      <c r="FG1" s="47"/>
      <c r="FH1" s="47"/>
      <c r="FI1" s="47"/>
      <c r="FJ1" s="47"/>
      <c r="FK1" s="47"/>
      <c r="FL1" s="47"/>
      <c r="FM1" s="47"/>
      <c r="FN1" s="47"/>
      <c r="FO1" s="47"/>
      <c r="FP1" s="47"/>
      <c r="FQ1" s="47"/>
      <c r="FR1" s="47"/>
      <c r="FS1" s="47"/>
      <c r="FT1" s="47"/>
      <c r="FU1" s="47"/>
      <c r="FV1" s="47"/>
      <c r="FW1" s="47"/>
      <c r="FX1" s="47"/>
      <c r="FY1" s="47"/>
      <c r="FZ1" s="47"/>
      <c r="GA1" s="47"/>
    </row>
    <row r="2" spans="1:302" ht="30" customHeight="1" thickBot="1" x14ac:dyDescent="0.3">
      <c r="A2" s="49"/>
      <c r="B2" s="50" t="s">
        <v>31</v>
      </c>
      <c r="C2" s="357">
        <v>2026</v>
      </c>
      <c r="D2" s="358"/>
      <c r="E2" s="358"/>
      <c r="F2" s="358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202"/>
      <c r="BL2" s="51"/>
      <c r="BM2" s="52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202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206"/>
    </row>
    <row r="3" spans="1:302" s="81" customFormat="1" ht="30" customHeight="1" thickBot="1" x14ac:dyDescent="0.3">
      <c r="A3" s="49"/>
      <c r="B3" s="165"/>
      <c r="C3" s="166"/>
      <c r="D3" s="167"/>
      <c r="E3" s="167"/>
      <c r="F3" s="167"/>
      <c r="G3" s="167"/>
      <c r="H3" s="167"/>
      <c r="I3" s="167"/>
      <c r="J3" s="167"/>
      <c r="K3" s="167"/>
      <c r="L3" s="167"/>
      <c r="M3" s="330" t="s">
        <v>40</v>
      </c>
      <c r="N3" s="330"/>
      <c r="O3" s="330"/>
      <c r="P3" s="330"/>
      <c r="Q3" s="329">
        <f>C2</f>
        <v>2026</v>
      </c>
      <c r="R3" s="329"/>
      <c r="S3" s="329"/>
      <c r="T3" s="329"/>
      <c r="U3" s="168"/>
      <c r="V3" s="168"/>
      <c r="W3" s="168"/>
      <c r="X3" s="167"/>
      <c r="Y3" s="167"/>
      <c r="Z3" s="167"/>
      <c r="AA3" s="167"/>
      <c r="AB3" s="167"/>
      <c r="AC3" s="167"/>
      <c r="AD3" s="167"/>
      <c r="AE3" s="167"/>
      <c r="AF3" s="167"/>
      <c r="AG3" s="169"/>
      <c r="AH3" s="170"/>
      <c r="AI3" s="171"/>
      <c r="AJ3" s="171"/>
      <c r="AK3" s="171"/>
      <c r="AL3" s="171"/>
      <c r="AM3" s="171"/>
      <c r="AN3" s="171"/>
      <c r="AO3" s="171"/>
      <c r="AP3" s="171"/>
      <c r="AQ3" s="171"/>
      <c r="AR3" s="338" t="s">
        <v>41</v>
      </c>
      <c r="AS3" s="338"/>
      <c r="AT3" s="338"/>
      <c r="AU3" s="338"/>
      <c r="AV3" s="329">
        <f>C2</f>
        <v>2026</v>
      </c>
      <c r="AW3" s="329"/>
      <c r="AX3" s="329"/>
      <c r="AY3" s="329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0"/>
      <c r="BK3" s="168"/>
      <c r="BL3" s="168"/>
      <c r="BM3" s="168"/>
      <c r="BN3" s="168"/>
      <c r="BO3" s="168"/>
      <c r="BP3" s="168"/>
      <c r="BQ3" s="168"/>
      <c r="BR3" s="168"/>
      <c r="BS3" s="168"/>
      <c r="BT3" s="330" t="s">
        <v>42</v>
      </c>
      <c r="BU3" s="330"/>
      <c r="BV3" s="330"/>
      <c r="BW3" s="330"/>
      <c r="BX3" s="329">
        <f>C2</f>
        <v>2026</v>
      </c>
      <c r="BY3" s="329"/>
      <c r="BZ3" s="329"/>
      <c r="CA3" s="329"/>
      <c r="CB3" s="168"/>
      <c r="CC3" s="168"/>
      <c r="CD3" s="168"/>
      <c r="CE3" s="168"/>
      <c r="CF3" s="168"/>
      <c r="CG3" s="168"/>
      <c r="CH3" s="168"/>
      <c r="CI3" s="168"/>
      <c r="CJ3" s="168"/>
      <c r="CK3" s="168"/>
      <c r="CL3" s="168"/>
      <c r="CM3" s="168"/>
      <c r="CN3" s="168"/>
      <c r="CO3" s="170"/>
      <c r="CP3" s="171"/>
      <c r="CQ3" s="171"/>
      <c r="CR3" s="171"/>
      <c r="CS3" s="171"/>
      <c r="CT3" s="171"/>
      <c r="CU3" s="171"/>
      <c r="CV3" s="171"/>
      <c r="CW3" s="171"/>
      <c r="CX3" s="171"/>
      <c r="CY3" s="338" t="s">
        <v>43</v>
      </c>
      <c r="CZ3" s="338"/>
      <c r="DA3" s="338"/>
      <c r="DB3" s="338"/>
      <c r="DC3" s="329">
        <f>C2</f>
        <v>2026</v>
      </c>
      <c r="DD3" s="329"/>
      <c r="DE3" s="329"/>
      <c r="DF3" s="329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2"/>
      <c r="DS3" s="189"/>
      <c r="DT3" s="168"/>
      <c r="DU3" s="168"/>
      <c r="DV3" s="168"/>
      <c r="DW3" s="168"/>
      <c r="DX3" s="168"/>
      <c r="DY3" s="168"/>
      <c r="DZ3" s="168"/>
      <c r="EA3" s="168"/>
      <c r="EB3" s="168"/>
      <c r="EC3" s="168"/>
      <c r="ED3" s="168"/>
      <c r="EE3" s="330" t="s">
        <v>26</v>
      </c>
      <c r="EF3" s="330"/>
      <c r="EG3" s="330"/>
      <c r="EH3" s="330"/>
      <c r="EI3" s="329">
        <f>C2</f>
        <v>2026</v>
      </c>
      <c r="EJ3" s="329"/>
      <c r="EK3" s="329"/>
      <c r="EL3" s="329"/>
      <c r="EM3" s="168"/>
      <c r="EN3" s="168"/>
      <c r="EO3" s="168"/>
      <c r="EP3" s="168"/>
      <c r="EQ3" s="168"/>
      <c r="ER3" s="168"/>
      <c r="ES3" s="168"/>
      <c r="ET3" s="168"/>
      <c r="EU3" s="168"/>
      <c r="EV3" s="168"/>
      <c r="EW3" s="173"/>
      <c r="EX3" s="170"/>
      <c r="EY3" s="171"/>
      <c r="EZ3" s="171"/>
      <c r="FA3" s="167"/>
      <c r="FB3" s="171"/>
      <c r="FC3" s="171"/>
      <c r="FD3" s="171"/>
      <c r="FE3" s="171"/>
      <c r="FF3" s="171"/>
      <c r="FG3" s="171"/>
      <c r="FH3" s="338" t="s">
        <v>44</v>
      </c>
      <c r="FI3" s="338"/>
      <c r="FJ3" s="338"/>
      <c r="FK3" s="338"/>
      <c r="FL3" s="329">
        <f>C2</f>
        <v>2026</v>
      </c>
      <c r="FM3" s="329"/>
      <c r="FN3" s="329"/>
      <c r="FO3" s="329"/>
      <c r="FP3" s="171"/>
      <c r="FQ3" s="171"/>
      <c r="FR3" s="171"/>
      <c r="FS3" s="171"/>
      <c r="FT3" s="171"/>
      <c r="FU3" s="171"/>
      <c r="FV3" s="171"/>
      <c r="FW3" s="171"/>
      <c r="FX3" s="171"/>
      <c r="FY3" s="171"/>
      <c r="FZ3" s="171"/>
      <c r="GA3" s="171"/>
      <c r="GB3" s="207"/>
    </row>
    <row r="4" spans="1:302" ht="18" customHeight="1" thickBot="1" x14ac:dyDescent="0.3">
      <c r="B4" s="127"/>
      <c r="C4" s="323" t="s">
        <v>60</v>
      </c>
      <c r="D4" s="323"/>
      <c r="E4" s="323"/>
      <c r="F4" s="323"/>
      <c r="G4" s="323"/>
      <c r="H4" s="323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125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325" t="s">
        <v>141</v>
      </c>
      <c r="AV4" s="325"/>
      <c r="AW4" s="325"/>
      <c r="AX4" s="325"/>
      <c r="AY4" s="325"/>
      <c r="AZ4" s="325"/>
      <c r="BA4" s="325"/>
      <c r="BB4" s="325"/>
      <c r="BC4" s="325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7"/>
      <c r="CF4" s="123"/>
      <c r="CG4" s="123"/>
      <c r="CH4" s="123"/>
      <c r="CI4" s="123"/>
      <c r="CJ4" s="123"/>
      <c r="CK4" s="323" t="s">
        <v>56</v>
      </c>
      <c r="CL4" s="323"/>
      <c r="CM4" s="323"/>
      <c r="CN4" s="323"/>
      <c r="CO4" s="323"/>
      <c r="CP4" s="323"/>
      <c r="CQ4" s="323"/>
      <c r="CR4" s="323"/>
      <c r="CS4" s="323"/>
      <c r="CT4" s="323"/>
      <c r="CU4" s="323"/>
      <c r="CV4" s="323"/>
      <c r="CW4" s="323"/>
      <c r="CX4" s="323"/>
      <c r="CY4" s="323"/>
      <c r="CZ4" s="323"/>
      <c r="DA4" s="123"/>
      <c r="DB4" s="123"/>
      <c r="DC4" s="123"/>
      <c r="DD4" s="123"/>
      <c r="DE4" s="123"/>
      <c r="DF4" s="123"/>
      <c r="DG4" s="123"/>
      <c r="DH4" s="123"/>
      <c r="DI4" s="123"/>
      <c r="DJ4" s="123"/>
      <c r="DK4" s="123"/>
      <c r="DL4" s="123"/>
      <c r="DM4" s="123"/>
      <c r="DN4" s="123"/>
      <c r="DO4" s="123"/>
      <c r="DP4" s="125"/>
      <c r="DQ4" s="72"/>
      <c r="DR4" s="125"/>
      <c r="DS4" s="72"/>
      <c r="DT4" s="72"/>
      <c r="DU4" s="72"/>
      <c r="DV4" s="72"/>
      <c r="DW4" s="72"/>
      <c r="DX4" s="72"/>
      <c r="DY4" s="72"/>
      <c r="DZ4" s="72"/>
      <c r="EA4" s="72"/>
      <c r="EB4" s="72"/>
      <c r="EC4" s="72"/>
      <c r="ED4" s="72"/>
      <c r="EE4" s="72"/>
      <c r="EF4" s="72"/>
      <c r="EG4" s="72"/>
      <c r="EH4" s="72"/>
      <c r="EI4" s="72"/>
      <c r="EJ4" s="72"/>
      <c r="EK4" s="72"/>
      <c r="EL4" s="72"/>
      <c r="EM4" s="72"/>
      <c r="EN4" s="72"/>
      <c r="EO4" s="323" t="s">
        <v>57</v>
      </c>
      <c r="EP4" s="323"/>
      <c r="EQ4" s="323"/>
      <c r="ER4" s="323"/>
      <c r="ES4" s="323"/>
      <c r="ET4" s="323"/>
      <c r="EU4" s="323"/>
      <c r="EV4" s="323"/>
      <c r="EW4" s="323"/>
      <c r="EX4" s="323"/>
      <c r="EY4" s="323"/>
      <c r="EZ4" s="323"/>
      <c r="FA4" s="323"/>
      <c r="FB4" s="323"/>
      <c r="FC4" s="323"/>
      <c r="FD4" s="323"/>
      <c r="FE4" s="55"/>
      <c r="FF4" s="55"/>
      <c r="FG4" s="55"/>
      <c r="FH4" s="55"/>
      <c r="FI4" s="55"/>
      <c r="FJ4" s="55"/>
      <c r="FK4" s="55"/>
      <c r="FL4" s="55"/>
      <c r="FM4" s="55"/>
      <c r="FN4" s="55"/>
      <c r="FO4" s="55"/>
      <c r="FP4" s="55"/>
      <c r="FQ4" s="55"/>
      <c r="FR4" s="55"/>
      <c r="FS4" s="55"/>
      <c r="FT4" s="55"/>
      <c r="FU4" s="55"/>
      <c r="FV4" s="55"/>
      <c r="FW4" s="55"/>
      <c r="FX4" s="55"/>
      <c r="FY4" s="55"/>
      <c r="FZ4" s="55"/>
      <c r="GA4" s="55"/>
      <c r="GB4" s="208"/>
    </row>
    <row r="5" spans="1:302" ht="18" customHeight="1" thickBot="1" x14ac:dyDescent="0.3">
      <c r="B5" s="111"/>
      <c r="C5" s="324" t="s">
        <v>78</v>
      </c>
      <c r="D5" s="324"/>
      <c r="E5" s="324"/>
      <c r="F5" s="324"/>
      <c r="G5" s="324" t="s">
        <v>79</v>
      </c>
      <c r="H5" s="324"/>
      <c r="I5" s="324"/>
      <c r="J5" s="324"/>
      <c r="K5" s="324"/>
      <c r="L5" s="324"/>
      <c r="M5" s="324"/>
      <c r="N5" s="324" t="s">
        <v>80</v>
      </c>
      <c r="O5" s="324"/>
      <c r="P5" s="324"/>
      <c r="Q5" s="324"/>
      <c r="R5" s="324"/>
      <c r="S5" s="324"/>
      <c r="T5" s="324"/>
      <c r="U5" s="324" t="s">
        <v>81</v>
      </c>
      <c r="V5" s="324"/>
      <c r="W5" s="324"/>
      <c r="X5" s="324"/>
      <c r="Y5" s="324"/>
      <c r="Z5" s="324"/>
      <c r="AA5" s="324"/>
      <c r="AB5" s="324" t="s">
        <v>82</v>
      </c>
      <c r="AC5" s="324"/>
      <c r="AD5" s="324"/>
      <c r="AE5" s="324"/>
      <c r="AF5" s="324"/>
      <c r="AG5" s="324"/>
      <c r="AH5" s="324"/>
      <c r="AI5" s="324" t="s">
        <v>83</v>
      </c>
      <c r="AJ5" s="324"/>
      <c r="AK5" s="324"/>
      <c r="AL5" s="324"/>
      <c r="AM5" s="324"/>
      <c r="AN5" s="324"/>
      <c r="AO5" s="324"/>
      <c r="AP5" s="324" t="s">
        <v>84</v>
      </c>
      <c r="AQ5" s="324"/>
      <c r="AR5" s="324"/>
      <c r="AS5" s="324"/>
      <c r="AT5" s="324"/>
      <c r="AU5" s="324"/>
      <c r="AV5" s="324"/>
      <c r="AW5" s="324" t="s">
        <v>85</v>
      </c>
      <c r="AX5" s="324"/>
      <c r="AY5" s="324"/>
      <c r="AZ5" s="324"/>
      <c r="BA5" s="324"/>
      <c r="BB5" s="324"/>
      <c r="BC5" s="324"/>
      <c r="BD5" s="324" t="s">
        <v>86</v>
      </c>
      <c r="BE5" s="324"/>
      <c r="BF5" s="324"/>
      <c r="BG5" s="324"/>
      <c r="BH5" s="324"/>
      <c r="BI5" s="324"/>
      <c r="BJ5" s="324"/>
      <c r="BK5" s="324" t="s">
        <v>87</v>
      </c>
      <c r="BL5" s="324"/>
      <c r="BM5" s="324"/>
      <c r="BN5" s="324"/>
      <c r="BO5" s="324"/>
      <c r="BP5" s="324"/>
      <c r="BQ5" s="324"/>
      <c r="BR5" s="324" t="s">
        <v>88</v>
      </c>
      <c r="BS5" s="324"/>
      <c r="BT5" s="324"/>
      <c r="BU5" s="324"/>
      <c r="BV5" s="324"/>
      <c r="BW5" s="324"/>
      <c r="BX5" s="324"/>
      <c r="BY5" s="324" t="s">
        <v>89</v>
      </c>
      <c r="BZ5" s="324"/>
      <c r="CA5" s="324"/>
      <c r="CB5" s="324"/>
      <c r="CC5" s="324"/>
      <c r="CD5" s="324"/>
      <c r="CE5" s="324"/>
      <c r="CF5" s="324" t="s">
        <v>90</v>
      </c>
      <c r="CG5" s="324"/>
      <c r="CH5" s="324"/>
      <c r="CI5" s="324"/>
      <c r="CJ5" s="324"/>
      <c r="CK5" s="324"/>
      <c r="CL5" s="324"/>
      <c r="CM5" s="324" t="s">
        <v>91</v>
      </c>
      <c r="CN5" s="324"/>
      <c r="CO5" s="324"/>
      <c r="CP5" s="324"/>
      <c r="CQ5" s="324"/>
      <c r="CR5" s="324"/>
      <c r="CS5" s="324"/>
      <c r="CT5" s="324" t="s">
        <v>92</v>
      </c>
      <c r="CU5" s="324"/>
      <c r="CV5" s="324"/>
      <c r="CW5" s="324"/>
      <c r="CX5" s="324"/>
      <c r="CY5" s="324"/>
      <c r="CZ5" s="324"/>
      <c r="DA5" s="324" t="s">
        <v>93</v>
      </c>
      <c r="DB5" s="324"/>
      <c r="DC5" s="324"/>
      <c r="DD5" s="324"/>
      <c r="DE5" s="324"/>
      <c r="DF5" s="324"/>
      <c r="DG5" s="324"/>
      <c r="DH5" s="324" t="s">
        <v>94</v>
      </c>
      <c r="DI5" s="324"/>
      <c r="DJ5" s="324"/>
      <c r="DK5" s="324"/>
      <c r="DL5" s="324"/>
      <c r="DM5" s="324"/>
      <c r="DN5" s="324"/>
      <c r="DO5" s="324" t="s">
        <v>95</v>
      </c>
      <c r="DP5" s="324"/>
      <c r="DQ5" s="324"/>
      <c r="DR5" s="324"/>
      <c r="DS5" s="324"/>
      <c r="DT5" s="324"/>
      <c r="DU5" s="324"/>
      <c r="DV5" s="324" t="s">
        <v>96</v>
      </c>
      <c r="DW5" s="324"/>
      <c r="DX5" s="324"/>
      <c r="DY5" s="324"/>
      <c r="DZ5" s="324"/>
      <c r="EA5" s="324"/>
      <c r="EB5" s="324"/>
      <c r="EC5" s="324" t="s">
        <v>97</v>
      </c>
      <c r="ED5" s="324"/>
      <c r="EE5" s="324"/>
      <c r="EF5" s="324"/>
      <c r="EG5" s="324"/>
      <c r="EH5" s="324"/>
      <c r="EI5" s="324"/>
      <c r="EJ5" s="324" t="s">
        <v>98</v>
      </c>
      <c r="EK5" s="324"/>
      <c r="EL5" s="324"/>
      <c r="EM5" s="324"/>
      <c r="EN5" s="324"/>
      <c r="EO5" s="324"/>
      <c r="EP5" s="324"/>
      <c r="EQ5" s="324" t="s">
        <v>99</v>
      </c>
      <c r="ER5" s="324"/>
      <c r="ES5" s="324"/>
      <c r="ET5" s="324"/>
      <c r="EU5" s="324"/>
      <c r="EV5" s="324"/>
      <c r="EW5" s="324"/>
      <c r="EX5" s="324" t="s">
        <v>100</v>
      </c>
      <c r="EY5" s="324"/>
      <c r="EZ5" s="324"/>
      <c r="FA5" s="324"/>
      <c r="FB5" s="324"/>
      <c r="FC5" s="324"/>
      <c r="FD5" s="324"/>
      <c r="FE5" s="324" t="s">
        <v>101</v>
      </c>
      <c r="FF5" s="324"/>
      <c r="FG5" s="324"/>
      <c r="FH5" s="324"/>
      <c r="FI5" s="324"/>
      <c r="FJ5" s="324"/>
      <c r="FK5" s="324"/>
      <c r="FL5" s="324" t="s">
        <v>102</v>
      </c>
      <c r="FM5" s="324"/>
      <c r="FN5" s="324"/>
      <c r="FO5" s="324"/>
      <c r="FP5" s="324"/>
      <c r="FQ5" s="324"/>
      <c r="FR5" s="324"/>
      <c r="FS5" s="324" t="s">
        <v>103</v>
      </c>
      <c r="FT5" s="324"/>
      <c r="FU5" s="324"/>
      <c r="FV5" s="324"/>
      <c r="FW5" s="324"/>
      <c r="FX5" s="324"/>
      <c r="FY5" s="324"/>
      <c r="FZ5" s="324" t="s">
        <v>136</v>
      </c>
      <c r="GA5" s="324"/>
      <c r="GB5" s="98"/>
      <c r="GC5" s="58"/>
      <c r="GD5" s="58"/>
      <c r="GE5" s="58"/>
    </row>
    <row r="6" spans="1:302" ht="27.9" customHeight="1" x14ac:dyDescent="0.25">
      <c r="B6" s="156"/>
      <c r="C6" s="148">
        <v>1</v>
      </c>
      <c r="D6" s="128">
        <v>2</v>
      </c>
      <c r="E6" s="61">
        <v>3</v>
      </c>
      <c r="F6" s="61">
        <v>4</v>
      </c>
      <c r="G6" s="61">
        <v>5</v>
      </c>
      <c r="H6" s="61">
        <v>6</v>
      </c>
      <c r="I6" s="61">
        <v>7</v>
      </c>
      <c r="J6" s="61">
        <v>8</v>
      </c>
      <c r="K6" s="61">
        <v>9</v>
      </c>
      <c r="L6" s="61">
        <v>10</v>
      </c>
      <c r="M6" s="61">
        <v>11</v>
      </c>
      <c r="N6" s="61">
        <v>12</v>
      </c>
      <c r="O6" s="61">
        <v>13</v>
      </c>
      <c r="P6" s="61">
        <v>14</v>
      </c>
      <c r="Q6" s="61">
        <v>15</v>
      </c>
      <c r="R6" s="61">
        <v>16</v>
      </c>
      <c r="S6" s="61">
        <v>17</v>
      </c>
      <c r="T6" s="61">
        <v>18</v>
      </c>
      <c r="U6" s="61">
        <v>19</v>
      </c>
      <c r="V6" s="61">
        <v>20</v>
      </c>
      <c r="W6" s="61">
        <v>21</v>
      </c>
      <c r="X6" s="61">
        <v>22</v>
      </c>
      <c r="Y6" s="61">
        <v>23</v>
      </c>
      <c r="Z6" s="61">
        <v>24</v>
      </c>
      <c r="AA6" s="61">
        <v>25</v>
      </c>
      <c r="AB6" s="61">
        <v>26</v>
      </c>
      <c r="AC6" s="61">
        <v>27</v>
      </c>
      <c r="AD6" s="61">
        <v>28</v>
      </c>
      <c r="AE6" s="61">
        <v>29</v>
      </c>
      <c r="AF6" s="131">
        <v>30</v>
      </c>
      <c r="AG6" s="62">
        <v>31</v>
      </c>
      <c r="AH6" s="128">
        <v>1</v>
      </c>
      <c r="AI6" s="61">
        <v>2</v>
      </c>
      <c r="AJ6" s="61">
        <v>3</v>
      </c>
      <c r="AK6" s="61">
        <v>4</v>
      </c>
      <c r="AL6" s="61">
        <v>5</v>
      </c>
      <c r="AM6" s="61">
        <v>6</v>
      </c>
      <c r="AN6" s="61">
        <v>7</v>
      </c>
      <c r="AO6" s="61">
        <v>8</v>
      </c>
      <c r="AP6" s="61">
        <v>9</v>
      </c>
      <c r="AQ6" s="61">
        <v>10</v>
      </c>
      <c r="AR6" s="61">
        <v>11</v>
      </c>
      <c r="AS6" s="61">
        <v>12</v>
      </c>
      <c r="AT6" s="61">
        <v>13</v>
      </c>
      <c r="AU6" s="61">
        <v>14</v>
      </c>
      <c r="AV6" s="61">
        <v>15</v>
      </c>
      <c r="AW6" s="61">
        <v>16</v>
      </c>
      <c r="AX6" s="61">
        <v>17</v>
      </c>
      <c r="AY6" s="61">
        <v>18</v>
      </c>
      <c r="AZ6" s="61">
        <v>19</v>
      </c>
      <c r="BA6" s="61">
        <v>20</v>
      </c>
      <c r="BB6" s="61">
        <v>21</v>
      </c>
      <c r="BC6" s="61">
        <v>22</v>
      </c>
      <c r="BD6" s="61">
        <v>23</v>
      </c>
      <c r="BE6" s="61">
        <v>24</v>
      </c>
      <c r="BF6" s="61">
        <v>25</v>
      </c>
      <c r="BG6" s="61">
        <v>26</v>
      </c>
      <c r="BH6" s="131">
        <v>27</v>
      </c>
      <c r="BI6" s="64">
        <v>28</v>
      </c>
      <c r="BJ6" s="61">
        <v>1</v>
      </c>
      <c r="BK6" s="61">
        <v>2</v>
      </c>
      <c r="BL6" s="61">
        <v>3</v>
      </c>
      <c r="BM6" s="61">
        <v>4</v>
      </c>
      <c r="BN6" s="61">
        <v>5</v>
      </c>
      <c r="BO6" s="61">
        <v>6</v>
      </c>
      <c r="BP6" s="61">
        <v>7</v>
      </c>
      <c r="BQ6" s="61">
        <v>8</v>
      </c>
      <c r="BR6" s="61">
        <v>9</v>
      </c>
      <c r="BS6" s="61">
        <v>10</v>
      </c>
      <c r="BT6" s="61">
        <v>11</v>
      </c>
      <c r="BU6" s="61">
        <v>12</v>
      </c>
      <c r="BV6" s="61">
        <v>13</v>
      </c>
      <c r="BW6" s="61">
        <v>14</v>
      </c>
      <c r="BX6" s="61">
        <v>15</v>
      </c>
      <c r="BY6" s="61">
        <v>16</v>
      </c>
      <c r="BZ6" s="61">
        <v>17</v>
      </c>
      <c r="CA6" s="61">
        <v>18</v>
      </c>
      <c r="CB6" s="61">
        <v>19</v>
      </c>
      <c r="CC6" s="61">
        <v>20</v>
      </c>
      <c r="CD6" s="61">
        <v>21</v>
      </c>
      <c r="CE6" s="61">
        <v>22</v>
      </c>
      <c r="CF6" s="61">
        <v>23</v>
      </c>
      <c r="CG6" s="61">
        <v>24</v>
      </c>
      <c r="CH6" s="61">
        <v>25</v>
      </c>
      <c r="CI6" s="61">
        <v>26</v>
      </c>
      <c r="CJ6" s="61">
        <v>27</v>
      </c>
      <c r="CK6" s="61">
        <v>28</v>
      </c>
      <c r="CL6" s="61">
        <v>29</v>
      </c>
      <c r="CM6" s="61">
        <v>30</v>
      </c>
      <c r="CN6" s="61">
        <v>31</v>
      </c>
      <c r="CO6" s="60">
        <v>1</v>
      </c>
      <c r="CP6" s="60">
        <v>2</v>
      </c>
      <c r="CQ6" s="60">
        <v>3</v>
      </c>
      <c r="CR6" s="60">
        <v>4</v>
      </c>
      <c r="CS6" s="60">
        <v>5</v>
      </c>
      <c r="CT6" s="60">
        <v>6</v>
      </c>
      <c r="CU6" s="60">
        <v>7</v>
      </c>
      <c r="CV6" s="60">
        <v>8</v>
      </c>
      <c r="CW6" s="60">
        <v>9</v>
      </c>
      <c r="CX6" s="60">
        <v>10</v>
      </c>
      <c r="CY6" s="60">
        <v>11</v>
      </c>
      <c r="CZ6" s="60">
        <v>12</v>
      </c>
      <c r="DA6" s="60">
        <v>13</v>
      </c>
      <c r="DB6" s="60">
        <v>14</v>
      </c>
      <c r="DC6" s="60">
        <v>15</v>
      </c>
      <c r="DD6" s="60">
        <v>16</v>
      </c>
      <c r="DE6" s="60">
        <v>17</v>
      </c>
      <c r="DF6" s="60">
        <v>18</v>
      </c>
      <c r="DG6" s="60">
        <v>19</v>
      </c>
      <c r="DH6" s="60">
        <v>20</v>
      </c>
      <c r="DI6" s="60">
        <v>21</v>
      </c>
      <c r="DJ6" s="60">
        <v>22</v>
      </c>
      <c r="DK6" s="60">
        <v>23</v>
      </c>
      <c r="DL6" s="60">
        <v>24</v>
      </c>
      <c r="DM6" s="60">
        <v>25</v>
      </c>
      <c r="DN6" s="60">
        <v>26</v>
      </c>
      <c r="DO6" s="60">
        <v>27</v>
      </c>
      <c r="DP6" s="60">
        <v>28</v>
      </c>
      <c r="DQ6" s="60">
        <v>29</v>
      </c>
      <c r="DR6" s="60">
        <v>30</v>
      </c>
      <c r="DS6" s="62">
        <v>1</v>
      </c>
      <c r="DT6" s="62">
        <v>2</v>
      </c>
      <c r="DU6" s="62">
        <v>3</v>
      </c>
      <c r="DV6" s="62">
        <v>4</v>
      </c>
      <c r="DW6" s="62">
        <v>5</v>
      </c>
      <c r="DX6" s="62">
        <v>6</v>
      </c>
      <c r="DY6" s="62">
        <v>7</v>
      </c>
      <c r="DZ6" s="62">
        <v>8</v>
      </c>
      <c r="EA6" s="62">
        <v>9</v>
      </c>
      <c r="EB6" s="62">
        <v>10</v>
      </c>
      <c r="EC6" s="62">
        <v>11</v>
      </c>
      <c r="ED6" s="62">
        <v>12</v>
      </c>
      <c r="EE6" s="62">
        <v>13</v>
      </c>
      <c r="EF6" s="62">
        <v>14</v>
      </c>
      <c r="EG6" s="62">
        <v>15</v>
      </c>
      <c r="EH6" s="62">
        <v>16</v>
      </c>
      <c r="EI6" s="62">
        <v>17</v>
      </c>
      <c r="EJ6" s="62">
        <v>18</v>
      </c>
      <c r="EK6" s="62">
        <v>19</v>
      </c>
      <c r="EL6" s="62">
        <v>20</v>
      </c>
      <c r="EM6" s="62">
        <v>21</v>
      </c>
      <c r="EN6" s="62">
        <v>22</v>
      </c>
      <c r="EO6" s="62">
        <v>23</v>
      </c>
      <c r="EP6" s="62">
        <v>24</v>
      </c>
      <c r="EQ6" s="62">
        <v>25</v>
      </c>
      <c r="ER6" s="62">
        <v>26</v>
      </c>
      <c r="ES6" s="62">
        <v>27</v>
      </c>
      <c r="ET6" s="62">
        <v>28</v>
      </c>
      <c r="EU6" s="62">
        <v>29</v>
      </c>
      <c r="EV6" s="62">
        <v>30</v>
      </c>
      <c r="EW6" s="62">
        <v>31</v>
      </c>
      <c r="EX6" s="62">
        <v>1</v>
      </c>
      <c r="EY6" s="62">
        <v>2</v>
      </c>
      <c r="EZ6" s="62">
        <v>3</v>
      </c>
      <c r="FA6" s="62">
        <v>4</v>
      </c>
      <c r="FB6" s="62">
        <v>5</v>
      </c>
      <c r="FC6" s="62">
        <v>6</v>
      </c>
      <c r="FD6" s="62">
        <v>7</v>
      </c>
      <c r="FE6" s="62">
        <v>8</v>
      </c>
      <c r="FF6" s="62">
        <v>9</v>
      </c>
      <c r="FG6" s="62">
        <v>10</v>
      </c>
      <c r="FH6" s="62">
        <v>11</v>
      </c>
      <c r="FI6" s="62">
        <v>12</v>
      </c>
      <c r="FJ6" s="62">
        <v>13</v>
      </c>
      <c r="FK6" s="62">
        <v>14</v>
      </c>
      <c r="FL6" s="62">
        <v>15</v>
      </c>
      <c r="FM6" s="62">
        <v>16</v>
      </c>
      <c r="FN6" s="62">
        <v>17</v>
      </c>
      <c r="FO6" s="62">
        <v>18</v>
      </c>
      <c r="FP6" s="62">
        <v>19</v>
      </c>
      <c r="FQ6" s="62">
        <v>20</v>
      </c>
      <c r="FR6" s="62">
        <v>21</v>
      </c>
      <c r="FS6" s="62">
        <v>22</v>
      </c>
      <c r="FT6" s="62">
        <v>23</v>
      </c>
      <c r="FU6" s="62">
        <v>24</v>
      </c>
      <c r="FV6" s="62">
        <v>25</v>
      </c>
      <c r="FW6" s="62">
        <v>26</v>
      </c>
      <c r="FX6" s="62">
        <v>27</v>
      </c>
      <c r="FY6" s="62">
        <v>28</v>
      </c>
      <c r="FZ6" s="62">
        <v>29</v>
      </c>
      <c r="GA6" s="204">
        <v>30</v>
      </c>
      <c r="GB6" s="209"/>
    </row>
    <row r="7" spans="1:302" ht="27.9" customHeight="1" thickBot="1" x14ac:dyDescent="0.3">
      <c r="B7" s="157"/>
      <c r="C7" s="129" t="s">
        <v>3</v>
      </c>
      <c r="D7" s="63" t="s">
        <v>4</v>
      </c>
      <c r="E7" s="129" t="s">
        <v>5</v>
      </c>
      <c r="F7" s="129" t="s">
        <v>6</v>
      </c>
      <c r="G7" s="129" t="s">
        <v>7</v>
      </c>
      <c r="H7" s="63" t="s">
        <v>1</v>
      </c>
      <c r="I7" s="129" t="s">
        <v>2</v>
      </c>
      <c r="J7" s="129" t="s">
        <v>3</v>
      </c>
      <c r="K7" s="129" t="s">
        <v>4</v>
      </c>
      <c r="L7" s="297" t="s">
        <v>5</v>
      </c>
      <c r="M7" s="129" t="s">
        <v>6</v>
      </c>
      <c r="N7" s="129" t="s">
        <v>7</v>
      </c>
      <c r="O7" s="129" t="s">
        <v>1</v>
      </c>
      <c r="P7" s="129" t="s">
        <v>2</v>
      </c>
      <c r="Q7" s="63" t="s">
        <v>3</v>
      </c>
      <c r="R7" s="129" t="s">
        <v>4</v>
      </c>
      <c r="S7" s="297" t="s">
        <v>5</v>
      </c>
      <c r="T7" s="129" t="s">
        <v>6</v>
      </c>
      <c r="U7" s="129" t="s">
        <v>7</v>
      </c>
      <c r="V7" s="63" t="s">
        <v>1</v>
      </c>
      <c r="W7" s="129" t="s">
        <v>2</v>
      </c>
      <c r="X7" s="129" t="s">
        <v>3</v>
      </c>
      <c r="Y7" s="129" t="s">
        <v>4</v>
      </c>
      <c r="Z7" s="129" t="s">
        <v>5</v>
      </c>
      <c r="AA7" s="63" t="s">
        <v>6</v>
      </c>
      <c r="AB7" s="129" t="s">
        <v>7</v>
      </c>
      <c r="AC7" s="129" t="s">
        <v>1</v>
      </c>
      <c r="AD7" s="129" t="s">
        <v>2</v>
      </c>
      <c r="AE7" s="129" t="s">
        <v>3</v>
      </c>
      <c r="AF7" s="297" t="s">
        <v>4</v>
      </c>
      <c r="AG7" s="129" t="s">
        <v>5</v>
      </c>
      <c r="AH7" s="129" t="s">
        <v>6</v>
      </c>
      <c r="AI7" s="129" t="s">
        <v>7</v>
      </c>
      <c r="AJ7" s="129" t="s">
        <v>1</v>
      </c>
      <c r="AK7" s="135" t="s">
        <v>2</v>
      </c>
      <c r="AL7" s="129" t="s">
        <v>3</v>
      </c>
      <c r="AM7" s="129" t="s">
        <v>4</v>
      </c>
      <c r="AN7" s="304" t="s">
        <v>5</v>
      </c>
      <c r="AO7" s="129" t="s">
        <v>6</v>
      </c>
      <c r="AP7" s="63" t="s">
        <v>7</v>
      </c>
      <c r="AQ7" s="129" t="s">
        <v>1</v>
      </c>
      <c r="AR7" s="135" t="s">
        <v>2</v>
      </c>
      <c r="AS7" s="129" t="s">
        <v>3</v>
      </c>
      <c r="AT7" s="129" t="s">
        <v>4</v>
      </c>
      <c r="AU7" s="297" t="s">
        <v>5</v>
      </c>
      <c r="AV7" s="129" t="s">
        <v>6</v>
      </c>
      <c r="AW7" s="129" t="s">
        <v>7</v>
      </c>
      <c r="AX7" s="129" t="s">
        <v>1</v>
      </c>
      <c r="AY7" s="135" t="s">
        <v>2</v>
      </c>
      <c r="AZ7" s="63" t="s">
        <v>3</v>
      </c>
      <c r="BA7" s="129" t="s">
        <v>4</v>
      </c>
      <c r="BB7" s="129" t="s">
        <v>5</v>
      </c>
      <c r="BC7" s="129" t="s">
        <v>6</v>
      </c>
      <c r="BD7" s="129" t="s">
        <v>7</v>
      </c>
      <c r="BE7" s="63" t="s">
        <v>1</v>
      </c>
      <c r="BF7" s="129" t="s">
        <v>2</v>
      </c>
      <c r="BG7" s="129" t="s">
        <v>3</v>
      </c>
      <c r="BH7" s="304" t="s">
        <v>4</v>
      </c>
      <c r="BI7" s="129" t="s">
        <v>5</v>
      </c>
      <c r="BJ7" s="63" t="s">
        <v>6</v>
      </c>
      <c r="BK7" s="129" t="s">
        <v>7</v>
      </c>
      <c r="BL7" s="129" t="s">
        <v>1</v>
      </c>
      <c r="BM7" s="135" t="s">
        <v>2</v>
      </c>
      <c r="BN7" s="129" t="s">
        <v>3</v>
      </c>
      <c r="BO7" s="63" t="s">
        <v>4</v>
      </c>
      <c r="BP7" s="304" t="s">
        <v>5</v>
      </c>
      <c r="BQ7" s="129" t="s">
        <v>6</v>
      </c>
      <c r="BR7" s="129" t="s">
        <v>7</v>
      </c>
      <c r="BS7" s="129" t="s">
        <v>1</v>
      </c>
      <c r="BT7" s="135" t="s">
        <v>2</v>
      </c>
      <c r="BU7" s="129" t="s">
        <v>3</v>
      </c>
      <c r="BV7" s="129" t="s">
        <v>4</v>
      </c>
      <c r="BW7" s="304" t="s">
        <v>5</v>
      </c>
      <c r="BX7" s="129" t="s">
        <v>6</v>
      </c>
      <c r="BY7" s="63" t="s">
        <v>7</v>
      </c>
      <c r="BZ7" s="129" t="s">
        <v>1</v>
      </c>
      <c r="CA7" s="135" t="s">
        <v>2</v>
      </c>
      <c r="CB7" s="129" t="s">
        <v>3</v>
      </c>
      <c r="CC7" s="129" t="s">
        <v>4</v>
      </c>
      <c r="CD7" s="63" t="s">
        <v>5</v>
      </c>
      <c r="CE7" s="129" t="s">
        <v>6</v>
      </c>
      <c r="CF7" s="129" t="s">
        <v>7</v>
      </c>
      <c r="CG7" s="129" t="s">
        <v>1</v>
      </c>
      <c r="CH7" s="135" t="s">
        <v>2</v>
      </c>
      <c r="CI7" s="63" t="s">
        <v>3</v>
      </c>
      <c r="CJ7" s="304" t="s">
        <v>4</v>
      </c>
      <c r="CK7" s="129" t="s">
        <v>5</v>
      </c>
      <c r="CL7" s="129" t="s">
        <v>6</v>
      </c>
      <c r="CM7" s="129" t="s">
        <v>7</v>
      </c>
      <c r="CN7" s="63" t="s">
        <v>1</v>
      </c>
      <c r="CO7" s="129" t="s">
        <v>2</v>
      </c>
      <c r="CP7" s="129" t="s">
        <v>3</v>
      </c>
      <c r="CQ7" s="129" t="s">
        <v>4</v>
      </c>
      <c r="CR7" s="129" t="s">
        <v>5</v>
      </c>
      <c r="CS7" s="63" t="s">
        <v>6</v>
      </c>
      <c r="CT7" s="129" t="s">
        <v>7</v>
      </c>
      <c r="CU7" s="129" t="s">
        <v>1</v>
      </c>
      <c r="CV7" s="129" t="s">
        <v>2</v>
      </c>
      <c r="CW7" s="129" t="s">
        <v>3</v>
      </c>
      <c r="CX7" s="63" t="s">
        <v>4</v>
      </c>
      <c r="CY7" s="129" t="s">
        <v>5</v>
      </c>
      <c r="CZ7" s="129" t="s">
        <v>6</v>
      </c>
      <c r="DA7" s="129" t="s">
        <v>7</v>
      </c>
      <c r="DB7" s="129" t="s">
        <v>1</v>
      </c>
      <c r="DC7" s="135" t="s">
        <v>2</v>
      </c>
      <c r="DD7" s="129" t="s">
        <v>3</v>
      </c>
      <c r="DE7" s="129" t="s">
        <v>4</v>
      </c>
      <c r="DF7" s="271" t="s">
        <v>5</v>
      </c>
      <c r="DG7" s="129" t="s">
        <v>6</v>
      </c>
      <c r="DH7" s="63" t="s">
        <v>7</v>
      </c>
      <c r="DI7" s="129" t="s">
        <v>1</v>
      </c>
      <c r="DJ7" s="135" t="s">
        <v>2</v>
      </c>
      <c r="DK7" s="129" t="s">
        <v>3</v>
      </c>
      <c r="DL7" s="129" t="s">
        <v>4</v>
      </c>
      <c r="DM7" s="63" t="s">
        <v>5</v>
      </c>
      <c r="DN7" s="129" t="s">
        <v>6</v>
      </c>
      <c r="DO7" s="129" t="s">
        <v>7</v>
      </c>
      <c r="DP7" s="129" t="s">
        <v>1</v>
      </c>
      <c r="DQ7" s="297" t="s">
        <v>2</v>
      </c>
      <c r="DR7" s="63" t="s">
        <v>3</v>
      </c>
      <c r="DS7" s="129" t="s">
        <v>4</v>
      </c>
      <c r="DT7" s="129" t="s">
        <v>5</v>
      </c>
      <c r="DU7" s="129" t="s">
        <v>6</v>
      </c>
      <c r="DV7" s="129" t="s">
        <v>7</v>
      </c>
      <c r="DW7" s="63" t="s">
        <v>1</v>
      </c>
      <c r="DX7" s="129" t="s">
        <v>2</v>
      </c>
      <c r="DY7" s="129" t="s">
        <v>3</v>
      </c>
      <c r="DZ7" s="129" t="s">
        <v>4</v>
      </c>
      <c r="EA7" s="129" t="s">
        <v>5</v>
      </c>
      <c r="EB7" s="63" t="s">
        <v>6</v>
      </c>
      <c r="EC7" s="129" t="s">
        <v>7</v>
      </c>
      <c r="ED7" s="129" t="s">
        <v>1</v>
      </c>
      <c r="EE7" s="129" t="s">
        <v>2</v>
      </c>
      <c r="EF7" s="129" t="s">
        <v>3</v>
      </c>
      <c r="EG7" s="63" t="s">
        <v>4</v>
      </c>
      <c r="EH7" s="129" t="s">
        <v>5</v>
      </c>
      <c r="EI7" s="129" t="s">
        <v>6</v>
      </c>
      <c r="EJ7" s="129" t="s">
        <v>7</v>
      </c>
      <c r="EK7" s="129" t="s">
        <v>1</v>
      </c>
      <c r="EL7" s="63" t="s">
        <v>2</v>
      </c>
      <c r="EM7" s="129" t="s">
        <v>3</v>
      </c>
      <c r="EN7" s="129" t="s">
        <v>4</v>
      </c>
      <c r="EO7" s="129" t="s">
        <v>5</v>
      </c>
      <c r="EP7" s="129" t="s">
        <v>6</v>
      </c>
      <c r="EQ7" s="63" t="s">
        <v>7</v>
      </c>
      <c r="ER7" s="129" t="s">
        <v>1</v>
      </c>
      <c r="ES7" s="129" t="s">
        <v>2</v>
      </c>
      <c r="ET7" s="129" t="s">
        <v>3</v>
      </c>
      <c r="EU7" s="129" t="s">
        <v>4</v>
      </c>
      <c r="EV7" s="63" t="s">
        <v>5</v>
      </c>
      <c r="EW7" s="129" t="s">
        <v>6</v>
      </c>
      <c r="EX7" s="129" t="s">
        <v>7</v>
      </c>
      <c r="EY7" s="129" t="s">
        <v>1</v>
      </c>
      <c r="EZ7" s="129" t="s">
        <v>2</v>
      </c>
      <c r="FA7" s="63" t="s">
        <v>3</v>
      </c>
      <c r="FB7" s="129" t="s">
        <v>4</v>
      </c>
      <c r="FC7" s="129" t="s">
        <v>5</v>
      </c>
      <c r="FD7" s="129" t="s">
        <v>6</v>
      </c>
      <c r="FE7" s="129" t="s">
        <v>7</v>
      </c>
      <c r="FF7" s="63" t="s">
        <v>1</v>
      </c>
      <c r="FG7" s="129" t="s">
        <v>2</v>
      </c>
      <c r="FH7" s="129" t="s">
        <v>3</v>
      </c>
      <c r="FI7" s="129" t="s">
        <v>4</v>
      </c>
      <c r="FJ7" s="129" t="s">
        <v>5</v>
      </c>
      <c r="FK7" s="63" t="s">
        <v>6</v>
      </c>
      <c r="FL7" s="129" t="s">
        <v>7</v>
      </c>
      <c r="FM7" s="129" t="s">
        <v>1</v>
      </c>
      <c r="FN7" s="129" t="s">
        <v>2</v>
      </c>
      <c r="FO7" s="129" t="s">
        <v>3</v>
      </c>
      <c r="FP7" s="63" t="s">
        <v>4</v>
      </c>
      <c r="FQ7" s="129" t="s">
        <v>5</v>
      </c>
      <c r="FR7" s="129" t="s">
        <v>6</v>
      </c>
      <c r="FS7" s="129" t="s">
        <v>7</v>
      </c>
      <c r="FT7" s="129" t="s">
        <v>1</v>
      </c>
      <c r="FU7" s="63" t="s">
        <v>2</v>
      </c>
      <c r="FV7" s="129" t="s">
        <v>3</v>
      </c>
      <c r="FW7" s="129" t="s">
        <v>4</v>
      </c>
      <c r="FX7" s="129" t="s">
        <v>5</v>
      </c>
      <c r="FY7" s="129" t="s">
        <v>6</v>
      </c>
      <c r="FZ7" s="63" t="s">
        <v>7</v>
      </c>
      <c r="GA7" s="129" t="s">
        <v>1</v>
      </c>
      <c r="GB7" s="209"/>
    </row>
    <row r="8" spans="1:302" ht="28.2" customHeight="1" thickBot="1" x14ac:dyDescent="0.3">
      <c r="B8" s="68" t="s">
        <v>128</v>
      </c>
      <c r="C8" s="361"/>
      <c r="D8" s="279" t="s">
        <v>152</v>
      </c>
      <c r="E8" s="116"/>
      <c r="F8" s="116"/>
      <c r="G8" s="279" t="s">
        <v>152</v>
      </c>
      <c r="H8" s="346"/>
      <c r="I8" s="227" t="s">
        <v>74</v>
      </c>
      <c r="J8" s="227" t="s">
        <v>74</v>
      </c>
      <c r="K8" s="187" t="s">
        <v>13</v>
      </c>
      <c r="L8" s="116"/>
      <c r="M8" s="116"/>
      <c r="N8" s="141" t="s">
        <v>72</v>
      </c>
      <c r="O8" s="141" t="s">
        <v>72</v>
      </c>
      <c r="P8" s="141" t="s">
        <v>72</v>
      </c>
      <c r="Q8" s="141" t="s">
        <v>72</v>
      </c>
      <c r="R8" s="141" t="s">
        <v>72</v>
      </c>
      <c r="S8" s="116"/>
      <c r="T8" s="116"/>
      <c r="U8" s="140" t="s">
        <v>50</v>
      </c>
      <c r="V8" s="118" t="s">
        <v>50</v>
      </c>
      <c r="W8" s="140" t="s">
        <v>50</v>
      </c>
      <c r="X8" s="140" t="s">
        <v>50</v>
      </c>
      <c r="Y8" s="140" t="s">
        <v>50</v>
      </c>
      <c r="Z8" s="116"/>
      <c r="AA8" s="116"/>
      <c r="AB8" s="286" t="s">
        <v>153</v>
      </c>
      <c r="AC8" s="119" t="s">
        <v>50</v>
      </c>
      <c r="AD8" s="138" t="s">
        <v>73</v>
      </c>
      <c r="AE8" s="286" t="s">
        <v>153</v>
      </c>
      <c r="AF8" s="138" t="s">
        <v>73</v>
      </c>
      <c r="AG8" s="116"/>
      <c r="AH8" s="227" t="s">
        <v>74</v>
      </c>
      <c r="AI8" s="227" t="s">
        <v>74</v>
      </c>
      <c r="AJ8" s="227" t="s">
        <v>74</v>
      </c>
      <c r="AK8" s="227" t="s">
        <v>74</v>
      </c>
      <c r="AL8" s="227" t="s">
        <v>74</v>
      </c>
      <c r="AM8" s="228" t="s">
        <v>21</v>
      </c>
      <c r="AN8" s="116"/>
      <c r="AO8" s="116"/>
      <c r="AP8" s="141" t="s">
        <v>72</v>
      </c>
      <c r="AQ8" s="141" t="s">
        <v>72</v>
      </c>
      <c r="AR8" s="141" t="s">
        <v>72</v>
      </c>
      <c r="AS8" s="141" t="s">
        <v>72</v>
      </c>
      <c r="AT8" s="141" t="s">
        <v>72</v>
      </c>
      <c r="AU8" s="116"/>
      <c r="AV8" s="116"/>
      <c r="AW8" s="140" t="s">
        <v>50</v>
      </c>
      <c r="AX8" s="118" t="s">
        <v>50</v>
      </c>
      <c r="AY8" s="155" t="s">
        <v>16</v>
      </c>
      <c r="AZ8" s="138" t="s">
        <v>73</v>
      </c>
      <c r="BA8" s="140" t="s">
        <v>71</v>
      </c>
      <c r="BB8" s="116"/>
      <c r="BC8" s="116"/>
      <c r="BD8" s="309" t="s">
        <v>71</v>
      </c>
      <c r="BE8" s="140" t="s">
        <v>71</v>
      </c>
      <c r="BF8" s="140" t="s">
        <v>71</v>
      </c>
      <c r="BG8" s="140" t="s">
        <v>71</v>
      </c>
      <c r="BH8" s="140" t="s">
        <v>71</v>
      </c>
      <c r="BI8" s="116"/>
      <c r="BJ8" s="116"/>
      <c r="BK8" s="138" t="s">
        <v>73</v>
      </c>
      <c r="BL8" s="384" t="s">
        <v>73</v>
      </c>
      <c r="BM8" s="138" t="s">
        <v>73</v>
      </c>
      <c r="BN8" s="138" t="s">
        <v>73</v>
      </c>
      <c r="BO8" s="138" t="s">
        <v>73</v>
      </c>
      <c r="BP8" s="116"/>
      <c r="BQ8" s="227" t="s">
        <v>74</v>
      </c>
      <c r="BR8" s="227" t="s">
        <v>74</v>
      </c>
      <c r="BS8" s="227" t="s">
        <v>74</v>
      </c>
      <c r="BT8" s="227" t="s">
        <v>74</v>
      </c>
      <c r="BU8" s="227" t="s">
        <v>74</v>
      </c>
      <c r="BV8" s="228" t="s">
        <v>21</v>
      </c>
      <c r="BW8" s="116"/>
      <c r="BX8" s="116"/>
      <c r="BY8" s="286" t="s">
        <v>153</v>
      </c>
      <c r="BZ8" s="141" t="s">
        <v>18</v>
      </c>
      <c r="CA8" s="286" t="s">
        <v>153</v>
      </c>
      <c r="CB8" s="69" t="s">
        <v>19</v>
      </c>
      <c r="CC8" s="69" t="s">
        <v>19</v>
      </c>
      <c r="CD8" s="116"/>
      <c r="CE8" s="116"/>
      <c r="CF8" s="140" t="s">
        <v>71</v>
      </c>
      <c r="CG8" s="140" t="s">
        <v>71</v>
      </c>
      <c r="CH8" s="155" t="s">
        <v>16</v>
      </c>
      <c r="CI8" s="140" t="s">
        <v>71</v>
      </c>
      <c r="CJ8" s="140" t="s">
        <v>71</v>
      </c>
      <c r="CK8" s="116"/>
      <c r="CL8" s="116"/>
      <c r="CM8" s="286" t="s">
        <v>153</v>
      </c>
      <c r="CN8" s="140" t="s">
        <v>50</v>
      </c>
      <c r="CO8" s="140" t="s">
        <v>50</v>
      </c>
      <c r="CP8" s="286" t="s">
        <v>153</v>
      </c>
      <c r="CQ8" s="318"/>
      <c r="CR8" s="116"/>
      <c r="CS8" s="318"/>
      <c r="CT8" s="318"/>
      <c r="CU8" s="227" t="s">
        <v>74</v>
      </c>
      <c r="CV8" s="227" t="s">
        <v>74</v>
      </c>
      <c r="CW8" s="227" t="s">
        <v>74</v>
      </c>
      <c r="CX8" s="228" t="s">
        <v>21</v>
      </c>
      <c r="CY8" s="116"/>
      <c r="CZ8" s="116"/>
      <c r="DA8" s="141" t="s">
        <v>72</v>
      </c>
      <c r="DB8" s="141" t="s">
        <v>72</v>
      </c>
      <c r="DC8" s="141" t="s">
        <v>72</v>
      </c>
      <c r="DD8" s="141" t="s">
        <v>72</v>
      </c>
      <c r="DE8" s="141" t="s">
        <v>72</v>
      </c>
      <c r="DF8" s="272"/>
      <c r="DG8" s="116"/>
      <c r="DH8" s="140" t="s">
        <v>71</v>
      </c>
      <c r="DI8" s="140" t="s">
        <v>71</v>
      </c>
      <c r="DJ8" s="140" t="s">
        <v>71</v>
      </c>
      <c r="DK8" s="140" t="s">
        <v>71</v>
      </c>
      <c r="DL8" s="140" t="s">
        <v>71</v>
      </c>
      <c r="DM8" s="116"/>
      <c r="DN8" s="116"/>
      <c r="DO8" s="286" t="s">
        <v>153</v>
      </c>
      <c r="DP8" s="118" t="s">
        <v>50</v>
      </c>
      <c r="DQ8" s="140" t="s">
        <v>50</v>
      </c>
      <c r="DR8" s="286" t="s">
        <v>153</v>
      </c>
      <c r="DS8" s="326"/>
      <c r="DT8" s="116"/>
      <c r="DU8" s="116"/>
      <c r="DV8" s="194"/>
      <c r="DW8" s="194"/>
      <c r="DX8" s="194"/>
      <c r="DY8" s="194"/>
      <c r="DZ8" s="194"/>
      <c r="EA8" s="116"/>
      <c r="EB8" s="116"/>
      <c r="EC8" s="133"/>
      <c r="ED8" s="141"/>
      <c r="EE8" s="141"/>
      <c r="EF8" s="318"/>
      <c r="EG8" s="187" t="s">
        <v>13</v>
      </c>
      <c r="EH8" s="116"/>
      <c r="EI8" s="227" t="s">
        <v>74</v>
      </c>
      <c r="EJ8" s="227" t="s">
        <v>74</v>
      </c>
      <c r="EK8" s="227" t="s">
        <v>74</v>
      </c>
      <c r="EL8" s="227" t="s">
        <v>74</v>
      </c>
      <c r="EM8" s="227" t="s">
        <v>74</v>
      </c>
      <c r="EN8" s="228" t="s">
        <v>21</v>
      </c>
      <c r="EO8" s="116"/>
      <c r="EP8" s="318"/>
      <c r="EQ8" s="318"/>
      <c r="ER8" s="44" t="s">
        <v>8</v>
      </c>
      <c r="ES8" s="44" t="s">
        <v>8</v>
      </c>
      <c r="ET8" s="44" t="s">
        <v>8</v>
      </c>
      <c r="EU8" s="44" t="s">
        <v>8</v>
      </c>
      <c r="EV8" s="116"/>
      <c r="EW8" s="116"/>
      <c r="EX8" s="44" t="s">
        <v>8</v>
      </c>
      <c r="EY8" s="44" t="s">
        <v>8</v>
      </c>
      <c r="EZ8" s="44" t="s">
        <v>8</v>
      </c>
      <c r="FA8" s="318"/>
      <c r="FB8" s="44" t="s">
        <v>8</v>
      </c>
      <c r="FC8" s="116"/>
      <c r="FD8" s="116"/>
      <c r="FE8" s="182"/>
      <c r="FF8" s="182"/>
      <c r="FG8" s="182"/>
      <c r="FH8" s="182"/>
      <c r="FI8" s="182"/>
      <c r="FJ8" s="116"/>
      <c r="FK8" s="116"/>
      <c r="FL8" s="133"/>
      <c r="FM8" s="259"/>
      <c r="FN8" s="259"/>
      <c r="FO8" s="259"/>
      <c r="FP8" s="259"/>
      <c r="FQ8" s="116"/>
      <c r="FR8" s="116"/>
      <c r="FS8" s="133"/>
      <c r="FT8" s="140"/>
      <c r="FU8" s="197"/>
      <c r="FV8" s="197"/>
      <c r="FW8" s="140"/>
      <c r="FX8" s="116"/>
      <c r="FY8" s="227" t="s">
        <v>74</v>
      </c>
      <c r="FZ8" s="227" t="s">
        <v>74</v>
      </c>
      <c r="GA8" s="227" t="s">
        <v>74</v>
      </c>
      <c r="GB8" s="210"/>
      <c r="GC8" s="65"/>
      <c r="GD8" s="65"/>
      <c r="GE8" s="65"/>
    </row>
    <row r="9" spans="1:302" ht="28.2" customHeight="1" thickBot="1" x14ac:dyDescent="0.3">
      <c r="B9" s="66" t="s">
        <v>142</v>
      </c>
      <c r="C9" s="362"/>
      <c r="D9" s="279" t="s">
        <v>152</v>
      </c>
      <c r="E9" s="116"/>
      <c r="F9" s="116"/>
      <c r="G9" s="228" t="s">
        <v>21</v>
      </c>
      <c r="H9" s="347"/>
      <c r="I9" s="118" t="s">
        <v>50</v>
      </c>
      <c r="J9" s="140" t="s">
        <v>50</v>
      </c>
      <c r="K9" s="140" t="s">
        <v>50</v>
      </c>
      <c r="L9" s="295" t="s">
        <v>71</v>
      </c>
      <c r="M9" s="227" t="s">
        <v>74</v>
      </c>
      <c r="N9" s="227" t="s">
        <v>74</v>
      </c>
      <c r="O9" s="227" t="s">
        <v>74</v>
      </c>
      <c r="P9" s="227" t="s">
        <v>74</v>
      </c>
      <c r="Q9" s="227" t="s">
        <v>74</v>
      </c>
      <c r="R9" s="228" t="s">
        <v>21</v>
      </c>
      <c r="S9" s="116"/>
      <c r="T9" s="116"/>
      <c r="U9" s="141" t="s">
        <v>72</v>
      </c>
      <c r="V9" s="141" t="s">
        <v>72</v>
      </c>
      <c r="W9" s="141" t="s">
        <v>72</v>
      </c>
      <c r="X9" s="141" t="s">
        <v>72</v>
      </c>
      <c r="Y9" s="141" t="s">
        <v>72</v>
      </c>
      <c r="Z9" s="116"/>
      <c r="AA9" s="116"/>
      <c r="AB9" s="140" t="s">
        <v>71</v>
      </c>
      <c r="AC9" s="140" t="s">
        <v>71</v>
      </c>
      <c r="AD9" s="140" t="s">
        <v>71</v>
      </c>
      <c r="AE9" s="140" t="s">
        <v>71</v>
      </c>
      <c r="AF9" s="140" t="s">
        <v>71</v>
      </c>
      <c r="AG9" s="116"/>
      <c r="AH9" s="116"/>
      <c r="AI9" s="286" t="s">
        <v>153</v>
      </c>
      <c r="AJ9" s="118" t="s">
        <v>50</v>
      </c>
      <c r="AK9" s="155" t="s">
        <v>16</v>
      </c>
      <c r="AL9" s="286" t="s">
        <v>153</v>
      </c>
      <c r="AM9" s="140" t="s">
        <v>71</v>
      </c>
      <c r="AN9" s="116"/>
      <c r="AO9" s="227" t="s">
        <v>74</v>
      </c>
      <c r="AP9" s="227" t="s">
        <v>74</v>
      </c>
      <c r="AQ9" s="227" t="s">
        <v>74</v>
      </c>
      <c r="AR9" s="227" t="s">
        <v>74</v>
      </c>
      <c r="AS9" s="227" t="s">
        <v>74</v>
      </c>
      <c r="AT9" s="228" t="s">
        <v>21</v>
      </c>
      <c r="AU9" s="116"/>
      <c r="AV9" s="116"/>
      <c r="AW9" s="141" t="s">
        <v>72</v>
      </c>
      <c r="AX9" s="141" t="s">
        <v>72</v>
      </c>
      <c r="AY9" s="141" t="s">
        <v>72</v>
      </c>
      <c r="AZ9" s="310" t="s">
        <v>157</v>
      </c>
      <c r="BA9" s="141" t="s">
        <v>72</v>
      </c>
      <c r="BB9" s="116"/>
      <c r="BC9" s="227" t="s">
        <v>74</v>
      </c>
      <c r="BD9" s="302" t="s">
        <v>74</v>
      </c>
      <c r="BE9" s="227" t="s">
        <v>74</v>
      </c>
      <c r="BF9" s="227" t="s">
        <v>74</v>
      </c>
      <c r="BG9" s="227" t="s">
        <v>74</v>
      </c>
      <c r="BH9" s="298" t="s">
        <v>74</v>
      </c>
      <c r="BI9" s="116"/>
      <c r="BJ9" s="116"/>
      <c r="BK9" s="141" t="s">
        <v>72</v>
      </c>
      <c r="BL9" s="141" t="s">
        <v>72</v>
      </c>
      <c r="BM9" s="141" t="s">
        <v>72</v>
      </c>
      <c r="BN9" s="141" t="s">
        <v>72</v>
      </c>
      <c r="BO9" s="141" t="s">
        <v>72</v>
      </c>
      <c r="BP9" s="116"/>
      <c r="BQ9" s="116"/>
      <c r="BR9" s="286" t="s">
        <v>153</v>
      </c>
      <c r="BS9" s="118" t="s">
        <v>50</v>
      </c>
      <c r="BT9" s="140" t="s">
        <v>50</v>
      </c>
      <c r="BU9" s="286" t="s">
        <v>153</v>
      </c>
      <c r="BV9" s="141" t="s">
        <v>18</v>
      </c>
      <c r="BW9" s="116"/>
      <c r="BX9" s="116"/>
      <c r="BY9" s="138" t="s">
        <v>73</v>
      </c>
      <c r="BZ9" s="138" t="s">
        <v>73</v>
      </c>
      <c r="CA9" s="155" t="s">
        <v>16</v>
      </c>
      <c r="CB9" s="69" t="s">
        <v>19</v>
      </c>
      <c r="CC9" s="69" t="s">
        <v>19</v>
      </c>
      <c r="CD9" s="116"/>
      <c r="CE9" s="116"/>
      <c r="CF9" s="44" t="s">
        <v>8</v>
      </c>
      <c r="CG9" s="44" t="s">
        <v>8</v>
      </c>
      <c r="CH9" s="44" t="s">
        <v>8</v>
      </c>
      <c r="CI9" s="44" t="s">
        <v>8</v>
      </c>
      <c r="CJ9" s="44" t="s">
        <v>8</v>
      </c>
      <c r="CK9" s="116"/>
      <c r="CL9" s="116"/>
      <c r="CM9" s="44" t="s">
        <v>8</v>
      </c>
      <c r="CN9" s="44" t="s">
        <v>8</v>
      </c>
      <c r="CO9" s="44" t="s">
        <v>8</v>
      </c>
      <c r="CP9" s="44" t="s">
        <v>8</v>
      </c>
      <c r="CQ9" s="319"/>
      <c r="CR9" s="116"/>
      <c r="CS9" s="319"/>
      <c r="CT9" s="319"/>
      <c r="CU9" s="44" t="s">
        <v>8</v>
      </c>
      <c r="CV9" s="44" t="s">
        <v>8</v>
      </c>
      <c r="CW9" s="44" t="s">
        <v>8</v>
      </c>
      <c r="CX9" s="44" t="s">
        <v>8</v>
      </c>
      <c r="CY9" s="116"/>
      <c r="CZ9" s="227" t="s">
        <v>74</v>
      </c>
      <c r="DA9" s="227" t="s">
        <v>74</v>
      </c>
      <c r="DB9" s="227" t="s">
        <v>74</v>
      </c>
      <c r="DC9" s="227" t="s">
        <v>74</v>
      </c>
      <c r="DD9" s="227" t="s">
        <v>74</v>
      </c>
      <c r="DE9" s="228" t="s">
        <v>21</v>
      </c>
      <c r="DF9" s="272"/>
      <c r="DG9" s="116"/>
      <c r="DH9" s="138" t="s">
        <v>73</v>
      </c>
      <c r="DI9" s="138" t="s">
        <v>73</v>
      </c>
      <c r="DJ9" s="138" t="s">
        <v>73</v>
      </c>
      <c r="DK9" s="44" t="s">
        <v>8</v>
      </c>
      <c r="DL9" s="44" t="s">
        <v>8</v>
      </c>
      <c r="DM9" s="116"/>
      <c r="DN9" s="116"/>
      <c r="DO9" s="140" t="s">
        <v>71</v>
      </c>
      <c r="DP9" s="140" t="s">
        <v>71</v>
      </c>
      <c r="DQ9" s="140" t="s">
        <v>71</v>
      </c>
      <c r="DR9" s="140" t="s">
        <v>71</v>
      </c>
      <c r="DS9" s="327"/>
      <c r="DT9" s="116"/>
      <c r="DU9" s="116"/>
      <c r="DV9" s="133"/>
      <c r="DW9" s="141"/>
      <c r="DX9" s="141"/>
      <c r="DY9" s="141"/>
      <c r="DZ9" s="141"/>
      <c r="EA9" s="116"/>
      <c r="EB9" s="116"/>
      <c r="EC9" s="133"/>
      <c r="ED9" s="138"/>
      <c r="EE9" s="141"/>
      <c r="EF9" s="319"/>
      <c r="EG9" s="254"/>
      <c r="EH9" s="116"/>
      <c r="EI9" s="116"/>
      <c r="EJ9" s="141" t="s">
        <v>72</v>
      </c>
      <c r="EK9" s="141" t="s">
        <v>72</v>
      </c>
      <c r="EL9" s="141" t="s">
        <v>72</v>
      </c>
      <c r="EM9" s="141" t="s">
        <v>72</v>
      </c>
      <c r="EN9" s="141" t="s">
        <v>72</v>
      </c>
      <c r="EO9" s="116"/>
      <c r="EP9" s="319"/>
      <c r="EQ9" s="319"/>
      <c r="ER9" s="141"/>
      <c r="ES9" s="141"/>
      <c r="ET9" s="141"/>
      <c r="EU9" s="141"/>
      <c r="EV9" s="116"/>
      <c r="EW9" s="227" t="s">
        <v>74</v>
      </c>
      <c r="EX9" s="227" t="s">
        <v>74</v>
      </c>
      <c r="EY9" s="227" t="s">
        <v>74</v>
      </c>
      <c r="EZ9" s="227" t="s">
        <v>74</v>
      </c>
      <c r="FA9" s="319"/>
      <c r="FB9" s="228" t="s">
        <v>21</v>
      </c>
      <c r="FC9" s="116"/>
      <c r="FD9" s="116"/>
      <c r="FE9" s="141" t="s">
        <v>72</v>
      </c>
      <c r="FF9" s="141" t="s">
        <v>72</v>
      </c>
      <c r="FG9" s="141" t="s">
        <v>72</v>
      </c>
      <c r="FH9" s="141" t="s">
        <v>72</v>
      </c>
      <c r="FI9" s="141" t="s">
        <v>72</v>
      </c>
      <c r="FJ9" s="116"/>
      <c r="FK9" s="116"/>
      <c r="FL9" s="133"/>
      <c r="FM9" s="259"/>
      <c r="FN9" s="259"/>
      <c r="FO9" s="259"/>
      <c r="FP9" s="259"/>
      <c r="FQ9" s="116"/>
      <c r="FR9" s="116"/>
      <c r="FS9" s="133"/>
      <c r="FT9" s="176"/>
      <c r="FU9" s="176"/>
      <c r="FV9" s="176"/>
      <c r="FW9" s="176"/>
      <c r="FX9" s="116"/>
      <c r="FY9" s="116"/>
      <c r="FZ9" s="44" t="s">
        <v>8</v>
      </c>
      <c r="GA9" s="44" t="s">
        <v>8</v>
      </c>
      <c r="GB9" s="210"/>
      <c r="GC9" s="67"/>
      <c r="GD9" s="67"/>
      <c r="GE9" s="65"/>
    </row>
    <row r="10" spans="1:302" ht="28.2" customHeight="1" thickBot="1" x14ac:dyDescent="0.3">
      <c r="B10" s="66" t="s">
        <v>135</v>
      </c>
      <c r="C10" s="362"/>
      <c r="D10" s="288"/>
      <c r="E10" s="116"/>
      <c r="F10" s="116"/>
      <c r="G10" s="288"/>
      <c r="H10" s="347"/>
      <c r="I10" s="288"/>
      <c r="J10" s="288"/>
      <c r="K10" s="288"/>
      <c r="L10" s="116"/>
      <c r="M10" s="116"/>
      <c r="N10" s="288"/>
      <c r="O10" s="288"/>
      <c r="P10" s="288"/>
      <c r="Q10" s="288"/>
      <c r="R10" s="288"/>
      <c r="S10" s="116"/>
      <c r="T10" s="116"/>
      <c r="U10" s="288"/>
      <c r="V10" s="288"/>
      <c r="W10" s="288"/>
      <c r="X10" s="288"/>
      <c r="Y10" s="288"/>
      <c r="Z10" s="116"/>
      <c r="AA10" s="116"/>
      <c r="AB10" s="288"/>
      <c r="AC10" s="288"/>
      <c r="AD10" s="288"/>
      <c r="AE10" s="288"/>
      <c r="AF10" s="288"/>
      <c r="AG10" s="116"/>
      <c r="AH10" s="116"/>
      <c r="AI10" s="288"/>
      <c r="AJ10" s="288"/>
      <c r="AK10" s="288"/>
      <c r="AL10" s="288"/>
      <c r="AM10" s="288"/>
      <c r="AN10" s="116"/>
      <c r="AO10" s="116"/>
      <c r="AP10" s="288"/>
      <c r="AQ10" s="288"/>
      <c r="AR10" s="288"/>
      <c r="AS10" s="288"/>
      <c r="AT10" s="288"/>
      <c r="AU10" s="116"/>
      <c r="AV10" s="116"/>
      <c r="AW10" s="288"/>
      <c r="AX10" s="288"/>
      <c r="AY10" s="288"/>
      <c r="AZ10" s="288"/>
      <c r="BA10" s="288"/>
      <c r="BB10" s="116"/>
      <c r="BC10" s="116"/>
      <c r="BD10" s="143" t="s">
        <v>156</v>
      </c>
      <c r="BE10" s="288"/>
      <c r="BF10" s="143" t="s">
        <v>156</v>
      </c>
      <c r="BG10" s="288"/>
      <c r="BH10" s="143" t="s">
        <v>156</v>
      </c>
      <c r="BI10" s="116"/>
      <c r="BJ10" s="116"/>
      <c r="BK10" s="143" t="s">
        <v>159</v>
      </c>
      <c r="BL10" s="143" t="s">
        <v>159</v>
      </c>
      <c r="BM10" s="143" t="s">
        <v>159</v>
      </c>
      <c r="BN10" s="143" t="s">
        <v>159</v>
      </c>
      <c r="BO10" s="143" t="s">
        <v>159</v>
      </c>
      <c r="BP10" s="116"/>
      <c r="BQ10" s="116"/>
      <c r="BR10" s="143" t="s">
        <v>158</v>
      </c>
      <c r="BS10" s="143" t="s">
        <v>158</v>
      </c>
      <c r="BT10" s="143" t="s">
        <v>158</v>
      </c>
      <c r="BU10" s="143" t="s">
        <v>158</v>
      </c>
      <c r="BV10" s="143" t="s">
        <v>158</v>
      </c>
      <c r="BW10" s="116"/>
      <c r="BX10" s="116"/>
      <c r="BY10" s="143" t="s">
        <v>163</v>
      </c>
      <c r="BZ10" s="143" t="s">
        <v>163</v>
      </c>
      <c r="CA10" s="143" t="s">
        <v>162</v>
      </c>
      <c r="CB10" s="143" t="s">
        <v>162</v>
      </c>
      <c r="CC10" s="143" t="s">
        <v>162</v>
      </c>
      <c r="CD10" s="116"/>
      <c r="CE10" s="116"/>
      <c r="CF10" s="143" t="s">
        <v>160</v>
      </c>
      <c r="CG10" s="143" t="s">
        <v>160</v>
      </c>
      <c r="CH10" s="143" t="s">
        <v>160</v>
      </c>
      <c r="CI10" s="143" t="s">
        <v>160</v>
      </c>
      <c r="CJ10" s="143" t="s">
        <v>160</v>
      </c>
      <c r="CK10" s="116"/>
      <c r="CL10" s="116"/>
      <c r="CM10" s="311" t="s">
        <v>161</v>
      </c>
      <c r="CN10" s="311" t="s">
        <v>161</v>
      </c>
      <c r="CO10" s="143" t="s">
        <v>164</v>
      </c>
      <c r="CP10" s="143" t="s">
        <v>164</v>
      </c>
      <c r="CQ10" s="319"/>
      <c r="CR10" s="116"/>
      <c r="CS10" s="319"/>
      <c r="CT10" s="319"/>
      <c r="CU10" s="143" t="s">
        <v>165</v>
      </c>
      <c r="CV10" s="143" t="s">
        <v>165</v>
      </c>
      <c r="CW10" s="143" t="s">
        <v>165</v>
      </c>
      <c r="CX10" s="143" t="s">
        <v>165</v>
      </c>
      <c r="CY10" s="116"/>
      <c r="CZ10" s="143" t="s">
        <v>166</v>
      </c>
      <c r="DA10" s="143" t="s">
        <v>166</v>
      </c>
      <c r="DB10" s="143" t="s">
        <v>166</v>
      </c>
      <c r="DC10" s="143" t="s">
        <v>166</v>
      </c>
      <c r="DD10" s="143" t="s">
        <v>166</v>
      </c>
      <c r="DE10" s="228" t="s">
        <v>21</v>
      </c>
      <c r="DF10" s="272"/>
      <c r="DG10" s="116"/>
      <c r="DH10" s="288"/>
      <c r="DI10" s="288"/>
      <c r="DJ10" s="288"/>
      <c r="DK10" s="288"/>
      <c r="DL10" s="288"/>
      <c r="DM10" s="116"/>
      <c r="DN10" s="116"/>
      <c r="DO10" s="288"/>
      <c r="DP10" s="288"/>
      <c r="DQ10" s="288"/>
      <c r="DR10" s="288"/>
      <c r="DS10" s="327"/>
      <c r="DT10" s="116"/>
      <c r="DU10" s="116"/>
      <c r="DV10" s="133"/>
      <c r="DW10" s="140"/>
      <c r="DX10" s="140"/>
      <c r="DY10" s="140"/>
      <c r="DZ10" s="141"/>
      <c r="EA10" s="116"/>
      <c r="EB10" s="116"/>
      <c r="EC10" s="133"/>
      <c r="ED10" s="140"/>
      <c r="EE10" s="140"/>
      <c r="EF10" s="319"/>
      <c r="EG10" s="140"/>
      <c r="EH10" s="116"/>
      <c r="EI10" s="116"/>
      <c r="EJ10" s="133"/>
      <c r="EK10" s="140"/>
      <c r="EL10" s="140"/>
      <c r="EM10" s="140"/>
      <c r="EN10" s="140"/>
      <c r="EO10" s="116"/>
      <c r="EP10" s="319"/>
      <c r="EQ10" s="319"/>
      <c r="ER10" s="140"/>
      <c r="ES10" s="140"/>
      <c r="ET10" s="140"/>
      <c r="EU10" s="140"/>
      <c r="EV10" s="116"/>
      <c r="EW10" s="116"/>
      <c r="EX10" s="133"/>
      <c r="EY10" s="176"/>
      <c r="EZ10" s="176"/>
      <c r="FA10" s="319"/>
      <c r="FB10" s="176"/>
      <c r="FC10" s="116"/>
      <c r="FD10" s="116"/>
      <c r="FE10" s="176"/>
      <c r="FF10" s="176"/>
      <c r="FG10" s="176"/>
      <c r="FH10" s="176"/>
      <c r="FI10" s="176"/>
      <c r="FJ10" s="116"/>
      <c r="FK10" s="116"/>
      <c r="FL10" s="133"/>
      <c r="FM10" s="140"/>
      <c r="FN10" s="140"/>
      <c r="FO10" s="140"/>
      <c r="FP10" s="140"/>
      <c r="FQ10" s="116"/>
      <c r="FR10" s="116"/>
      <c r="FS10" s="133"/>
      <c r="FT10" s="140"/>
      <c r="FU10" s="140"/>
      <c r="FV10" s="140"/>
      <c r="FW10" s="140"/>
      <c r="FX10" s="116"/>
      <c r="FY10" s="116"/>
      <c r="FZ10" s="133"/>
      <c r="GA10" s="140"/>
      <c r="GB10" s="210"/>
      <c r="GC10" s="65"/>
      <c r="GD10" s="65"/>
      <c r="GE10" s="65"/>
    </row>
    <row r="11" spans="1:302" ht="28.2" customHeight="1" thickBot="1" x14ac:dyDescent="0.3">
      <c r="B11" s="157" t="s">
        <v>143</v>
      </c>
      <c r="C11" s="362"/>
      <c r="D11" s="229" t="s">
        <v>18</v>
      </c>
      <c r="E11" s="116"/>
      <c r="F11" s="116"/>
      <c r="G11" s="229" t="s">
        <v>18</v>
      </c>
      <c r="H11" s="347"/>
      <c r="I11" s="138" t="s">
        <v>73</v>
      </c>
      <c r="J11" s="138" t="s">
        <v>73</v>
      </c>
      <c r="K11" s="138" t="s">
        <v>73</v>
      </c>
      <c r="L11" s="116"/>
      <c r="M11" s="116"/>
      <c r="N11" s="140" t="s">
        <v>71</v>
      </c>
      <c r="O11" s="140" t="s">
        <v>71</v>
      </c>
      <c r="P11" s="140" t="s">
        <v>71</v>
      </c>
      <c r="Q11" s="140" t="s">
        <v>71</v>
      </c>
      <c r="R11" s="140" t="s">
        <v>71</v>
      </c>
      <c r="S11" s="116"/>
      <c r="T11" s="227" t="s">
        <v>74</v>
      </c>
      <c r="U11" s="227" t="s">
        <v>74</v>
      </c>
      <c r="V11" s="227" t="s">
        <v>74</v>
      </c>
      <c r="W11" s="227" t="s">
        <v>74</v>
      </c>
      <c r="X11" s="227" t="s">
        <v>74</v>
      </c>
      <c r="Y11" s="228" t="s">
        <v>21</v>
      </c>
      <c r="Z11" s="116"/>
      <c r="AA11" s="116"/>
      <c r="AB11" s="141" t="s">
        <v>72</v>
      </c>
      <c r="AC11" s="141" t="s">
        <v>72</v>
      </c>
      <c r="AD11" s="141" t="s">
        <v>72</v>
      </c>
      <c r="AE11" s="141" t="s">
        <v>72</v>
      </c>
      <c r="AF11" s="141" t="s">
        <v>72</v>
      </c>
      <c r="AG11" s="116"/>
      <c r="AH11" s="116"/>
      <c r="AI11" s="140" t="s">
        <v>71</v>
      </c>
      <c r="AJ11" s="140" t="s">
        <v>71</v>
      </c>
      <c r="AK11" s="155" t="s">
        <v>16</v>
      </c>
      <c r="AL11" s="229" t="s">
        <v>18</v>
      </c>
      <c r="AM11" s="138" t="s">
        <v>18</v>
      </c>
      <c r="AN11" s="116"/>
      <c r="AO11" s="116"/>
      <c r="AP11" s="286" t="s">
        <v>153</v>
      </c>
      <c r="AQ11" s="120" t="s">
        <v>68</v>
      </c>
      <c r="AR11" s="155" t="s">
        <v>16</v>
      </c>
      <c r="AS11" s="286" t="s">
        <v>153</v>
      </c>
      <c r="AT11" s="138" t="s">
        <v>73</v>
      </c>
      <c r="AU11" s="116"/>
      <c r="AV11" s="227" t="s">
        <v>74</v>
      </c>
      <c r="AW11" s="227" t="s">
        <v>74</v>
      </c>
      <c r="AX11" s="227" t="s">
        <v>74</v>
      </c>
      <c r="AY11" s="227" t="s">
        <v>74</v>
      </c>
      <c r="AZ11" s="227" t="s">
        <v>74</v>
      </c>
      <c r="BA11" s="228" t="s">
        <v>21</v>
      </c>
      <c r="BB11" s="116"/>
      <c r="BC11" s="116"/>
      <c r="BD11" s="140" t="s">
        <v>50</v>
      </c>
      <c r="BE11" s="140" t="s">
        <v>50</v>
      </c>
      <c r="BF11" s="119" t="s">
        <v>18</v>
      </c>
      <c r="BG11" s="69" t="s">
        <v>19</v>
      </c>
      <c r="BH11" s="69" t="s">
        <v>19</v>
      </c>
      <c r="BI11" s="116"/>
      <c r="BJ11" s="154"/>
      <c r="BK11" s="286" t="s">
        <v>153</v>
      </c>
      <c r="BL11" s="384" t="s">
        <v>18</v>
      </c>
      <c r="BM11" s="138" t="s">
        <v>18</v>
      </c>
      <c r="BN11" s="286" t="s">
        <v>153</v>
      </c>
      <c r="BO11" s="303" t="s">
        <v>21</v>
      </c>
      <c r="BP11" s="295" t="s">
        <v>71</v>
      </c>
      <c r="BQ11" s="116"/>
      <c r="BR11" s="140" t="s">
        <v>71</v>
      </c>
      <c r="BS11" s="140" t="s">
        <v>71</v>
      </c>
      <c r="BT11" s="140" t="s">
        <v>71</v>
      </c>
      <c r="BU11" s="308" t="s">
        <v>18</v>
      </c>
      <c r="BV11" s="140" t="s">
        <v>71</v>
      </c>
      <c r="BW11" s="116"/>
      <c r="BX11" s="227" t="s">
        <v>74</v>
      </c>
      <c r="BY11" s="227" t="s">
        <v>74</v>
      </c>
      <c r="BZ11" s="227" t="s">
        <v>74</v>
      </c>
      <c r="CA11" s="227" t="s">
        <v>74</v>
      </c>
      <c r="CB11" s="227" t="s">
        <v>74</v>
      </c>
      <c r="CC11" s="228" t="s">
        <v>21</v>
      </c>
      <c r="CD11" s="116"/>
      <c r="CE11" s="116"/>
      <c r="CF11" s="44" t="s">
        <v>8</v>
      </c>
      <c r="CG11" s="44" t="s">
        <v>8</v>
      </c>
      <c r="CH11" s="138" t="s">
        <v>73</v>
      </c>
      <c r="CI11" s="286" t="s">
        <v>153</v>
      </c>
      <c r="CJ11" s="141" t="s">
        <v>72</v>
      </c>
      <c r="CK11" s="116"/>
      <c r="CL11" s="116"/>
      <c r="CM11" s="140" t="s">
        <v>71</v>
      </c>
      <c r="CN11" s="140" t="s">
        <v>71</v>
      </c>
      <c r="CO11" s="140" t="s">
        <v>71</v>
      </c>
      <c r="CP11" s="140" t="s">
        <v>71</v>
      </c>
      <c r="CQ11" s="319"/>
      <c r="CR11" s="116"/>
      <c r="CS11" s="319"/>
      <c r="CT11" s="319"/>
      <c r="CU11" s="141" t="s">
        <v>72</v>
      </c>
      <c r="CV11" s="141" t="s">
        <v>72</v>
      </c>
      <c r="CW11" s="141" t="s">
        <v>72</v>
      </c>
      <c r="CX11" s="141" t="s">
        <v>72</v>
      </c>
      <c r="CY11" s="287"/>
      <c r="CZ11" s="116"/>
      <c r="DA11" s="140" t="s">
        <v>71</v>
      </c>
      <c r="DB11" s="140" t="s">
        <v>71</v>
      </c>
      <c r="DC11" s="140" t="s">
        <v>71</v>
      </c>
      <c r="DD11" s="140" t="s">
        <v>71</v>
      </c>
      <c r="DE11" s="140" t="s">
        <v>71</v>
      </c>
      <c r="DF11" s="272"/>
      <c r="DG11" s="116"/>
      <c r="DH11" s="286" t="s">
        <v>153</v>
      </c>
      <c r="DI11" s="118" t="s">
        <v>50</v>
      </c>
      <c r="DJ11" s="140" t="s">
        <v>50</v>
      </c>
      <c r="DK11" s="286" t="s">
        <v>153</v>
      </c>
      <c r="DL11" s="300" t="s">
        <v>13</v>
      </c>
      <c r="DM11" s="116"/>
      <c r="DN11" s="227" t="s">
        <v>74</v>
      </c>
      <c r="DO11" s="227" t="s">
        <v>74</v>
      </c>
      <c r="DP11" s="227" t="s">
        <v>74</v>
      </c>
      <c r="DQ11" s="227" t="s">
        <v>74</v>
      </c>
      <c r="DR11" s="227" t="s">
        <v>74</v>
      </c>
      <c r="DS11" s="327"/>
      <c r="DT11" s="116"/>
      <c r="DU11" s="116"/>
      <c r="DV11" s="44" t="s">
        <v>8</v>
      </c>
      <c r="DW11" s="44" t="s">
        <v>8</v>
      </c>
      <c r="DX11" s="44" t="s">
        <v>8</v>
      </c>
      <c r="DY11" s="44" t="s">
        <v>8</v>
      </c>
      <c r="DZ11" s="44" t="s">
        <v>8</v>
      </c>
      <c r="EA11" s="116"/>
      <c r="EB11" s="116"/>
      <c r="EC11" s="133"/>
      <c r="ED11" s="141"/>
      <c r="EE11" s="141"/>
      <c r="EF11" s="319"/>
      <c r="EG11" s="44" t="s">
        <v>8</v>
      </c>
      <c r="EH11" s="116"/>
      <c r="EI11" s="116"/>
      <c r="EJ11" s="133"/>
      <c r="EK11" s="133"/>
      <c r="EL11" s="133"/>
      <c r="EM11" s="133"/>
      <c r="EN11" s="133"/>
      <c r="EO11" s="116"/>
      <c r="EP11" s="319"/>
      <c r="EQ11" s="319"/>
      <c r="ER11" s="227" t="s">
        <v>74</v>
      </c>
      <c r="ES11" s="227" t="s">
        <v>74</v>
      </c>
      <c r="ET11" s="227" t="s">
        <v>74</v>
      </c>
      <c r="EU11" s="228" t="s">
        <v>21</v>
      </c>
      <c r="EV11" s="116"/>
      <c r="EW11" s="116"/>
      <c r="EX11" s="141" t="s">
        <v>72</v>
      </c>
      <c r="EY11" s="141" t="s">
        <v>72</v>
      </c>
      <c r="EZ11" s="141" t="s">
        <v>72</v>
      </c>
      <c r="FA11" s="319"/>
      <c r="FB11" s="141" t="s">
        <v>72</v>
      </c>
      <c r="FC11" s="116"/>
      <c r="FD11" s="116"/>
      <c r="FE11" s="141"/>
      <c r="FF11" s="141"/>
      <c r="FG11" s="141"/>
      <c r="FH11" s="141"/>
      <c r="FI11" s="141"/>
      <c r="FJ11" s="116"/>
      <c r="FK11" s="116"/>
      <c r="FL11" s="44" t="s">
        <v>8</v>
      </c>
      <c r="FM11" s="44" t="s">
        <v>8</v>
      </c>
      <c r="FN11" s="44" t="s">
        <v>8</v>
      </c>
      <c r="FO11" s="44" t="s">
        <v>8</v>
      </c>
      <c r="FP11" s="44" t="s">
        <v>8</v>
      </c>
      <c r="FQ11" s="116"/>
      <c r="FR11" s="116"/>
      <c r="FS11" s="133"/>
      <c r="FT11" s="141"/>
      <c r="FU11" s="141"/>
      <c r="FV11" s="141"/>
      <c r="FW11" s="141"/>
      <c r="FX11" s="116"/>
      <c r="FY11" s="116"/>
      <c r="FZ11" s="44" t="s">
        <v>8</v>
      </c>
      <c r="GA11" s="258"/>
      <c r="GB11" s="210"/>
      <c r="GC11" s="65"/>
      <c r="GD11" s="65"/>
      <c r="GE11" s="65"/>
    </row>
    <row r="12" spans="1:302" ht="28.2" customHeight="1" thickBot="1" x14ac:dyDescent="0.3">
      <c r="B12" s="66" t="s">
        <v>144</v>
      </c>
      <c r="C12" s="362"/>
      <c r="D12" s="279" t="s">
        <v>152</v>
      </c>
      <c r="E12" s="116"/>
      <c r="F12" s="116"/>
      <c r="G12" s="279" t="s">
        <v>152</v>
      </c>
      <c r="H12" s="347"/>
      <c r="I12" s="141" t="s">
        <v>72</v>
      </c>
      <c r="J12" s="141" t="s">
        <v>72</v>
      </c>
      <c r="K12" s="141" t="s">
        <v>72</v>
      </c>
      <c r="L12" s="116"/>
      <c r="M12" s="116"/>
      <c r="N12" s="286" t="s">
        <v>153</v>
      </c>
      <c r="O12" s="138" t="s">
        <v>73</v>
      </c>
      <c r="P12" s="138" t="s">
        <v>73</v>
      </c>
      <c r="Q12" s="286" t="s">
        <v>153</v>
      </c>
      <c r="R12" s="138" t="s">
        <v>73</v>
      </c>
      <c r="S12" s="116"/>
      <c r="T12" s="116"/>
      <c r="U12" s="44" t="s">
        <v>8</v>
      </c>
      <c r="V12" s="44" t="s">
        <v>8</v>
      </c>
      <c r="W12" s="44" t="s">
        <v>8</v>
      </c>
      <c r="X12" s="44" t="s">
        <v>8</v>
      </c>
      <c r="Y12" s="44" t="s">
        <v>8</v>
      </c>
      <c r="Z12" s="116"/>
      <c r="AA12" s="227" t="s">
        <v>74</v>
      </c>
      <c r="AB12" s="227" t="s">
        <v>74</v>
      </c>
      <c r="AC12" s="227" t="s">
        <v>74</v>
      </c>
      <c r="AD12" s="227" t="s">
        <v>74</v>
      </c>
      <c r="AE12" s="227" t="s">
        <v>74</v>
      </c>
      <c r="AF12" s="298" t="s">
        <v>74</v>
      </c>
      <c r="AG12" s="116"/>
      <c r="AH12" s="116"/>
      <c r="AI12" s="141" t="s">
        <v>72</v>
      </c>
      <c r="AJ12" s="141" t="s">
        <v>72</v>
      </c>
      <c r="AK12" s="141" t="s">
        <v>72</v>
      </c>
      <c r="AL12" s="141" t="s">
        <v>72</v>
      </c>
      <c r="AM12" s="141" t="s">
        <v>72</v>
      </c>
      <c r="AN12" s="116"/>
      <c r="AO12" s="116"/>
      <c r="AP12" s="187" t="s">
        <v>13</v>
      </c>
      <c r="AQ12" s="228" t="s">
        <v>21</v>
      </c>
      <c r="AR12" s="138" t="s">
        <v>73</v>
      </c>
      <c r="AS12" s="138" t="s">
        <v>73</v>
      </c>
      <c r="AT12" s="138" t="s">
        <v>18</v>
      </c>
      <c r="AU12" s="295" t="s">
        <v>71</v>
      </c>
      <c r="AV12" s="116"/>
      <c r="AW12" s="140" t="s">
        <v>71</v>
      </c>
      <c r="AX12" s="140" t="s">
        <v>71</v>
      </c>
      <c r="AY12" s="140" t="s">
        <v>71</v>
      </c>
      <c r="AZ12" s="141" t="s">
        <v>72</v>
      </c>
      <c r="BA12" s="187" t="s">
        <v>13</v>
      </c>
      <c r="BB12" s="116"/>
      <c r="BC12" s="116"/>
      <c r="BD12" s="286" t="s">
        <v>153</v>
      </c>
      <c r="BE12" s="69" t="s">
        <v>19</v>
      </c>
      <c r="BF12" s="69" t="s">
        <v>19</v>
      </c>
      <c r="BG12" s="69" t="s">
        <v>19</v>
      </c>
      <c r="BH12" s="69" t="s">
        <v>19</v>
      </c>
      <c r="BI12" s="116"/>
      <c r="BJ12" s="302" t="s">
        <v>74</v>
      </c>
      <c r="BK12" s="302" t="s">
        <v>74</v>
      </c>
      <c r="BL12" s="302" t="s">
        <v>74</v>
      </c>
      <c r="BM12" s="302" t="s">
        <v>74</v>
      </c>
      <c r="BN12" s="302" t="s">
        <v>74</v>
      </c>
      <c r="BO12" s="303" t="s">
        <v>21</v>
      </c>
      <c r="BP12" s="116"/>
      <c r="BQ12" s="116"/>
      <c r="BR12" s="187" t="s">
        <v>13</v>
      </c>
      <c r="BS12" s="141" t="s">
        <v>18</v>
      </c>
      <c r="BT12" s="155" t="s">
        <v>16</v>
      </c>
      <c r="BU12" s="140" t="s">
        <v>71</v>
      </c>
      <c r="BV12" s="187" t="s">
        <v>13</v>
      </c>
      <c r="BW12" s="116"/>
      <c r="BX12" s="116"/>
      <c r="BY12" s="141" t="s">
        <v>72</v>
      </c>
      <c r="BZ12" s="141" t="s">
        <v>72</v>
      </c>
      <c r="CA12" s="141" t="s">
        <v>72</v>
      </c>
      <c r="CB12" s="141" t="s">
        <v>72</v>
      </c>
      <c r="CC12" s="141" t="s">
        <v>72</v>
      </c>
      <c r="CD12" s="116"/>
      <c r="CE12" s="227" t="s">
        <v>74</v>
      </c>
      <c r="CF12" s="227" t="s">
        <v>74</v>
      </c>
      <c r="CG12" s="227" t="s">
        <v>74</v>
      </c>
      <c r="CH12" s="227" t="s">
        <v>74</v>
      </c>
      <c r="CI12" s="227" t="s">
        <v>74</v>
      </c>
      <c r="CJ12" s="298" t="s">
        <v>74</v>
      </c>
      <c r="CK12" s="116"/>
      <c r="CL12" s="116"/>
      <c r="CM12" s="141" t="s">
        <v>72</v>
      </c>
      <c r="CN12" s="141" t="s">
        <v>72</v>
      </c>
      <c r="CO12" s="141" t="s">
        <v>72</v>
      </c>
      <c r="CP12" s="141" t="s">
        <v>72</v>
      </c>
      <c r="CQ12" s="319"/>
      <c r="CR12" s="116"/>
      <c r="CS12" s="319"/>
      <c r="CT12" s="319"/>
      <c r="CU12" s="138" t="s">
        <v>73</v>
      </c>
      <c r="CV12" s="138" t="s">
        <v>73</v>
      </c>
      <c r="CW12" s="138" t="s">
        <v>73</v>
      </c>
      <c r="CX12" s="138" t="s">
        <v>73</v>
      </c>
      <c r="CY12" s="116"/>
      <c r="CZ12" s="116"/>
      <c r="DA12" s="229" t="s">
        <v>18</v>
      </c>
      <c r="DB12" s="229" t="s">
        <v>18</v>
      </c>
      <c r="DC12" s="155" t="s">
        <v>16</v>
      </c>
      <c r="DD12" s="187" t="s">
        <v>13</v>
      </c>
      <c r="DE12" s="187" t="s">
        <v>13</v>
      </c>
      <c r="DF12" s="272"/>
      <c r="DG12" s="116"/>
      <c r="DH12" s="141" t="s">
        <v>72</v>
      </c>
      <c r="DI12" s="141" t="s">
        <v>72</v>
      </c>
      <c r="DJ12" s="141" t="s">
        <v>72</v>
      </c>
      <c r="DK12" s="141" t="s">
        <v>72</v>
      </c>
      <c r="DL12" s="141" t="s">
        <v>72</v>
      </c>
      <c r="DM12" s="116"/>
      <c r="DN12" s="116"/>
      <c r="DO12" s="44" t="s">
        <v>8</v>
      </c>
      <c r="DP12" s="44" t="s">
        <v>8</v>
      </c>
      <c r="DQ12" s="44" t="s">
        <v>8</v>
      </c>
      <c r="DR12" s="44" t="s">
        <v>8</v>
      </c>
      <c r="DS12" s="327"/>
      <c r="DT12" s="116"/>
      <c r="DU12" s="227" t="s">
        <v>74</v>
      </c>
      <c r="DV12" s="227" t="s">
        <v>74</v>
      </c>
      <c r="DW12" s="227" t="s">
        <v>74</v>
      </c>
      <c r="DX12" s="227" t="s">
        <v>74</v>
      </c>
      <c r="DY12" s="227" t="s">
        <v>74</v>
      </c>
      <c r="DZ12" s="228" t="s">
        <v>21</v>
      </c>
      <c r="EA12" s="116"/>
      <c r="EB12" s="116"/>
      <c r="EC12" s="141" t="s">
        <v>72</v>
      </c>
      <c r="ED12" s="141" t="s">
        <v>72</v>
      </c>
      <c r="EE12" s="141" t="s">
        <v>72</v>
      </c>
      <c r="EF12" s="319"/>
      <c r="EG12" s="141" t="s">
        <v>72</v>
      </c>
      <c r="EH12" s="116"/>
      <c r="EI12" s="116"/>
      <c r="EJ12" s="133"/>
      <c r="EK12" s="140"/>
      <c r="EL12" s="140"/>
      <c r="EM12" s="140"/>
      <c r="EN12" s="140"/>
      <c r="EO12" s="116"/>
      <c r="EP12" s="319"/>
      <c r="EQ12" s="319"/>
      <c r="ER12" s="140"/>
      <c r="ES12" s="140"/>
      <c r="ET12" s="140"/>
      <c r="EU12" s="140"/>
      <c r="EV12" s="116"/>
      <c r="EW12" s="116"/>
      <c r="EX12" s="133"/>
      <c r="EY12" s="140"/>
      <c r="EZ12" s="140"/>
      <c r="FA12" s="319"/>
      <c r="FB12" s="140"/>
      <c r="FC12" s="116"/>
      <c r="FD12" s="116"/>
      <c r="FE12" s="140"/>
      <c r="FF12" s="140"/>
      <c r="FG12" s="69" t="s">
        <v>19</v>
      </c>
      <c r="FH12" s="69" t="s">
        <v>19</v>
      </c>
      <c r="FI12" s="69" t="s">
        <v>19</v>
      </c>
      <c r="FJ12" s="116"/>
      <c r="FK12" s="227" t="s">
        <v>74</v>
      </c>
      <c r="FL12" s="227" t="s">
        <v>74</v>
      </c>
      <c r="FM12" s="227" t="s">
        <v>74</v>
      </c>
      <c r="FN12" s="227" t="s">
        <v>74</v>
      </c>
      <c r="FO12" s="227" t="s">
        <v>74</v>
      </c>
      <c r="FP12" s="228" t="s">
        <v>21</v>
      </c>
      <c r="FQ12" s="116"/>
      <c r="FR12" s="116"/>
      <c r="FS12" s="141" t="s">
        <v>72</v>
      </c>
      <c r="FT12" s="141" t="s">
        <v>72</v>
      </c>
      <c r="FU12" s="141" t="s">
        <v>72</v>
      </c>
      <c r="FV12" s="141" t="s">
        <v>72</v>
      </c>
      <c r="FW12" s="141" t="s">
        <v>72</v>
      </c>
      <c r="FX12" s="116"/>
      <c r="FY12" s="116"/>
      <c r="FZ12" s="133"/>
      <c r="GA12" s="205"/>
      <c r="GB12" s="210"/>
      <c r="GC12" s="65"/>
      <c r="GD12" s="65"/>
      <c r="GE12" s="65"/>
    </row>
    <row r="13" spans="1:302" ht="28.2" customHeight="1" thickBot="1" x14ac:dyDescent="0.3">
      <c r="B13" s="66" t="s">
        <v>150</v>
      </c>
      <c r="C13" s="362"/>
      <c r="D13" s="279" t="s">
        <v>152</v>
      </c>
      <c r="E13" s="116"/>
      <c r="F13" s="116"/>
      <c r="G13" s="187" t="s">
        <v>13</v>
      </c>
      <c r="H13" s="347"/>
      <c r="I13" s="140" t="s">
        <v>71</v>
      </c>
      <c r="J13" s="140" t="s">
        <v>71</v>
      </c>
      <c r="K13" s="140" t="s">
        <v>71</v>
      </c>
      <c r="L13" s="116"/>
      <c r="M13" s="116"/>
      <c r="N13" s="228" t="s">
        <v>21</v>
      </c>
      <c r="O13" s="118" t="s">
        <v>50</v>
      </c>
      <c r="P13" s="140" t="s">
        <v>50</v>
      </c>
      <c r="Q13" s="140" t="s">
        <v>50</v>
      </c>
      <c r="R13" s="140" t="s">
        <v>50</v>
      </c>
      <c r="S13" s="295" t="s">
        <v>71</v>
      </c>
      <c r="T13" s="116"/>
      <c r="U13" s="140" t="s">
        <v>71</v>
      </c>
      <c r="V13" s="140" t="s">
        <v>71</v>
      </c>
      <c r="W13" s="140" t="s">
        <v>71</v>
      </c>
      <c r="X13" s="140" t="s">
        <v>71</v>
      </c>
      <c r="Y13" s="140" t="s">
        <v>71</v>
      </c>
      <c r="Z13" s="116"/>
      <c r="AA13" s="116"/>
      <c r="AB13" s="286" t="s">
        <v>153</v>
      </c>
      <c r="AC13" s="138" t="s">
        <v>73</v>
      </c>
      <c r="AD13" s="138" t="s">
        <v>73</v>
      </c>
      <c r="AE13" s="286" t="s">
        <v>153</v>
      </c>
      <c r="AF13" s="138" t="s">
        <v>73</v>
      </c>
      <c r="AG13" s="116"/>
      <c r="AH13" s="116"/>
      <c r="AI13" s="187" t="s">
        <v>13</v>
      </c>
      <c r="AJ13" s="228" t="s">
        <v>21</v>
      </c>
      <c r="AK13" s="140" t="s">
        <v>71</v>
      </c>
      <c r="AL13" s="140" t="s">
        <v>71</v>
      </c>
      <c r="AM13" s="140" t="s">
        <v>71</v>
      </c>
      <c r="AN13" s="295" t="s">
        <v>71</v>
      </c>
      <c r="AO13" s="116"/>
      <c r="AP13" s="140" t="s">
        <v>71</v>
      </c>
      <c r="AQ13" s="140" t="s">
        <v>71</v>
      </c>
      <c r="AR13" s="140" t="s">
        <v>71</v>
      </c>
      <c r="AS13" s="140" t="s">
        <v>71</v>
      </c>
      <c r="AT13" s="140" t="s">
        <v>71</v>
      </c>
      <c r="AU13" s="116"/>
      <c r="AV13" s="227" t="s">
        <v>74</v>
      </c>
      <c r="AW13" s="227" t="s">
        <v>74</v>
      </c>
      <c r="AX13" s="227" t="s">
        <v>74</v>
      </c>
      <c r="AY13" s="227" t="s">
        <v>74</v>
      </c>
      <c r="AZ13" s="227" t="s">
        <v>74</v>
      </c>
      <c r="BA13" s="228" t="s">
        <v>21</v>
      </c>
      <c r="BB13" s="116"/>
      <c r="BC13" s="116"/>
      <c r="BD13" s="141" t="s">
        <v>72</v>
      </c>
      <c r="BE13" s="141" t="s">
        <v>72</v>
      </c>
      <c r="BF13" s="141" t="s">
        <v>72</v>
      </c>
      <c r="BG13" s="141" t="s">
        <v>72</v>
      </c>
      <c r="BH13" s="141" t="s">
        <v>72</v>
      </c>
      <c r="BI13" s="116"/>
      <c r="BJ13" s="116"/>
      <c r="BK13" s="140" t="s">
        <v>50</v>
      </c>
      <c r="BL13" s="118" t="s">
        <v>50</v>
      </c>
      <c r="BM13" s="138" t="s">
        <v>73</v>
      </c>
      <c r="BN13" s="138" t="s">
        <v>73</v>
      </c>
      <c r="BO13" s="138" t="s">
        <v>73</v>
      </c>
      <c r="BP13" s="116"/>
      <c r="BQ13" s="116"/>
      <c r="BR13" s="303" t="s">
        <v>21</v>
      </c>
      <c r="BS13" s="187" t="s">
        <v>13</v>
      </c>
      <c r="BT13" s="138" t="s">
        <v>75</v>
      </c>
      <c r="BU13" s="138" t="s">
        <v>75</v>
      </c>
      <c r="BV13" s="138" t="s">
        <v>75</v>
      </c>
      <c r="BW13" s="295" t="s">
        <v>71</v>
      </c>
      <c r="BX13" s="116"/>
      <c r="BY13" s="140" t="s">
        <v>50</v>
      </c>
      <c r="BZ13" s="118" t="s">
        <v>50</v>
      </c>
      <c r="CA13" s="140" t="s">
        <v>50</v>
      </c>
      <c r="CB13" s="69" t="s">
        <v>19</v>
      </c>
      <c r="CC13" s="69" t="s">
        <v>19</v>
      </c>
      <c r="CD13" s="116"/>
      <c r="CE13" s="116"/>
      <c r="CF13" s="187" t="s">
        <v>13</v>
      </c>
      <c r="CG13" s="118" t="s">
        <v>50</v>
      </c>
      <c r="CH13" s="140" t="s">
        <v>71</v>
      </c>
      <c r="CI13" s="44" t="s">
        <v>8</v>
      </c>
      <c r="CJ13" s="44" t="s">
        <v>8</v>
      </c>
      <c r="CK13" s="116"/>
      <c r="CL13" s="227" t="s">
        <v>74</v>
      </c>
      <c r="CM13" s="227" t="s">
        <v>74</v>
      </c>
      <c r="CN13" s="227" t="s">
        <v>74</v>
      </c>
      <c r="CO13" s="227" t="s">
        <v>74</v>
      </c>
      <c r="CP13" s="228" t="s">
        <v>21</v>
      </c>
      <c r="CQ13" s="319"/>
      <c r="CR13" s="116"/>
      <c r="CS13" s="319"/>
      <c r="CT13" s="319"/>
      <c r="CU13" s="286" t="s">
        <v>153</v>
      </c>
      <c r="CV13" s="118" t="s">
        <v>50</v>
      </c>
      <c r="CW13" s="140" t="s">
        <v>50</v>
      </c>
      <c r="CX13" s="286" t="s">
        <v>153</v>
      </c>
      <c r="CY13" s="116"/>
      <c r="CZ13" s="116"/>
      <c r="DA13" s="138" t="s">
        <v>73</v>
      </c>
      <c r="DB13" s="138" t="s">
        <v>73</v>
      </c>
      <c r="DC13" s="138" t="s">
        <v>73</v>
      </c>
      <c r="DD13" s="138" t="s">
        <v>73</v>
      </c>
      <c r="DE13" s="138" t="s">
        <v>73</v>
      </c>
      <c r="DF13" s="272"/>
      <c r="DG13" s="116"/>
      <c r="DH13" s="44" t="s">
        <v>8</v>
      </c>
      <c r="DI13" s="44" t="s">
        <v>8</v>
      </c>
      <c r="DJ13" s="44" t="s">
        <v>8</v>
      </c>
      <c r="DK13" s="44" t="s">
        <v>8</v>
      </c>
      <c r="DL13" s="44" t="s">
        <v>8</v>
      </c>
      <c r="DM13" s="116"/>
      <c r="DN13" s="116"/>
      <c r="DO13" s="44" t="s">
        <v>8</v>
      </c>
      <c r="DP13" s="44" t="s">
        <v>8</v>
      </c>
      <c r="DQ13" s="44" t="s">
        <v>8</v>
      </c>
      <c r="DR13" s="44" t="s">
        <v>8</v>
      </c>
      <c r="DS13" s="327"/>
      <c r="DT13" s="116"/>
      <c r="DU13" s="116"/>
      <c r="DV13" s="44" t="s">
        <v>8</v>
      </c>
      <c r="DW13" s="44" t="s">
        <v>8</v>
      </c>
      <c r="DX13" s="44" t="s">
        <v>8</v>
      </c>
      <c r="DY13" s="44" t="s">
        <v>8</v>
      </c>
      <c r="DZ13" s="44" t="s">
        <v>8</v>
      </c>
      <c r="EA13" s="116"/>
      <c r="EB13" s="227" t="s">
        <v>74</v>
      </c>
      <c r="EC13" s="227" t="s">
        <v>74</v>
      </c>
      <c r="ED13" s="227" t="s">
        <v>74</v>
      </c>
      <c r="EE13" s="227" t="s">
        <v>74</v>
      </c>
      <c r="EF13" s="319"/>
      <c r="EG13" s="228" t="s">
        <v>21</v>
      </c>
      <c r="EH13" s="116"/>
      <c r="EI13" s="116"/>
      <c r="EJ13" s="140"/>
      <c r="EK13" s="140"/>
      <c r="EL13" s="140"/>
      <c r="EM13" s="140"/>
      <c r="EN13" s="44" t="s">
        <v>8</v>
      </c>
      <c r="EO13" s="116"/>
      <c r="EP13" s="319"/>
      <c r="EQ13" s="319"/>
      <c r="ER13" s="259"/>
      <c r="ES13" s="259"/>
      <c r="ET13" s="176"/>
      <c r="EU13" s="259"/>
      <c r="EV13" s="116"/>
      <c r="EW13" s="116"/>
      <c r="EX13" s="122"/>
      <c r="EY13" s="197"/>
      <c r="EZ13" s="197"/>
      <c r="FA13" s="319"/>
      <c r="FB13" s="193"/>
      <c r="FC13" s="116"/>
      <c r="FD13" s="116"/>
      <c r="FE13" s="194"/>
      <c r="FF13" s="194"/>
      <c r="FG13" s="194"/>
      <c r="FH13" s="194"/>
      <c r="FI13" s="194"/>
      <c r="FJ13" s="116"/>
      <c r="FK13" s="116"/>
      <c r="FL13" s="122"/>
      <c r="FM13" s="141"/>
      <c r="FN13" s="141"/>
      <c r="FO13" s="141"/>
      <c r="FP13" s="141"/>
      <c r="FQ13" s="116"/>
      <c r="FR13" s="227" t="s">
        <v>74</v>
      </c>
      <c r="FS13" s="227" t="s">
        <v>74</v>
      </c>
      <c r="FT13" s="227" t="s">
        <v>74</v>
      </c>
      <c r="FU13" s="227" t="s">
        <v>74</v>
      </c>
      <c r="FV13" s="227" t="s">
        <v>74</v>
      </c>
      <c r="FW13" s="228" t="s">
        <v>21</v>
      </c>
      <c r="FX13" s="116"/>
      <c r="FY13" s="116"/>
      <c r="FZ13" s="141" t="s">
        <v>72</v>
      </c>
      <c r="GA13" s="141" t="s">
        <v>72</v>
      </c>
      <c r="GB13" s="211"/>
      <c r="GD13" s="65"/>
      <c r="GE13" s="65"/>
    </row>
    <row r="14" spans="1:302" ht="28.2" customHeight="1" thickBot="1" x14ac:dyDescent="0.3">
      <c r="B14" s="157" t="s">
        <v>151</v>
      </c>
      <c r="C14" s="362"/>
      <c r="D14" s="288"/>
      <c r="E14" s="116"/>
      <c r="F14" s="116"/>
      <c r="G14" s="288"/>
      <c r="H14" s="347"/>
      <c r="I14" s="288"/>
      <c r="J14" s="288"/>
      <c r="K14" s="288"/>
      <c r="L14" s="116"/>
      <c r="M14" s="116"/>
      <c r="N14" s="288"/>
      <c r="O14" s="288"/>
      <c r="P14" s="288"/>
      <c r="Q14" s="288"/>
      <c r="R14" s="288"/>
      <c r="S14" s="116"/>
      <c r="T14" s="116"/>
      <c r="U14" s="288"/>
      <c r="V14" s="288"/>
      <c r="W14" s="288"/>
      <c r="X14" s="288"/>
      <c r="Y14" s="288"/>
      <c r="Z14" s="116"/>
      <c r="AA14" s="116"/>
      <c r="AB14" s="288"/>
      <c r="AC14" s="288"/>
      <c r="AD14" s="288"/>
      <c r="AE14" s="288"/>
      <c r="AF14" s="288"/>
      <c r="AG14" s="116"/>
      <c r="AH14" s="116"/>
      <c r="AI14" s="144" t="s">
        <v>155</v>
      </c>
      <c r="AJ14" s="118" t="s">
        <v>50</v>
      </c>
      <c r="AK14" s="140" t="s">
        <v>50</v>
      </c>
      <c r="AL14" s="140" t="s">
        <v>50</v>
      </c>
      <c r="AM14" s="140" t="s">
        <v>50</v>
      </c>
      <c r="AN14" s="116"/>
      <c r="AO14" s="116"/>
      <c r="AP14" s="140" t="s">
        <v>50</v>
      </c>
      <c r="AQ14" s="118" t="s">
        <v>50</v>
      </c>
      <c r="AR14" s="140" t="s">
        <v>50</v>
      </c>
      <c r="AS14" s="140" t="s">
        <v>50</v>
      </c>
      <c r="AT14" s="140" t="s">
        <v>50</v>
      </c>
      <c r="AU14" s="116"/>
      <c r="AV14" s="116"/>
      <c r="AW14" s="187" t="s">
        <v>13</v>
      </c>
      <c r="AX14" s="118" t="s">
        <v>50</v>
      </c>
      <c r="AY14" s="140" t="s">
        <v>50</v>
      </c>
      <c r="AZ14" s="140" t="s">
        <v>71</v>
      </c>
      <c r="BA14" s="140" t="s">
        <v>50</v>
      </c>
      <c r="BB14" s="116"/>
      <c r="BC14" s="116"/>
      <c r="BD14" s="141" t="s">
        <v>154</v>
      </c>
      <c r="BE14" s="141" t="s">
        <v>154</v>
      </c>
      <c r="BF14" s="141" t="s">
        <v>154</v>
      </c>
      <c r="BG14" s="141" t="s">
        <v>154</v>
      </c>
      <c r="BH14" s="141" t="s">
        <v>154</v>
      </c>
      <c r="BI14" s="116"/>
      <c r="BJ14" s="116"/>
      <c r="BK14" s="140" t="s">
        <v>71</v>
      </c>
      <c r="BL14" s="140" t="s">
        <v>71</v>
      </c>
      <c r="BM14" s="140" t="s">
        <v>71</v>
      </c>
      <c r="BN14" s="140" t="s">
        <v>71</v>
      </c>
      <c r="BO14" s="140" t="s">
        <v>71</v>
      </c>
      <c r="BP14" s="116"/>
      <c r="BQ14" s="116"/>
      <c r="BR14" s="141" t="s">
        <v>72</v>
      </c>
      <c r="BS14" s="141" t="s">
        <v>72</v>
      </c>
      <c r="BT14" s="141" t="s">
        <v>72</v>
      </c>
      <c r="BU14" s="141" t="s">
        <v>72</v>
      </c>
      <c r="BV14" s="141" t="s">
        <v>72</v>
      </c>
      <c r="BW14" s="116"/>
      <c r="BX14" s="116"/>
      <c r="BY14" s="140" t="s">
        <v>71</v>
      </c>
      <c r="BZ14" s="140" t="s">
        <v>71</v>
      </c>
      <c r="CA14" s="140" t="s">
        <v>71</v>
      </c>
      <c r="CB14" s="69" t="s">
        <v>19</v>
      </c>
      <c r="CC14" s="69" t="s">
        <v>19</v>
      </c>
      <c r="CD14" s="116"/>
      <c r="CE14" s="116"/>
      <c r="CF14" s="141" t="s">
        <v>72</v>
      </c>
      <c r="CG14" s="141" t="s">
        <v>72</v>
      </c>
      <c r="CH14" s="141" t="s">
        <v>72</v>
      </c>
      <c r="CI14" s="141" t="s">
        <v>72</v>
      </c>
      <c r="CJ14" s="44" t="s">
        <v>8</v>
      </c>
      <c r="CK14" s="116"/>
      <c r="CL14" s="116"/>
      <c r="CM14" s="227" t="s">
        <v>74</v>
      </c>
      <c r="CN14" s="227" t="s">
        <v>74</v>
      </c>
      <c r="CO14" s="227" t="s">
        <v>74</v>
      </c>
      <c r="CP14" s="227" t="s">
        <v>74</v>
      </c>
      <c r="CQ14" s="319"/>
      <c r="CR14" s="116"/>
      <c r="CS14" s="319"/>
      <c r="CT14" s="319"/>
      <c r="CU14" s="140" t="s">
        <v>71</v>
      </c>
      <c r="CV14" s="140" t="s">
        <v>71</v>
      </c>
      <c r="CW14" s="140" t="s">
        <v>71</v>
      </c>
      <c r="CX14" s="140" t="s">
        <v>71</v>
      </c>
      <c r="CY14" s="116"/>
      <c r="CZ14" s="116"/>
      <c r="DA14" s="140" t="s">
        <v>50</v>
      </c>
      <c r="DB14" s="118" t="s">
        <v>50</v>
      </c>
      <c r="DC14" s="140" t="s">
        <v>50</v>
      </c>
      <c r="DD14" s="140" t="s">
        <v>50</v>
      </c>
      <c r="DE14" s="140" t="s">
        <v>50</v>
      </c>
      <c r="DF14" s="272"/>
      <c r="DG14" s="227" t="s">
        <v>74</v>
      </c>
      <c r="DH14" s="227" t="s">
        <v>74</v>
      </c>
      <c r="DI14" s="227" t="s">
        <v>74</v>
      </c>
      <c r="DJ14" s="227" t="s">
        <v>74</v>
      </c>
      <c r="DK14" s="227" t="s">
        <v>74</v>
      </c>
      <c r="DL14" s="228" t="s">
        <v>21</v>
      </c>
      <c r="DM14" s="116"/>
      <c r="DN14" s="116"/>
      <c r="DO14" s="141" t="s">
        <v>72</v>
      </c>
      <c r="DP14" s="141" t="s">
        <v>72</v>
      </c>
      <c r="DQ14" s="141" t="s">
        <v>72</v>
      </c>
      <c r="DR14" s="141" t="s">
        <v>72</v>
      </c>
      <c r="DS14" s="327"/>
      <c r="DT14" s="116"/>
      <c r="DU14" s="116"/>
      <c r="DV14" s="164"/>
      <c r="DW14" s="164"/>
      <c r="DX14" s="164"/>
      <c r="DY14" s="164"/>
      <c r="DZ14" s="164"/>
      <c r="EA14" s="116"/>
      <c r="EB14" s="116"/>
      <c r="EC14" s="122"/>
      <c r="ED14" s="140"/>
      <c r="EE14" s="141"/>
      <c r="EF14" s="319"/>
      <c r="EG14" s="141"/>
      <c r="EH14" s="116"/>
      <c r="EI14" s="116"/>
      <c r="EJ14" s="122"/>
      <c r="EK14" s="140"/>
      <c r="EL14" s="141"/>
      <c r="EM14" s="140"/>
      <c r="EN14" s="176"/>
      <c r="EO14" s="116"/>
      <c r="EP14" s="319"/>
      <c r="EQ14" s="319"/>
      <c r="ER14" s="138"/>
      <c r="ES14" s="138"/>
      <c r="ET14" s="138"/>
      <c r="EU14" s="138"/>
      <c r="EV14" s="116"/>
      <c r="EW14" s="116"/>
      <c r="EX14" s="122"/>
      <c r="EY14" s="197"/>
      <c r="EZ14" s="197"/>
      <c r="FA14" s="319"/>
      <c r="FB14" s="141"/>
      <c r="FC14" s="116"/>
      <c r="FD14" s="227" t="s">
        <v>74</v>
      </c>
      <c r="FE14" s="227" t="s">
        <v>74</v>
      </c>
      <c r="FF14" s="227" t="s">
        <v>74</v>
      </c>
      <c r="FG14" s="227" t="s">
        <v>74</v>
      </c>
      <c r="FH14" s="227" t="s">
        <v>74</v>
      </c>
      <c r="FI14" s="228" t="s">
        <v>21</v>
      </c>
      <c r="FJ14" s="116"/>
      <c r="FK14" s="116"/>
      <c r="FL14" s="141" t="s">
        <v>72</v>
      </c>
      <c r="FM14" s="141" t="s">
        <v>72</v>
      </c>
      <c r="FN14" s="141" t="s">
        <v>72</v>
      </c>
      <c r="FO14" s="141" t="s">
        <v>72</v>
      </c>
      <c r="FP14" s="141" t="s">
        <v>72</v>
      </c>
      <c r="FQ14" s="116"/>
      <c r="FR14" s="116"/>
      <c r="FS14" s="122"/>
      <c r="FT14" s="140"/>
      <c r="FU14" s="257"/>
      <c r="FV14" s="140"/>
      <c r="FW14" s="140"/>
      <c r="FX14" s="116"/>
      <c r="FY14" s="116"/>
      <c r="FZ14" s="122"/>
      <c r="GA14" s="140"/>
      <c r="GB14" s="210"/>
      <c r="GC14" s="65"/>
      <c r="GD14" s="65"/>
      <c r="GE14" s="65"/>
    </row>
    <row r="15" spans="1:302" ht="28.2" customHeight="1" thickBot="1" x14ac:dyDescent="0.3">
      <c r="B15" s="157" t="s">
        <v>12</v>
      </c>
      <c r="C15" s="362"/>
      <c r="D15" s="279" t="s">
        <v>152</v>
      </c>
      <c r="E15" s="116"/>
      <c r="F15" s="116"/>
      <c r="G15" s="279" t="s">
        <v>152</v>
      </c>
      <c r="H15" s="347"/>
      <c r="I15" s="187" t="s">
        <v>13</v>
      </c>
      <c r="J15" s="286" t="s">
        <v>153</v>
      </c>
      <c r="K15" s="187" t="s">
        <v>13</v>
      </c>
      <c r="L15" s="116"/>
      <c r="M15" s="116"/>
      <c r="N15" s="138" t="s">
        <v>73</v>
      </c>
      <c r="O15" s="187" t="s">
        <v>13</v>
      </c>
      <c r="P15" s="187" t="s">
        <v>13</v>
      </c>
      <c r="Q15" s="138" t="s">
        <v>73</v>
      </c>
      <c r="R15" s="289" t="s">
        <v>13</v>
      </c>
      <c r="S15" s="287"/>
      <c r="T15" s="116"/>
      <c r="U15" s="286" t="s">
        <v>153</v>
      </c>
      <c r="V15" s="187" t="s">
        <v>13</v>
      </c>
      <c r="W15" s="187" t="s">
        <v>13</v>
      </c>
      <c r="X15" s="286" t="s">
        <v>153</v>
      </c>
      <c r="Y15" s="187" t="s">
        <v>13</v>
      </c>
      <c r="Z15" s="116"/>
      <c r="AA15" s="116"/>
      <c r="AB15" s="138" t="s">
        <v>73</v>
      </c>
      <c r="AC15" s="138" t="s">
        <v>73</v>
      </c>
      <c r="AD15" s="187" t="s">
        <v>13</v>
      </c>
      <c r="AE15" s="138" t="s">
        <v>73</v>
      </c>
      <c r="AF15" s="187" t="s">
        <v>13</v>
      </c>
      <c r="AG15" s="116"/>
      <c r="AH15" s="116"/>
      <c r="AI15" s="140" t="s">
        <v>50</v>
      </c>
      <c r="AJ15" s="145" t="s">
        <v>76</v>
      </c>
      <c r="AK15" s="145" t="s">
        <v>76</v>
      </c>
      <c r="AL15" s="145" t="s">
        <v>76</v>
      </c>
      <c r="AM15" s="145" t="s">
        <v>76</v>
      </c>
      <c r="AN15" s="116"/>
      <c r="AO15" s="116"/>
      <c r="AP15" s="138" t="s">
        <v>73</v>
      </c>
      <c r="AQ15" s="138" t="s">
        <v>73</v>
      </c>
      <c r="AR15" s="187" t="s">
        <v>13</v>
      </c>
      <c r="AS15" s="187" t="s">
        <v>13</v>
      </c>
      <c r="AT15" s="187" t="s">
        <v>13</v>
      </c>
      <c r="AU15" s="116"/>
      <c r="AV15" s="116"/>
      <c r="AW15" s="286" t="s">
        <v>153</v>
      </c>
      <c r="AX15" s="138" t="s">
        <v>73</v>
      </c>
      <c r="AY15" s="187" t="s">
        <v>13</v>
      </c>
      <c r="AZ15" s="286" t="s">
        <v>153</v>
      </c>
      <c r="BA15" s="138" t="s">
        <v>73</v>
      </c>
      <c r="BB15" s="116"/>
      <c r="BC15" s="116"/>
      <c r="BD15" s="187" t="s">
        <v>13</v>
      </c>
      <c r="BE15" s="187" t="s">
        <v>13</v>
      </c>
      <c r="BF15" s="286" t="s">
        <v>153</v>
      </c>
      <c r="BG15" s="69" t="s">
        <v>19</v>
      </c>
      <c r="BH15" s="69" t="s">
        <v>19</v>
      </c>
      <c r="BI15" s="116"/>
      <c r="BJ15" s="154"/>
      <c r="BK15" s="138" t="s">
        <v>75</v>
      </c>
      <c r="BL15" s="138" t="s">
        <v>75</v>
      </c>
      <c r="BM15" s="155" t="s">
        <v>16</v>
      </c>
      <c r="BN15" s="187" t="s">
        <v>13</v>
      </c>
      <c r="BO15" s="187" t="s">
        <v>13</v>
      </c>
      <c r="BP15" s="116"/>
      <c r="BQ15" s="116"/>
      <c r="BR15" s="138" t="s">
        <v>75</v>
      </c>
      <c r="BS15" s="138" t="s">
        <v>75</v>
      </c>
      <c r="BT15" s="187" t="s">
        <v>13</v>
      </c>
      <c r="BU15" s="187" t="s">
        <v>13</v>
      </c>
      <c r="BV15" s="187" t="s">
        <v>13</v>
      </c>
      <c r="BW15" s="116"/>
      <c r="BX15" s="116"/>
      <c r="BY15" s="187" t="s">
        <v>13</v>
      </c>
      <c r="BZ15" s="187" t="s">
        <v>13</v>
      </c>
      <c r="CA15" s="187" t="s">
        <v>13</v>
      </c>
      <c r="CB15" s="140" t="s">
        <v>50</v>
      </c>
      <c r="CC15" s="140" t="s">
        <v>50</v>
      </c>
      <c r="CD15" s="116"/>
      <c r="CE15" s="116"/>
      <c r="CF15" s="286" t="s">
        <v>153</v>
      </c>
      <c r="CG15" s="138" t="s">
        <v>73</v>
      </c>
      <c r="CH15" s="300" t="s">
        <v>13</v>
      </c>
      <c r="CI15" s="300" t="s">
        <v>13</v>
      </c>
      <c r="CJ15" s="187" t="s">
        <v>13</v>
      </c>
      <c r="CK15" s="116"/>
      <c r="CL15" s="116"/>
      <c r="CM15" s="187" t="s">
        <v>13</v>
      </c>
      <c r="CN15" s="187" t="s">
        <v>13</v>
      </c>
      <c r="CO15" s="138" t="s">
        <v>73</v>
      </c>
      <c r="CP15" s="138" t="s">
        <v>73</v>
      </c>
      <c r="CQ15" s="319"/>
      <c r="CR15" s="116"/>
      <c r="CS15" s="319"/>
      <c r="CT15" s="319"/>
      <c r="CU15" s="44" t="s">
        <v>8</v>
      </c>
      <c r="CV15" s="44" t="s">
        <v>8</v>
      </c>
      <c r="CW15" s="44" t="s">
        <v>8</v>
      </c>
      <c r="CX15" s="44" t="s">
        <v>8</v>
      </c>
      <c r="CY15" s="116"/>
      <c r="CZ15" s="116"/>
      <c r="DA15" s="286" t="s">
        <v>153</v>
      </c>
      <c r="DB15" s="187" t="s">
        <v>13</v>
      </c>
      <c r="DC15" s="187" t="s">
        <v>13</v>
      </c>
      <c r="DD15" s="286" t="s">
        <v>153</v>
      </c>
      <c r="DE15" s="187" t="s">
        <v>13</v>
      </c>
      <c r="DF15" s="272"/>
      <c r="DG15" s="154"/>
      <c r="DH15" s="187" t="s">
        <v>13</v>
      </c>
      <c r="DI15" s="187" t="s">
        <v>13</v>
      </c>
      <c r="DJ15" s="155" t="s">
        <v>16</v>
      </c>
      <c r="DK15" s="138" t="s">
        <v>73</v>
      </c>
      <c r="DL15" s="300" t="s">
        <v>13</v>
      </c>
      <c r="DM15" s="116"/>
      <c r="DN15" s="116"/>
      <c r="DO15" s="187" t="s">
        <v>13</v>
      </c>
      <c r="DP15" s="119" t="s">
        <v>18</v>
      </c>
      <c r="DQ15" s="187" t="s">
        <v>13</v>
      </c>
      <c r="DR15" s="187" t="s">
        <v>13</v>
      </c>
      <c r="DS15" s="327"/>
      <c r="DT15" s="116"/>
      <c r="DU15" s="116"/>
      <c r="DV15" s="164"/>
      <c r="DW15" s="195"/>
      <c r="DX15" s="195"/>
      <c r="DY15" s="196"/>
      <c r="DZ15" s="197"/>
      <c r="EA15" s="116"/>
      <c r="EB15" s="116"/>
      <c r="EC15" s="164"/>
      <c r="ED15" s="141"/>
      <c r="EE15" s="195"/>
      <c r="EF15" s="319"/>
      <c r="EG15" s="195"/>
      <c r="EH15" s="116"/>
      <c r="EI15" s="116"/>
      <c r="EJ15" s="164"/>
      <c r="EK15" s="141"/>
      <c r="EL15" s="195"/>
      <c r="EM15" s="195"/>
      <c r="EN15" s="256"/>
      <c r="EO15" s="116"/>
      <c r="EP15" s="319"/>
      <c r="EQ15" s="319"/>
      <c r="ER15" s="44" t="s">
        <v>8</v>
      </c>
      <c r="ES15" s="44" t="s">
        <v>8</v>
      </c>
      <c r="ET15" s="44" t="s">
        <v>8</v>
      </c>
      <c r="EU15" s="44" t="s">
        <v>8</v>
      </c>
      <c r="EV15" s="116"/>
      <c r="EW15" s="116"/>
      <c r="EX15" s="44" t="s">
        <v>8</v>
      </c>
      <c r="EY15" s="44" t="s">
        <v>8</v>
      </c>
      <c r="EZ15" s="44" t="s">
        <v>8</v>
      </c>
      <c r="FA15" s="319"/>
      <c r="FB15" s="44" t="s">
        <v>8</v>
      </c>
      <c r="FC15" s="116"/>
      <c r="FD15" s="116"/>
      <c r="FE15" s="259"/>
      <c r="FF15" s="259"/>
      <c r="FG15" s="69" t="s">
        <v>19</v>
      </c>
      <c r="FH15" s="69" t="s">
        <v>19</v>
      </c>
      <c r="FI15" s="69" t="s">
        <v>19</v>
      </c>
      <c r="FJ15" s="116"/>
      <c r="FK15" s="116"/>
      <c r="FL15" s="164"/>
      <c r="FM15" s="259"/>
      <c r="FN15" s="259"/>
      <c r="FO15" s="259"/>
      <c r="FP15" s="259"/>
      <c r="FQ15" s="116"/>
      <c r="FR15" s="116"/>
      <c r="FS15" s="164"/>
      <c r="FT15" s="195"/>
      <c r="FU15" s="197"/>
      <c r="FV15" s="197"/>
      <c r="FW15" s="195"/>
      <c r="FX15" s="116"/>
      <c r="FY15" s="116"/>
      <c r="FZ15" s="164"/>
      <c r="GA15" s="140"/>
      <c r="GB15" s="210"/>
      <c r="GC15" s="65"/>
      <c r="GD15" s="65"/>
      <c r="GE15" s="65"/>
    </row>
    <row r="16" spans="1:302" ht="28.2" customHeight="1" thickBot="1" x14ac:dyDescent="0.3">
      <c r="B16" s="179" t="s">
        <v>9</v>
      </c>
      <c r="C16" s="362"/>
      <c r="D16" s="290" t="s">
        <v>152</v>
      </c>
      <c r="E16" s="180"/>
      <c r="F16" s="181"/>
      <c r="G16" s="281" t="s">
        <v>152</v>
      </c>
      <c r="H16" s="347"/>
      <c r="I16" s="215" t="s">
        <v>17</v>
      </c>
      <c r="J16" s="215" t="s">
        <v>17</v>
      </c>
      <c r="K16" s="215" t="s">
        <v>17</v>
      </c>
      <c r="L16" s="181"/>
      <c r="M16" s="181"/>
      <c r="N16" s="215" t="s">
        <v>17</v>
      </c>
      <c r="O16" s="215" t="s">
        <v>17</v>
      </c>
      <c r="P16" s="215" t="s">
        <v>17</v>
      </c>
      <c r="Q16" s="215" t="s">
        <v>17</v>
      </c>
      <c r="R16" s="215" t="s">
        <v>17</v>
      </c>
      <c r="S16" s="181"/>
      <c r="T16" s="181"/>
      <c r="U16" s="215" t="s">
        <v>17</v>
      </c>
      <c r="V16" s="215" t="s">
        <v>17</v>
      </c>
      <c r="W16" s="291" t="s">
        <v>8</v>
      </c>
      <c r="X16" s="215" t="s">
        <v>17</v>
      </c>
      <c r="Y16" s="215" t="s">
        <v>17</v>
      </c>
      <c r="Z16" s="181"/>
      <c r="AA16" s="181"/>
      <c r="AB16" s="215" t="s">
        <v>17</v>
      </c>
      <c r="AC16" s="215" t="s">
        <v>17</v>
      </c>
      <c r="AD16" s="215" t="s">
        <v>17</v>
      </c>
      <c r="AE16" s="215" t="s">
        <v>17</v>
      </c>
      <c r="AF16" s="215" t="s">
        <v>17</v>
      </c>
      <c r="AG16" s="181"/>
      <c r="AH16" s="181"/>
      <c r="AI16" s="294" t="s">
        <v>17</v>
      </c>
      <c r="AJ16" s="215" t="s">
        <v>17</v>
      </c>
      <c r="AK16" s="215" t="s">
        <v>17</v>
      </c>
      <c r="AL16" s="294" t="s">
        <v>17</v>
      </c>
      <c r="AM16" s="215" t="s">
        <v>17</v>
      </c>
      <c r="AN16" s="299"/>
      <c r="AO16" s="181"/>
      <c r="AP16" s="215" t="s">
        <v>17</v>
      </c>
      <c r="AQ16" s="215" t="s">
        <v>17</v>
      </c>
      <c r="AR16" s="301" t="s">
        <v>16</v>
      </c>
      <c r="AS16" s="294" t="s">
        <v>17</v>
      </c>
      <c r="AT16" s="291" t="s">
        <v>8</v>
      </c>
      <c r="AU16" s="181"/>
      <c r="AV16" s="181"/>
      <c r="AW16" s="291" t="s">
        <v>8</v>
      </c>
      <c r="AX16" s="291" t="s">
        <v>8</v>
      </c>
      <c r="AY16" s="215" t="s">
        <v>17</v>
      </c>
      <c r="AZ16" s="215" t="s">
        <v>17</v>
      </c>
      <c r="BA16" s="215" t="s">
        <v>17</v>
      </c>
      <c r="BB16" s="181"/>
      <c r="BC16" s="181"/>
      <c r="BD16" s="294" t="s">
        <v>17</v>
      </c>
      <c r="BE16" s="215" t="s">
        <v>17</v>
      </c>
      <c r="BF16" s="215" t="s">
        <v>17</v>
      </c>
      <c r="BG16" s="296" t="s">
        <v>19</v>
      </c>
      <c r="BH16" s="296" t="s">
        <v>19</v>
      </c>
      <c r="BI16" s="181"/>
      <c r="BJ16" s="180"/>
      <c r="BK16" s="215" t="s">
        <v>17</v>
      </c>
      <c r="BL16" s="215" t="s">
        <v>17</v>
      </c>
      <c r="BM16" s="215" t="s">
        <v>17</v>
      </c>
      <c r="BN16" s="215" t="s">
        <v>17</v>
      </c>
      <c r="BO16" s="215" t="s">
        <v>17</v>
      </c>
      <c r="BP16" s="181"/>
      <c r="BQ16" s="181"/>
      <c r="BR16" s="215" t="s">
        <v>17</v>
      </c>
      <c r="BS16" s="294" t="s">
        <v>17</v>
      </c>
      <c r="BT16" s="215" t="s">
        <v>17</v>
      </c>
      <c r="BU16" s="294" t="s">
        <v>17</v>
      </c>
      <c r="BV16" s="215" t="s">
        <v>17</v>
      </c>
      <c r="BW16" s="181"/>
      <c r="BX16" s="181"/>
      <c r="BY16" s="215" t="s">
        <v>17</v>
      </c>
      <c r="BZ16" s="215" t="s">
        <v>17</v>
      </c>
      <c r="CA16" s="215" t="s">
        <v>17</v>
      </c>
      <c r="CB16" s="215" t="s">
        <v>71</v>
      </c>
      <c r="CC16" s="215" t="s">
        <v>71</v>
      </c>
      <c r="CD16" s="181"/>
      <c r="CE16" s="181"/>
      <c r="CF16" s="215" t="s">
        <v>17</v>
      </c>
      <c r="CG16" s="215" t="s">
        <v>17</v>
      </c>
      <c r="CH16" s="215" t="s">
        <v>17</v>
      </c>
      <c r="CI16" s="215" t="s">
        <v>17</v>
      </c>
      <c r="CJ16" s="215" t="s">
        <v>17</v>
      </c>
      <c r="CK16" s="181"/>
      <c r="CL16" s="181"/>
      <c r="CM16" s="215" t="s">
        <v>17</v>
      </c>
      <c r="CN16" s="215" t="s">
        <v>17</v>
      </c>
      <c r="CO16" s="215" t="s">
        <v>17</v>
      </c>
      <c r="CP16" s="215" t="s">
        <v>17</v>
      </c>
      <c r="CQ16" s="319"/>
      <c r="CR16" s="116"/>
      <c r="CS16" s="319"/>
      <c r="CT16" s="319"/>
      <c r="CU16" s="215" t="s">
        <v>17</v>
      </c>
      <c r="CV16" s="215" t="s">
        <v>17</v>
      </c>
      <c r="CW16" s="215" t="s">
        <v>17</v>
      </c>
      <c r="CX16" s="215" t="s">
        <v>17</v>
      </c>
      <c r="CY16" s="181"/>
      <c r="CZ16" s="181"/>
      <c r="DA16" s="215" t="s">
        <v>17</v>
      </c>
      <c r="DB16" s="215" t="s">
        <v>17</v>
      </c>
      <c r="DC16" s="215" t="s">
        <v>17</v>
      </c>
      <c r="DD16" s="215" t="s">
        <v>17</v>
      </c>
      <c r="DE16" s="215" t="s">
        <v>17</v>
      </c>
      <c r="DF16" s="283"/>
      <c r="DG16" s="181"/>
      <c r="DH16" s="215" t="s">
        <v>17</v>
      </c>
      <c r="DI16" s="215" t="s">
        <v>17</v>
      </c>
      <c r="DJ16" s="215" t="s">
        <v>17</v>
      </c>
      <c r="DK16" s="215" t="s">
        <v>17</v>
      </c>
      <c r="DL16" s="305" t="s">
        <v>13</v>
      </c>
      <c r="DM16" s="181"/>
      <c r="DN16" s="181"/>
      <c r="DO16" s="215" t="s">
        <v>17</v>
      </c>
      <c r="DP16" s="215" t="s">
        <v>17</v>
      </c>
      <c r="DQ16" s="291" t="s">
        <v>8</v>
      </c>
      <c r="DR16" s="291" t="s">
        <v>8</v>
      </c>
      <c r="DS16" s="327"/>
      <c r="DT16" s="180"/>
      <c r="DU16" s="181"/>
      <c r="DV16" s="199"/>
      <c r="DW16" s="215"/>
      <c r="DX16" s="215"/>
      <c r="DY16" s="215"/>
      <c r="DZ16" s="215"/>
      <c r="EA16" s="181"/>
      <c r="EB16" s="181"/>
      <c r="EC16" s="291" t="s">
        <v>8</v>
      </c>
      <c r="ED16" s="291" t="s">
        <v>8</v>
      </c>
      <c r="EE16" s="291" t="s">
        <v>8</v>
      </c>
      <c r="EF16" s="319"/>
      <c r="EG16" s="291" t="s">
        <v>8</v>
      </c>
      <c r="EH16" s="181"/>
      <c r="EI16" s="181"/>
      <c r="EJ16" s="291" t="s">
        <v>8</v>
      </c>
      <c r="EK16" s="291" t="s">
        <v>8</v>
      </c>
      <c r="EL16" s="291" t="s">
        <v>8</v>
      </c>
      <c r="EM16" s="291" t="s">
        <v>8</v>
      </c>
      <c r="EN16" s="291" t="s">
        <v>8</v>
      </c>
      <c r="EO16" s="181"/>
      <c r="EP16" s="319"/>
      <c r="EQ16" s="319"/>
      <c r="ER16" s="217"/>
      <c r="ES16" s="216"/>
      <c r="ET16" s="216"/>
      <c r="EU16" s="216"/>
      <c r="EV16" s="181"/>
      <c r="EW16" s="181"/>
      <c r="EX16" s="274"/>
      <c r="EY16" s="274"/>
      <c r="EZ16" s="274"/>
      <c r="FA16" s="319"/>
      <c r="FB16" s="291" t="s">
        <v>8</v>
      </c>
      <c r="FC16" s="180"/>
      <c r="FD16" s="181"/>
      <c r="FE16" s="215"/>
      <c r="FF16" s="215"/>
      <c r="FG16" s="215"/>
      <c r="FH16" s="215"/>
      <c r="FI16" s="215"/>
      <c r="FJ16" s="180"/>
      <c r="FK16" s="181"/>
      <c r="FL16" s="199"/>
      <c r="FM16" s="215"/>
      <c r="FN16" s="215"/>
      <c r="FO16" s="215"/>
      <c r="FP16" s="215"/>
      <c r="FQ16" s="181"/>
      <c r="FR16" s="181"/>
      <c r="FS16" s="199"/>
      <c r="FT16" s="215"/>
      <c r="FU16" s="215"/>
      <c r="FV16" s="215"/>
      <c r="FW16" s="215"/>
      <c r="FX16" s="181"/>
      <c r="FY16" s="181"/>
      <c r="FZ16" s="199"/>
      <c r="GA16" s="215"/>
      <c r="GB16" s="210"/>
      <c r="GC16" s="183"/>
      <c r="GD16" s="183"/>
      <c r="GE16" s="183"/>
      <c r="GF16" s="81"/>
      <c r="GG16" s="81"/>
      <c r="GH16" s="81"/>
      <c r="GI16" s="81"/>
      <c r="GJ16" s="81"/>
      <c r="GK16" s="81"/>
      <c r="GL16" s="81"/>
      <c r="GM16" s="81"/>
      <c r="GN16" s="81"/>
      <c r="GO16" s="81"/>
      <c r="GP16" s="81"/>
      <c r="GQ16" s="81"/>
      <c r="GR16" s="81"/>
      <c r="GS16" s="81"/>
      <c r="GT16" s="81"/>
      <c r="GU16" s="81"/>
      <c r="GV16" s="81"/>
      <c r="GW16" s="81"/>
      <c r="GX16" s="81"/>
      <c r="GY16" s="81"/>
      <c r="GZ16" s="81"/>
      <c r="HA16" s="81"/>
      <c r="HB16" s="81"/>
      <c r="HC16" s="81"/>
      <c r="HD16" s="81"/>
      <c r="HE16" s="81"/>
      <c r="HF16" s="81"/>
      <c r="HG16" s="81"/>
      <c r="HH16" s="81"/>
      <c r="HI16" s="81"/>
      <c r="HJ16" s="81"/>
      <c r="HK16" s="81"/>
      <c r="HL16" s="81"/>
      <c r="HM16" s="81"/>
      <c r="HN16" s="81"/>
      <c r="HO16" s="81"/>
      <c r="HP16" s="81"/>
      <c r="HQ16" s="81"/>
      <c r="HR16" s="81"/>
      <c r="HS16" s="81"/>
      <c r="HT16" s="81"/>
      <c r="HU16" s="81"/>
      <c r="HV16" s="81"/>
      <c r="HW16" s="81"/>
      <c r="HX16" s="81"/>
      <c r="HY16" s="81"/>
      <c r="HZ16" s="81"/>
      <c r="IA16" s="81"/>
      <c r="IB16" s="81"/>
      <c r="IC16" s="81"/>
      <c r="ID16" s="81"/>
      <c r="IE16" s="81"/>
      <c r="IF16" s="81"/>
      <c r="IG16" s="81"/>
      <c r="IH16" s="81"/>
      <c r="II16" s="81"/>
      <c r="IJ16" s="81"/>
      <c r="IK16" s="81"/>
      <c r="IL16" s="81"/>
      <c r="IM16" s="81"/>
      <c r="IN16" s="81"/>
      <c r="IO16" s="81"/>
      <c r="IP16" s="81"/>
      <c r="IQ16" s="81"/>
      <c r="IR16" s="81"/>
      <c r="IS16" s="81"/>
      <c r="IT16" s="81"/>
      <c r="IU16" s="81"/>
      <c r="IV16" s="81"/>
      <c r="IW16" s="81"/>
      <c r="IX16" s="81"/>
      <c r="IY16" s="81"/>
      <c r="IZ16" s="81"/>
      <c r="JA16" s="81"/>
      <c r="JB16" s="81"/>
      <c r="JC16" s="81"/>
      <c r="JD16" s="81"/>
      <c r="JE16" s="81"/>
      <c r="JF16" s="81"/>
      <c r="JG16" s="81"/>
      <c r="JH16" s="81"/>
      <c r="JI16" s="81"/>
      <c r="JJ16" s="81"/>
      <c r="JK16" s="81"/>
      <c r="JL16" s="81"/>
      <c r="JM16" s="81"/>
      <c r="JN16" s="81"/>
      <c r="JO16" s="81"/>
      <c r="JP16" s="81"/>
      <c r="JQ16" s="81"/>
      <c r="JR16" s="81"/>
      <c r="JS16" s="81"/>
      <c r="JT16" s="81"/>
      <c r="JU16" s="81"/>
      <c r="JV16" s="81"/>
      <c r="JW16" s="81"/>
      <c r="JX16" s="81"/>
      <c r="JY16" s="81"/>
      <c r="JZ16" s="81"/>
      <c r="KA16" s="81"/>
      <c r="KB16" s="81"/>
      <c r="KC16" s="81"/>
      <c r="KD16" s="81"/>
      <c r="KE16" s="81"/>
      <c r="KF16" s="81"/>
      <c r="KG16" s="81"/>
      <c r="KH16" s="81"/>
      <c r="KI16" s="81"/>
      <c r="KJ16" s="81"/>
      <c r="KK16" s="81"/>
      <c r="KL16" s="81"/>
      <c r="KM16" s="81"/>
      <c r="KN16" s="81"/>
      <c r="KO16" s="81"/>
      <c r="KP16" s="81"/>
    </row>
    <row r="17" spans="1:302" ht="28.2" customHeight="1" thickTop="1" x14ac:dyDescent="0.25">
      <c r="B17" s="232" t="s">
        <v>145</v>
      </c>
      <c r="C17" s="362"/>
      <c r="D17" s="288"/>
      <c r="E17" s="116"/>
      <c r="F17" s="116"/>
      <c r="G17" s="288"/>
      <c r="H17" s="347"/>
      <c r="I17" s="288"/>
      <c r="J17" s="288"/>
      <c r="K17" s="288"/>
      <c r="L17" s="116"/>
      <c r="M17" s="116"/>
      <c r="N17" s="288"/>
      <c r="O17" s="288"/>
      <c r="P17" s="288"/>
      <c r="Q17" s="288"/>
      <c r="R17" s="288"/>
      <c r="S17" s="116"/>
      <c r="T17" s="116"/>
      <c r="U17" s="288"/>
      <c r="V17" s="288"/>
      <c r="W17" s="288"/>
      <c r="X17" s="288"/>
      <c r="Y17" s="288"/>
      <c r="Z17" s="116"/>
      <c r="AA17" s="116"/>
      <c r="AB17" s="288"/>
      <c r="AC17" s="288"/>
      <c r="AD17" s="288"/>
      <c r="AE17" s="288"/>
      <c r="AF17" s="288"/>
      <c r="AG17" s="116"/>
      <c r="AH17" s="116"/>
      <c r="AI17" s="138" t="s">
        <v>73</v>
      </c>
      <c r="AJ17" s="138" t="s">
        <v>73</v>
      </c>
      <c r="AK17" s="138" t="s">
        <v>73</v>
      </c>
      <c r="AL17" s="138" t="s">
        <v>73</v>
      </c>
      <c r="AM17" s="138" t="s">
        <v>73</v>
      </c>
      <c r="AN17" s="116"/>
      <c r="AO17" s="116"/>
      <c r="AP17" s="288"/>
      <c r="AQ17" s="288"/>
      <c r="AR17" s="288"/>
      <c r="AS17" s="288"/>
      <c r="AT17" s="288"/>
      <c r="AU17" s="116"/>
      <c r="AV17" s="116"/>
      <c r="AW17" s="288"/>
      <c r="AX17" s="288"/>
      <c r="AY17" s="288"/>
      <c r="AZ17" s="288"/>
      <c r="BA17" s="288"/>
      <c r="BB17" s="116"/>
      <c r="BC17" s="116"/>
      <c r="BD17" s="138" t="s">
        <v>73</v>
      </c>
      <c r="BE17" s="138" t="s">
        <v>73</v>
      </c>
      <c r="BF17" s="138" t="s">
        <v>73</v>
      </c>
      <c r="BG17" s="138" t="s">
        <v>73</v>
      </c>
      <c r="BH17" s="138" t="s">
        <v>73</v>
      </c>
      <c r="BI17" s="116"/>
      <c r="BJ17" s="116"/>
      <c r="BK17" s="288"/>
      <c r="BL17" s="288"/>
      <c r="BM17" s="288"/>
      <c r="BN17" s="288"/>
      <c r="BO17" s="288"/>
      <c r="BP17" s="116"/>
      <c r="BQ17" s="116"/>
      <c r="BR17" s="138" t="s">
        <v>73</v>
      </c>
      <c r="BS17" s="138" t="s">
        <v>73</v>
      </c>
      <c r="BT17" s="138" t="s">
        <v>73</v>
      </c>
      <c r="BU17" s="138" t="s">
        <v>73</v>
      </c>
      <c r="BV17" s="138" t="s">
        <v>73</v>
      </c>
      <c r="BW17" s="116"/>
      <c r="BX17" s="116"/>
      <c r="BY17" s="288"/>
      <c r="BZ17" s="288"/>
      <c r="CA17" s="288"/>
      <c r="CB17" s="288"/>
      <c r="CC17" s="288"/>
      <c r="CD17" s="116"/>
      <c r="CE17" s="116"/>
      <c r="CF17" s="288"/>
      <c r="CG17" s="288"/>
      <c r="CH17" s="288"/>
      <c r="CI17" s="288"/>
      <c r="CJ17" s="288"/>
      <c r="CK17" s="116"/>
      <c r="CL17" s="116"/>
      <c r="CM17" s="138" t="s">
        <v>73</v>
      </c>
      <c r="CN17" s="138" t="s">
        <v>73</v>
      </c>
      <c r="CO17" s="288"/>
      <c r="CP17" s="288"/>
      <c r="CQ17" s="319"/>
      <c r="CR17" s="116"/>
      <c r="CS17" s="319"/>
      <c r="CT17" s="319"/>
      <c r="CU17" s="140"/>
      <c r="CV17" s="140"/>
      <c r="CW17" s="140"/>
      <c r="CX17" s="140"/>
      <c r="CY17" s="116"/>
      <c r="CZ17" s="116"/>
      <c r="DA17" s="133"/>
      <c r="DB17" s="140"/>
      <c r="DC17" s="140"/>
      <c r="DD17" s="140"/>
      <c r="DE17" s="140"/>
      <c r="DF17" s="282"/>
      <c r="DG17" s="233"/>
      <c r="DH17" s="138"/>
      <c r="DI17" s="138"/>
      <c r="DJ17" s="140"/>
      <c r="DK17" s="138"/>
      <c r="DL17" s="138"/>
      <c r="DM17" s="116"/>
      <c r="DN17" s="116"/>
      <c r="DO17" s="133"/>
      <c r="DP17" s="138"/>
      <c r="DQ17" s="138"/>
      <c r="DR17" s="138"/>
      <c r="DS17" s="327"/>
      <c r="DT17" s="116"/>
      <c r="DU17" s="116"/>
      <c r="DV17" s="133"/>
      <c r="DW17" s="140"/>
      <c r="DX17" s="140"/>
      <c r="DY17" s="140"/>
      <c r="DZ17" s="138"/>
      <c r="EA17" s="116"/>
      <c r="EB17" s="116"/>
      <c r="EC17" s="133"/>
      <c r="ED17" s="140"/>
      <c r="EE17" s="138"/>
      <c r="EF17" s="319"/>
      <c r="EG17" s="138"/>
      <c r="EH17" s="116"/>
      <c r="EI17" s="116"/>
      <c r="EJ17" s="133"/>
      <c r="EK17" s="138"/>
      <c r="EL17" s="138"/>
      <c r="EM17" s="140"/>
      <c r="EN17" s="138"/>
      <c r="EO17" s="116"/>
      <c r="EP17" s="319"/>
      <c r="EQ17" s="319"/>
      <c r="ER17" s="138"/>
      <c r="ES17" s="138"/>
      <c r="ET17" s="138"/>
      <c r="EU17" s="138"/>
      <c r="EV17" s="116"/>
      <c r="EW17" s="116"/>
      <c r="EX17" s="133"/>
      <c r="EY17" s="140"/>
      <c r="EZ17" s="140"/>
      <c r="FA17" s="319"/>
      <c r="FB17" s="140"/>
      <c r="FC17" s="116"/>
      <c r="FD17" s="116"/>
      <c r="FE17" s="138"/>
      <c r="FF17" s="138"/>
      <c r="FG17" s="138"/>
      <c r="FH17" s="138"/>
      <c r="FI17" s="140"/>
      <c r="FJ17" s="116"/>
      <c r="FK17" s="116"/>
      <c r="FL17" s="133"/>
      <c r="FM17" s="140"/>
      <c r="FN17" s="138"/>
      <c r="FO17" s="138"/>
      <c r="FP17" s="140"/>
      <c r="FQ17" s="116"/>
      <c r="FR17" s="116"/>
      <c r="FS17" s="133"/>
      <c r="FT17" s="140"/>
      <c r="FU17" s="140"/>
      <c r="FV17" s="140"/>
      <c r="FW17" s="140"/>
      <c r="FX17" s="116"/>
      <c r="FY17" s="116"/>
      <c r="FZ17" s="133"/>
      <c r="GA17" s="140"/>
      <c r="GB17" s="210"/>
      <c r="GC17" s="183"/>
      <c r="GD17" s="183"/>
      <c r="GE17" s="183"/>
      <c r="GF17" s="81"/>
      <c r="GG17" s="81"/>
      <c r="GH17" s="81"/>
      <c r="GI17" s="81"/>
      <c r="GJ17" s="81"/>
      <c r="GK17" s="81"/>
      <c r="GL17" s="81"/>
      <c r="GM17" s="81"/>
      <c r="GN17" s="81"/>
      <c r="GO17" s="81"/>
      <c r="GP17" s="81"/>
      <c r="GQ17" s="81"/>
      <c r="GR17" s="81"/>
      <c r="GS17" s="81"/>
      <c r="GT17" s="81"/>
      <c r="GU17" s="81"/>
      <c r="GV17" s="81"/>
      <c r="GW17" s="81"/>
      <c r="GX17" s="81"/>
      <c r="GY17" s="81"/>
      <c r="GZ17" s="81"/>
      <c r="HA17" s="81"/>
      <c r="HB17" s="81"/>
      <c r="HC17" s="81"/>
      <c r="HD17" s="81"/>
      <c r="HE17" s="81"/>
      <c r="HF17" s="81"/>
      <c r="HG17" s="81"/>
      <c r="HH17" s="81"/>
      <c r="HI17" s="81"/>
      <c r="HJ17" s="81"/>
      <c r="HK17" s="81"/>
      <c r="HL17" s="81"/>
      <c r="HM17" s="81"/>
      <c r="HN17" s="81"/>
      <c r="HO17" s="81"/>
      <c r="HP17" s="81"/>
      <c r="HQ17" s="81"/>
      <c r="HR17" s="81"/>
      <c r="HS17" s="81"/>
      <c r="HT17" s="81"/>
      <c r="HU17" s="81"/>
      <c r="HV17" s="81"/>
      <c r="HW17" s="81"/>
      <c r="HX17" s="81"/>
      <c r="HY17" s="81"/>
      <c r="HZ17" s="81"/>
      <c r="IA17" s="81"/>
      <c r="IB17" s="81"/>
      <c r="IC17" s="81"/>
      <c r="ID17" s="81"/>
      <c r="IE17" s="81"/>
      <c r="IF17" s="81"/>
      <c r="IG17" s="81"/>
      <c r="IH17" s="81"/>
      <c r="II17" s="81"/>
      <c r="IJ17" s="81"/>
      <c r="IK17" s="81"/>
      <c r="IL17" s="81"/>
      <c r="IM17" s="81"/>
      <c r="IN17" s="81"/>
      <c r="IO17" s="81"/>
      <c r="IP17" s="81"/>
      <c r="IQ17" s="81"/>
      <c r="IR17" s="81"/>
      <c r="IS17" s="81"/>
      <c r="IT17" s="81"/>
      <c r="IU17" s="81"/>
      <c r="IV17" s="81"/>
      <c r="IW17" s="81"/>
      <c r="IX17" s="81"/>
      <c r="IY17" s="81"/>
      <c r="IZ17" s="81"/>
      <c r="JA17" s="81"/>
      <c r="JB17" s="81"/>
      <c r="JC17" s="81"/>
      <c r="JD17" s="81"/>
      <c r="JE17" s="81"/>
      <c r="JF17" s="81"/>
      <c r="JG17" s="81"/>
      <c r="JH17" s="81"/>
      <c r="JI17" s="81"/>
      <c r="JJ17" s="81"/>
      <c r="JK17" s="81"/>
      <c r="JL17" s="81"/>
      <c r="JM17" s="81"/>
      <c r="JN17" s="81"/>
      <c r="JO17" s="81"/>
      <c r="JP17" s="81"/>
      <c r="JQ17" s="81"/>
      <c r="JR17" s="81"/>
      <c r="JS17" s="81"/>
      <c r="JT17" s="81"/>
      <c r="JU17" s="81"/>
      <c r="JV17" s="81"/>
      <c r="JW17" s="81"/>
      <c r="JX17" s="81"/>
      <c r="JY17" s="81"/>
      <c r="JZ17" s="81"/>
      <c r="KA17" s="81"/>
      <c r="KB17" s="81"/>
      <c r="KC17" s="81"/>
      <c r="KD17" s="81"/>
      <c r="KE17" s="81"/>
      <c r="KF17" s="81"/>
      <c r="KG17" s="81"/>
      <c r="KH17" s="81"/>
      <c r="KI17" s="81"/>
      <c r="KJ17" s="81"/>
      <c r="KK17" s="81"/>
      <c r="KL17" s="81"/>
      <c r="KM17" s="81"/>
      <c r="KN17" s="81"/>
      <c r="KO17" s="81"/>
      <c r="KP17" s="81"/>
    </row>
    <row r="18" spans="1:302" ht="28.2" customHeight="1" x14ac:dyDescent="0.25">
      <c r="B18" s="251" t="s">
        <v>139</v>
      </c>
      <c r="C18" s="362"/>
      <c r="D18" s="263"/>
      <c r="E18" s="116"/>
      <c r="F18" s="116"/>
      <c r="G18" s="177"/>
      <c r="H18" s="347"/>
      <c r="I18" s="263"/>
      <c r="J18" s="178"/>
      <c r="K18" s="178"/>
      <c r="L18" s="116"/>
      <c r="M18" s="116"/>
      <c r="N18" s="177"/>
      <c r="O18" s="237"/>
      <c r="P18" s="237"/>
      <c r="Q18" s="237"/>
      <c r="R18" s="237"/>
      <c r="S18" s="116"/>
      <c r="T18" s="116"/>
      <c r="U18" s="177"/>
      <c r="V18" s="237"/>
      <c r="W18" s="237"/>
      <c r="X18" s="237"/>
      <c r="Y18" s="237"/>
      <c r="Z18" s="116"/>
      <c r="AA18" s="116"/>
      <c r="AB18" s="177"/>
      <c r="AC18" s="237"/>
      <c r="AD18" s="237"/>
      <c r="AE18" s="237"/>
      <c r="AF18" s="237"/>
      <c r="AG18" s="116"/>
      <c r="AH18" s="116"/>
      <c r="AI18" s="177"/>
      <c r="AJ18" s="237"/>
      <c r="AK18" s="237"/>
      <c r="AL18" s="237"/>
      <c r="AM18" s="237"/>
      <c r="AN18" s="116"/>
      <c r="AO18" s="116"/>
      <c r="AP18" s="177"/>
      <c r="AQ18" s="237"/>
      <c r="AR18" s="237"/>
      <c r="AS18" s="237"/>
      <c r="AT18" s="237"/>
      <c r="AU18" s="116"/>
      <c r="AV18" s="116"/>
      <c r="AW18" s="177"/>
      <c r="AX18" s="237"/>
      <c r="AY18" s="237"/>
      <c r="AZ18" s="237"/>
      <c r="BA18" s="237"/>
      <c r="BB18" s="116"/>
      <c r="BC18" s="116"/>
      <c r="BD18" s="177"/>
      <c r="BE18" s="237"/>
      <c r="BF18" s="237"/>
      <c r="BG18" s="237"/>
      <c r="BH18" s="237"/>
      <c r="BI18" s="116"/>
      <c r="BJ18" s="116"/>
      <c r="BK18" s="177"/>
      <c r="BL18" s="237"/>
      <c r="BM18" s="237"/>
      <c r="BN18" s="237"/>
      <c r="BO18" s="237"/>
      <c r="BP18" s="116"/>
      <c r="BQ18" s="116"/>
      <c r="BR18" s="177"/>
      <c r="BS18" s="237"/>
      <c r="BT18" s="237"/>
      <c r="BU18" s="237"/>
      <c r="BV18" s="237"/>
      <c r="BW18" s="116"/>
      <c r="BX18" s="116"/>
      <c r="BY18" s="177"/>
      <c r="BZ18" s="237"/>
      <c r="CA18" s="237"/>
      <c r="CB18" s="237"/>
      <c r="CC18" s="237"/>
      <c r="CD18" s="116"/>
      <c r="CE18" s="116"/>
      <c r="CF18" s="44" t="s">
        <v>8</v>
      </c>
      <c r="CG18" s="44" t="s">
        <v>8</v>
      </c>
      <c r="CH18" s="178"/>
      <c r="CI18" s="237"/>
      <c r="CJ18" s="237"/>
      <c r="CK18" s="116"/>
      <c r="CL18" s="116"/>
      <c r="CM18" s="177"/>
      <c r="CN18" s="237"/>
      <c r="CO18" s="237"/>
      <c r="CP18" s="237"/>
      <c r="CQ18" s="319"/>
      <c r="CR18" s="116"/>
      <c r="CS18" s="319"/>
      <c r="CT18" s="319"/>
      <c r="CU18" s="237"/>
      <c r="CV18" s="237"/>
      <c r="CW18" s="237"/>
      <c r="CX18" s="237"/>
      <c r="CY18" s="116"/>
      <c r="CZ18" s="116"/>
      <c r="DA18" s="177"/>
      <c r="DB18" s="237"/>
      <c r="DC18" s="237"/>
      <c r="DD18" s="237"/>
      <c r="DE18" s="237"/>
      <c r="DF18" s="272"/>
      <c r="DG18" s="149"/>
      <c r="DH18" s="237"/>
      <c r="DI18" s="237"/>
      <c r="DJ18" s="237"/>
      <c r="DK18" s="237"/>
      <c r="DL18" s="237"/>
      <c r="DM18" s="116"/>
      <c r="DN18" s="116"/>
      <c r="DO18" s="177"/>
      <c r="DP18" s="237"/>
      <c r="DQ18" s="178"/>
      <c r="DR18" s="178"/>
      <c r="DS18" s="327"/>
      <c r="DT18" s="116"/>
      <c r="DU18" s="116"/>
      <c r="DV18" s="44" t="s">
        <v>8</v>
      </c>
      <c r="DW18" s="44" t="s">
        <v>8</v>
      </c>
      <c r="DX18" s="44" t="s">
        <v>8</v>
      </c>
      <c r="DY18" s="44" t="s">
        <v>8</v>
      </c>
      <c r="DZ18" s="44" t="s">
        <v>8</v>
      </c>
      <c r="EA18" s="116"/>
      <c r="EB18" s="116"/>
      <c r="EC18" s="177"/>
      <c r="ED18" s="237"/>
      <c r="EE18" s="237"/>
      <c r="EF18" s="319"/>
      <c r="EG18" s="44" t="s">
        <v>8</v>
      </c>
      <c r="EH18" s="116"/>
      <c r="EI18" s="116"/>
      <c r="EJ18" s="177"/>
      <c r="EK18" s="237"/>
      <c r="EL18" s="237"/>
      <c r="EM18" s="237"/>
      <c r="EN18" s="237"/>
      <c r="EO18" s="116"/>
      <c r="EP18" s="319"/>
      <c r="EQ18" s="319"/>
      <c r="ER18" s="178"/>
      <c r="ES18" s="178"/>
      <c r="ET18" s="178"/>
      <c r="EU18" s="178"/>
      <c r="EV18" s="116"/>
      <c r="EW18" s="116"/>
      <c r="EX18" s="177"/>
      <c r="EY18" s="237"/>
      <c r="EZ18" s="237"/>
      <c r="FA18" s="319"/>
      <c r="FB18" s="44" t="s">
        <v>8</v>
      </c>
      <c r="FC18" s="116"/>
      <c r="FD18" s="116"/>
      <c r="FE18" s="237"/>
      <c r="FF18" s="237"/>
      <c r="FG18" s="237"/>
      <c r="FH18" s="237"/>
      <c r="FI18" s="237"/>
      <c r="FJ18" s="116"/>
      <c r="FK18" s="116"/>
      <c r="FL18" s="44" t="s">
        <v>8</v>
      </c>
      <c r="FM18" s="44" t="s">
        <v>8</v>
      </c>
      <c r="FN18" s="44" t="s">
        <v>8</v>
      </c>
      <c r="FO18" s="44" t="s">
        <v>8</v>
      </c>
      <c r="FP18" s="44" t="s">
        <v>8</v>
      </c>
      <c r="FQ18" s="116"/>
      <c r="FR18" s="116"/>
      <c r="FS18" s="177"/>
      <c r="FT18" s="237"/>
      <c r="FU18" s="237"/>
      <c r="FV18" s="237"/>
      <c r="FW18" s="237"/>
      <c r="FX18" s="116"/>
      <c r="FY18" s="116"/>
      <c r="FZ18" s="44" t="s">
        <v>8</v>
      </c>
      <c r="GA18" s="237"/>
      <c r="GB18" s="210"/>
      <c r="GC18" s="183"/>
      <c r="GD18" s="183"/>
      <c r="GE18" s="183"/>
      <c r="GF18" s="81"/>
      <c r="GG18" s="81"/>
      <c r="GH18" s="81"/>
      <c r="GI18" s="81"/>
      <c r="GJ18" s="81"/>
      <c r="GK18" s="81"/>
      <c r="GL18" s="81"/>
      <c r="GM18" s="81"/>
      <c r="GN18" s="81"/>
      <c r="GO18" s="81"/>
      <c r="GP18" s="81"/>
      <c r="GQ18" s="81"/>
      <c r="GR18" s="81"/>
      <c r="GS18" s="81"/>
      <c r="GT18" s="81"/>
      <c r="GU18" s="81"/>
      <c r="GV18" s="81"/>
      <c r="GW18" s="81"/>
      <c r="GX18" s="81"/>
      <c r="GY18" s="81"/>
      <c r="GZ18" s="81"/>
      <c r="HA18" s="81"/>
      <c r="HB18" s="81"/>
      <c r="HC18" s="81"/>
      <c r="HD18" s="81"/>
      <c r="HE18" s="81"/>
      <c r="HF18" s="81"/>
      <c r="HG18" s="81"/>
      <c r="HH18" s="81"/>
      <c r="HI18" s="81"/>
      <c r="HJ18" s="81"/>
      <c r="HK18" s="81"/>
      <c r="HL18" s="81"/>
      <c r="HM18" s="81"/>
      <c r="HN18" s="81"/>
      <c r="HO18" s="81"/>
      <c r="HP18" s="81"/>
      <c r="HQ18" s="81"/>
      <c r="HR18" s="81"/>
      <c r="HS18" s="81"/>
      <c r="HT18" s="81"/>
      <c r="HU18" s="81"/>
      <c r="HV18" s="81"/>
      <c r="HW18" s="81"/>
      <c r="HX18" s="81"/>
      <c r="HY18" s="81"/>
      <c r="HZ18" s="81"/>
      <c r="IA18" s="81"/>
      <c r="IB18" s="81"/>
      <c r="IC18" s="81"/>
      <c r="ID18" s="81"/>
      <c r="IE18" s="81"/>
      <c r="IF18" s="81"/>
      <c r="IG18" s="81"/>
      <c r="IH18" s="81"/>
      <c r="II18" s="81"/>
      <c r="IJ18" s="81"/>
      <c r="IK18" s="81"/>
      <c r="IL18" s="81"/>
      <c r="IM18" s="81"/>
      <c r="IN18" s="81"/>
      <c r="IO18" s="81"/>
      <c r="IP18" s="81"/>
      <c r="IQ18" s="81"/>
      <c r="IR18" s="81"/>
      <c r="IS18" s="81"/>
      <c r="IT18" s="81"/>
      <c r="IU18" s="81"/>
      <c r="IV18" s="81"/>
      <c r="IW18" s="81"/>
      <c r="IX18" s="81"/>
      <c r="IY18" s="81"/>
      <c r="IZ18" s="81"/>
      <c r="JA18" s="81"/>
      <c r="JB18" s="81"/>
      <c r="JC18" s="81"/>
      <c r="JD18" s="81"/>
      <c r="JE18" s="81"/>
      <c r="JF18" s="81"/>
      <c r="JG18" s="81"/>
      <c r="JH18" s="81"/>
      <c r="JI18" s="81"/>
      <c r="JJ18" s="81"/>
      <c r="JK18" s="81"/>
      <c r="JL18" s="81"/>
      <c r="JM18" s="81"/>
      <c r="JN18" s="81"/>
      <c r="JO18" s="81"/>
      <c r="JP18" s="81"/>
      <c r="JQ18" s="81"/>
      <c r="JR18" s="81"/>
      <c r="JS18" s="81"/>
      <c r="JT18" s="81"/>
      <c r="JU18" s="81"/>
      <c r="JV18" s="81"/>
      <c r="JW18" s="81"/>
      <c r="JX18" s="81"/>
      <c r="JY18" s="81"/>
      <c r="JZ18" s="81"/>
      <c r="KA18" s="81"/>
      <c r="KB18" s="81"/>
      <c r="KC18" s="81"/>
      <c r="KD18" s="81"/>
      <c r="KE18" s="81"/>
      <c r="KF18" s="81"/>
      <c r="KG18" s="81"/>
      <c r="KH18" s="81"/>
      <c r="KI18" s="81"/>
      <c r="KJ18" s="81"/>
      <c r="KK18" s="81"/>
      <c r="KL18" s="81"/>
      <c r="KM18" s="81"/>
      <c r="KN18" s="81"/>
      <c r="KO18" s="81"/>
      <c r="KP18" s="81"/>
    </row>
    <row r="19" spans="1:302" ht="28.2" customHeight="1" thickBot="1" x14ac:dyDescent="0.3">
      <c r="B19" s="245" t="s">
        <v>140</v>
      </c>
      <c r="C19" s="363"/>
      <c r="D19" s="255"/>
      <c r="E19" s="116"/>
      <c r="F19" s="116"/>
      <c r="G19" s="164"/>
      <c r="H19" s="364"/>
      <c r="I19" s="264"/>
      <c r="J19" s="264"/>
      <c r="K19" s="264"/>
      <c r="L19" s="116"/>
      <c r="M19" s="116"/>
      <c r="N19" s="164"/>
      <c r="O19" s="141"/>
      <c r="P19" s="141"/>
      <c r="Q19" s="141"/>
      <c r="R19" s="264"/>
      <c r="S19" s="116"/>
      <c r="T19" s="116"/>
      <c r="U19" s="164"/>
      <c r="V19" s="141"/>
      <c r="W19" s="141"/>
      <c r="X19" s="141"/>
      <c r="Y19" s="264"/>
      <c r="Z19" s="116"/>
      <c r="AA19" s="116"/>
      <c r="AB19" s="164"/>
      <c r="AC19" s="141"/>
      <c r="AD19" s="141"/>
      <c r="AE19" s="141"/>
      <c r="AF19" s="264"/>
      <c r="AG19" s="116"/>
      <c r="AH19" s="116"/>
      <c r="AI19" s="164"/>
      <c r="AJ19" s="141"/>
      <c r="AK19" s="141"/>
      <c r="AL19" s="141"/>
      <c r="AM19" s="264"/>
      <c r="AN19" s="116"/>
      <c r="AO19" s="116"/>
      <c r="AP19" s="164"/>
      <c r="AQ19" s="141"/>
      <c r="AR19" s="141"/>
      <c r="AS19" s="141"/>
      <c r="AT19" s="265"/>
      <c r="AU19" s="116"/>
      <c r="AV19" s="116"/>
      <c r="AW19" s="164"/>
      <c r="AX19" s="141"/>
      <c r="AY19" s="141"/>
      <c r="AZ19" s="141"/>
      <c r="BA19" s="264"/>
      <c r="BB19" s="116"/>
      <c r="BC19" s="116"/>
      <c r="BD19" s="164"/>
      <c r="BE19" s="141"/>
      <c r="BF19" s="141"/>
      <c r="BG19" s="141"/>
      <c r="BH19" s="264"/>
      <c r="BI19" s="116"/>
      <c r="BJ19" s="116"/>
      <c r="BK19" s="164"/>
      <c r="BL19" s="141"/>
      <c r="BM19" s="265"/>
      <c r="BN19" s="265"/>
      <c r="BO19" s="264"/>
      <c r="BP19" s="116"/>
      <c r="BQ19" s="116"/>
      <c r="BR19" s="164"/>
      <c r="BS19" s="141"/>
      <c r="BT19" s="141"/>
      <c r="BU19" s="141"/>
      <c r="BV19" s="264"/>
      <c r="BW19" s="116"/>
      <c r="BX19" s="116"/>
      <c r="BY19" s="164"/>
      <c r="BZ19" s="141"/>
      <c r="CA19" s="141"/>
      <c r="CB19" s="141"/>
      <c r="CC19" s="264"/>
      <c r="CD19" s="116"/>
      <c r="CE19" s="116"/>
      <c r="CF19" s="164"/>
      <c r="CG19" s="141"/>
      <c r="CH19" s="141"/>
      <c r="CI19" s="264"/>
      <c r="CJ19" s="264"/>
      <c r="CK19" s="116"/>
      <c r="CL19" s="116"/>
      <c r="CM19" s="44" t="s">
        <v>8</v>
      </c>
      <c r="CN19" s="44" t="s">
        <v>8</v>
      </c>
      <c r="CO19" s="44" t="s">
        <v>8</v>
      </c>
      <c r="CP19" s="44" t="s">
        <v>8</v>
      </c>
      <c r="CQ19" s="320"/>
      <c r="CR19" s="116"/>
      <c r="CS19" s="320"/>
      <c r="CT19" s="320"/>
      <c r="CU19" s="44" t="s">
        <v>8</v>
      </c>
      <c r="CV19" s="44" t="s">
        <v>8</v>
      </c>
      <c r="CW19" s="44" t="s">
        <v>8</v>
      </c>
      <c r="CX19" s="44" t="s">
        <v>8</v>
      </c>
      <c r="CY19" s="116"/>
      <c r="CZ19" s="116"/>
      <c r="DA19" s="164"/>
      <c r="DB19" s="265"/>
      <c r="DC19" s="265"/>
      <c r="DD19" s="265"/>
      <c r="DE19" s="265"/>
      <c r="DF19" s="272"/>
      <c r="DG19" s="154"/>
      <c r="DH19" s="265"/>
      <c r="DI19" s="265"/>
      <c r="DJ19" s="265"/>
      <c r="DK19" s="265"/>
      <c r="DL19" s="265"/>
      <c r="DM19" s="116"/>
      <c r="DN19" s="116"/>
      <c r="DO19" s="164"/>
      <c r="DP19" s="141"/>
      <c r="DQ19" s="141"/>
      <c r="DR19" s="141"/>
      <c r="DS19" s="328"/>
      <c r="DT19" s="116"/>
      <c r="DU19" s="116"/>
      <c r="DV19" s="164"/>
      <c r="DW19" s="264"/>
      <c r="DX19" s="264"/>
      <c r="DY19" s="264"/>
      <c r="DZ19" s="141"/>
      <c r="EA19" s="116"/>
      <c r="EB19" s="116"/>
      <c r="EC19" s="164"/>
      <c r="ED19" s="141"/>
      <c r="EE19" s="141"/>
      <c r="EF19" s="320"/>
      <c r="EG19" s="264"/>
      <c r="EH19" s="116"/>
      <c r="EI19" s="116"/>
      <c r="EJ19" s="164"/>
      <c r="EK19" s="264"/>
      <c r="EL19" s="264"/>
      <c r="EM19" s="264"/>
      <c r="EN19" s="264"/>
      <c r="EO19" s="116"/>
      <c r="EP19" s="319"/>
      <c r="EQ19" s="319"/>
      <c r="ER19" s="44" t="s">
        <v>8</v>
      </c>
      <c r="ES19" s="44" t="s">
        <v>8</v>
      </c>
      <c r="ET19" s="44" t="s">
        <v>8</v>
      </c>
      <c r="EU19" s="44" t="s">
        <v>8</v>
      </c>
      <c r="EV19" s="116"/>
      <c r="EW19" s="116"/>
      <c r="EX19" s="44" t="s">
        <v>8</v>
      </c>
      <c r="EY19" s="44" t="s">
        <v>8</v>
      </c>
      <c r="EZ19" s="44" t="s">
        <v>8</v>
      </c>
      <c r="FA19" s="319"/>
      <c r="FB19" s="246"/>
      <c r="FC19" s="116"/>
      <c r="FD19" s="116"/>
      <c r="FE19" s="269"/>
      <c r="FF19" s="269"/>
      <c r="FG19" s="269"/>
      <c r="FH19" s="269"/>
      <c r="FI19" s="269"/>
      <c r="FJ19" s="116"/>
      <c r="FK19" s="116"/>
      <c r="FL19" s="268"/>
      <c r="FM19" s="269"/>
      <c r="FN19" s="269"/>
      <c r="FO19" s="269"/>
      <c r="FP19" s="269"/>
      <c r="FQ19" s="116"/>
      <c r="FR19" s="116"/>
      <c r="FS19" s="268"/>
      <c r="FT19" s="246"/>
      <c r="FU19" s="246"/>
      <c r="FV19" s="246"/>
      <c r="FW19" s="270"/>
      <c r="FX19" s="116"/>
      <c r="FY19" s="116"/>
      <c r="FZ19" s="268"/>
      <c r="GA19" s="246"/>
      <c r="GB19" s="124"/>
      <c r="GC19" s="183"/>
      <c r="GD19" s="183"/>
      <c r="GE19" s="183"/>
      <c r="GF19" s="81"/>
      <c r="GG19" s="81"/>
      <c r="GH19" s="81"/>
      <c r="GI19" s="81"/>
      <c r="GJ19" s="81"/>
      <c r="GK19" s="81"/>
      <c r="GL19" s="81"/>
      <c r="GM19" s="81"/>
      <c r="GN19" s="81"/>
      <c r="GO19" s="81"/>
      <c r="GP19" s="81"/>
      <c r="GQ19" s="81"/>
      <c r="GR19" s="81"/>
      <c r="GS19" s="81"/>
      <c r="GT19" s="81"/>
      <c r="GU19" s="81"/>
      <c r="GV19" s="81"/>
      <c r="GW19" s="81"/>
      <c r="GX19" s="81"/>
      <c r="GY19" s="81"/>
      <c r="GZ19" s="81"/>
      <c r="HA19" s="81"/>
      <c r="HB19" s="81"/>
      <c r="HC19" s="81"/>
      <c r="HD19" s="81"/>
      <c r="HE19" s="81"/>
      <c r="HF19" s="81"/>
      <c r="HG19" s="81"/>
      <c r="HH19" s="81"/>
      <c r="HI19" s="81"/>
      <c r="HJ19" s="81"/>
      <c r="HK19" s="81"/>
      <c r="HL19" s="81"/>
      <c r="HM19" s="81"/>
      <c r="HN19" s="81"/>
      <c r="HO19" s="81"/>
      <c r="HP19" s="81"/>
      <c r="HQ19" s="81"/>
      <c r="HR19" s="81"/>
      <c r="HS19" s="81"/>
      <c r="HT19" s="81"/>
      <c r="HU19" s="81"/>
      <c r="HV19" s="81"/>
      <c r="HW19" s="81"/>
      <c r="HX19" s="81"/>
      <c r="HY19" s="81"/>
      <c r="HZ19" s="81"/>
      <c r="IA19" s="81"/>
      <c r="IB19" s="81"/>
      <c r="IC19" s="81"/>
      <c r="ID19" s="81"/>
      <c r="IE19" s="81"/>
      <c r="IF19" s="81"/>
      <c r="IG19" s="81"/>
      <c r="IH19" s="81"/>
      <c r="II19" s="81"/>
      <c r="IJ19" s="81"/>
      <c r="IK19" s="81"/>
      <c r="IL19" s="81"/>
      <c r="IM19" s="81"/>
      <c r="IN19" s="81"/>
      <c r="IO19" s="81"/>
      <c r="IP19" s="81"/>
      <c r="IQ19" s="81"/>
      <c r="IR19" s="81"/>
      <c r="IS19" s="81"/>
      <c r="IT19" s="81"/>
      <c r="IU19" s="81"/>
      <c r="IV19" s="81"/>
      <c r="IW19" s="81"/>
      <c r="IX19" s="81"/>
      <c r="IY19" s="81"/>
      <c r="IZ19" s="81"/>
      <c r="JA19" s="81"/>
      <c r="JB19" s="81"/>
      <c r="JC19" s="81"/>
      <c r="JD19" s="81"/>
      <c r="JE19" s="81"/>
      <c r="JF19" s="81"/>
      <c r="JG19" s="81"/>
      <c r="JH19" s="81"/>
      <c r="JI19" s="81"/>
      <c r="JJ19" s="81"/>
      <c r="JK19" s="81"/>
      <c r="JL19" s="81"/>
      <c r="JM19" s="81"/>
      <c r="JN19" s="81"/>
      <c r="JO19" s="81"/>
      <c r="JP19" s="81"/>
      <c r="JQ19" s="81"/>
      <c r="JR19" s="81"/>
      <c r="JS19" s="81"/>
      <c r="JT19" s="81"/>
      <c r="JU19" s="81"/>
      <c r="JV19" s="81"/>
      <c r="JW19" s="81"/>
      <c r="JX19" s="81"/>
      <c r="JY19" s="81"/>
      <c r="JZ19" s="81"/>
      <c r="KA19" s="81"/>
      <c r="KB19" s="81"/>
      <c r="KC19" s="81"/>
      <c r="KD19" s="81"/>
      <c r="KE19" s="81"/>
      <c r="KF19" s="81"/>
      <c r="KG19" s="81"/>
      <c r="KH19" s="81"/>
      <c r="KI19" s="81"/>
      <c r="KJ19" s="81"/>
      <c r="KK19" s="81"/>
      <c r="KL19" s="81"/>
      <c r="KM19" s="81"/>
      <c r="KN19" s="81"/>
      <c r="KO19" s="81"/>
      <c r="KP19" s="81"/>
    </row>
    <row r="20" spans="1:302" s="81" customFormat="1" ht="30" customHeight="1" thickBot="1" x14ac:dyDescent="0.3">
      <c r="A20" s="45"/>
      <c r="B20" s="238"/>
      <c r="C20" s="239"/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360" t="s">
        <v>45</v>
      </c>
      <c r="P20" s="360"/>
      <c r="Q20" s="360"/>
      <c r="R20" s="360"/>
      <c r="S20" s="359">
        <f>C2</f>
        <v>2026</v>
      </c>
      <c r="T20" s="359"/>
      <c r="U20" s="359"/>
      <c r="V20" s="359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1"/>
      <c r="AH20" s="242"/>
      <c r="AI20" s="243"/>
      <c r="AJ20" s="243"/>
      <c r="AK20" s="243"/>
      <c r="AL20" s="243"/>
      <c r="AM20" s="243"/>
      <c r="AN20" s="243"/>
      <c r="AO20" s="243"/>
      <c r="AP20" s="243"/>
      <c r="AQ20" s="243"/>
      <c r="AR20" s="337" t="s">
        <v>46</v>
      </c>
      <c r="AS20" s="337"/>
      <c r="AT20" s="337"/>
      <c r="AU20" s="334">
        <f>C2</f>
        <v>2026</v>
      </c>
      <c r="AV20" s="334"/>
      <c r="AW20" s="334"/>
      <c r="AX20" s="243"/>
      <c r="AY20" s="243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1"/>
      <c r="BM20" s="239"/>
      <c r="BN20" s="240"/>
      <c r="BO20" s="240"/>
      <c r="BP20" s="240"/>
      <c r="BQ20" s="240"/>
      <c r="BR20" s="240"/>
      <c r="BS20" s="240"/>
      <c r="BT20" s="240"/>
      <c r="BU20" s="240"/>
      <c r="BV20" s="240"/>
      <c r="BW20" s="240"/>
      <c r="BX20" s="240"/>
      <c r="BY20" s="337" t="s">
        <v>47</v>
      </c>
      <c r="BZ20" s="337"/>
      <c r="CA20" s="337"/>
      <c r="CB20" s="334">
        <f>C2</f>
        <v>2026</v>
      </c>
      <c r="CC20" s="334"/>
      <c r="CD20" s="334"/>
      <c r="CE20" s="240"/>
      <c r="CF20" s="240"/>
      <c r="CG20" s="240"/>
      <c r="CH20" s="240"/>
      <c r="CI20" s="240"/>
      <c r="CJ20" s="240"/>
      <c r="CK20" s="240"/>
      <c r="CL20" s="240"/>
      <c r="CM20" s="240"/>
      <c r="CN20" s="240"/>
      <c r="CO20" s="240"/>
      <c r="CP20" s="241"/>
      <c r="CQ20" s="239"/>
      <c r="CR20" s="240"/>
      <c r="CS20" s="240"/>
      <c r="CT20" s="240"/>
      <c r="CU20" s="240"/>
      <c r="CV20" s="240"/>
      <c r="CW20" s="240"/>
      <c r="CX20" s="240"/>
      <c r="CY20" s="240"/>
      <c r="CZ20" s="240"/>
      <c r="DA20" s="240"/>
      <c r="DB20" s="337" t="s">
        <v>48</v>
      </c>
      <c r="DC20" s="337"/>
      <c r="DD20" s="337"/>
      <c r="DE20" s="334">
        <f>C2</f>
        <v>2026</v>
      </c>
      <c r="DF20" s="334"/>
      <c r="DG20" s="334"/>
      <c r="DH20" s="240"/>
      <c r="DI20" s="240"/>
      <c r="DJ20" s="240"/>
      <c r="DK20" s="240"/>
      <c r="DL20" s="240"/>
      <c r="DM20" s="240"/>
      <c r="DN20" s="240"/>
      <c r="DO20" s="240"/>
      <c r="DP20" s="240"/>
      <c r="DQ20" s="240"/>
      <c r="DR20" s="240"/>
      <c r="DS20" s="240"/>
      <c r="DT20" s="240"/>
      <c r="DU20" s="244"/>
      <c r="DV20" s="239"/>
      <c r="DW20" s="240"/>
      <c r="DX20" s="240"/>
      <c r="DY20" s="240"/>
      <c r="DZ20" s="240"/>
      <c r="EA20" s="240"/>
      <c r="EB20" s="240"/>
      <c r="EC20" s="240"/>
      <c r="ED20" s="240"/>
      <c r="EE20" s="240"/>
      <c r="EF20" s="240"/>
      <c r="EG20" s="240"/>
      <c r="EH20" s="337" t="s">
        <v>70</v>
      </c>
      <c r="EI20" s="337"/>
      <c r="EJ20" s="337"/>
      <c r="EK20" s="334">
        <f>C2</f>
        <v>2026</v>
      </c>
      <c r="EL20" s="334"/>
      <c r="EM20" s="334"/>
      <c r="EN20" s="240"/>
      <c r="EO20" s="240"/>
      <c r="EP20" s="240"/>
      <c r="EQ20" s="240"/>
      <c r="ER20" s="240"/>
      <c r="ES20" s="240"/>
      <c r="ET20" s="240"/>
      <c r="EU20" s="240"/>
      <c r="EV20" s="240"/>
      <c r="EW20" s="240"/>
      <c r="EX20" s="240"/>
      <c r="EY20" s="240"/>
      <c r="EZ20" s="247"/>
      <c r="FA20" s="248"/>
      <c r="FB20" s="249"/>
      <c r="FC20" s="249"/>
      <c r="FD20" s="249"/>
      <c r="FE20" s="249"/>
      <c r="FF20" s="249"/>
      <c r="FG20" s="249"/>
      <c r="FH20" s="249"/>
      <c r="FI20" s="249"/>
      <c r="FJ20" s="249"/>
      <c r="FK20" s="335" t="s">
        <v>49</v>
      </c>
      <c r="FL20" s="335"/>
      <c r="FM20" s="335"/>
      <c r="FN20" s="336">
        <f>C2</f>
        <v>2026</v>
      </c>
      <c r="FO20" s="336"/>
      <c r="FP20" s="336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50"/>
    </row>
    <row r="21" spans="1:302" s="70" customFormat="1" ht="18" customHeight="1" thickBot="1" x14ac:dyDescent="0.3">
      <c r="A21" s="74"/>
      <c r="B21" s="71"/>
      <c r="C21" s="341"/>
      <c r="D21" s="342"/>
      <c r="E21" s="342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323" t="s">
        <v>58</v>
      </c>
      <c r="AG21" s="323"/>
      <c r="AH21" s="323"/>
      <c r="AI21" s="323"/>
      <c r="AJ21" s="323"/>
      <c r="AK21" s="323"/>
      <c r="AL21" s="323"/>
      <c r="AM21" s="323"/>
      <c r="AN21" s="323"/>
      <c r="AO21" s="323"/>
      <c r="AP21" s="323"/>
      <c r="AQ21" s="323"/>
      <c r="AR21" s="323"/>
      <c r="AS21" s="323"/>
      <c r="AT21" s="323"/>
      <c r="AU21" s="323"/>
      <c r="AV21" s="323"/>
      <c r="AW21" s="323"/>
      <c r="AX21" s="323"/>
      <c r="AY21" s="323"/>
      <c r="AZ21" s="323"/>
      <c r="BA21" s="323"/>
      <c r="BB21" s="323"/>
      <c r="BC21" s="323"/>
      <c r="BD21" s="323"/>
      <c r="BE21" s="323"/>
      <c r="BF21" s="323"/>
      <c r="BG21" s="323"/>
      <c r="BH21" s="323"/>
      <c r="BI21" s="323"/>
      <c r="BJ21" s="323"/>
      <c r="BK21" s="323"/>
      <c r="BL21" s="323"/>
      <c r="BM21" s="323"/>
      <c r="BN21" s="323"/>
      <c r="BO21" s="323"/>
      <c r="BP21" s="323"/>
      <c r="BQ21" s="323"/>
      <c r="BR21" s="323"/>
      <c r="BS21" s="323"/>
      <c r="BT21" s="323"/>
      <c r="BU21" s="323"/>
      <c r="BV21" s="323"/>
      <c r="BW21" s="323"/>
      <c r="BX21" s="323"/>
      <c r="BY21" s="323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72"/>
      <c r="CR21" s="72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323" t="s">
        <v>59</v>
      </c>
      <c r="DO21" s="323"/>
      <c r="DP21" s="323"/>
      <c r="DQ21" s="323"/>
      <c r="DR21" s="323"/>
      <c r="DS21" s="323"/>
      <c r="DT21" s="323"/>
      <c r="DU21" s="323"/>
      <c r="DV21" s="323"/>
      <c r="DW21" s="73"/>
      <c r="DX21" s="73"/>
      <c r="DY21" s="73"/>
      <c r="DZ21" s="73"/>
      <c r="EA21" s="73"/>
      <c r="EB21" s="73"/>
      <c r="EC21" s="73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72"/>
      <c r="EZ21" s="72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354" t="s">
        <v>60</v>
      </c>
      <c r="FW21" s="355"/>
      <c r="FX21" s="355"/>
      <c r="FY21" s="355"/>
      <c r="FZ21" s="355"/>
      <c r="GA21" s="355"/>
      <c r="GB21" s="355"/>
      <c r="GC21" s="355"/>
      <c r="GD21" s="355"/>
      <c r="GE21" s="58"/>
      <c r="GF21" s="75"/>
      <c r="GG21" s="75"/>
    </row>
    <row r="22" spans="1:302" s="75" customFormat="1" ht="18" customHeight="1" thickBot="1" x14ac:dyDescent="0.3">
      <c r="A22" s="74"/>
      <c r="B22" s="112"/>
      <c r="C22" s="312" t="s">
        <v>136</v>
      </c>
      <c r="D22" s="313"/>
      <c r="E22" s="313"/>
      <c r="F22" s="313"/>
      <c r="G22" s="314"/>
      <c r="H22" s="312" t="s">
        <v>104</v>
      </c>
      <c r="I22" s="313"/>
      <c r="J22" s="313"/>
      <c r="K22" s="313"/>
      <c r="L22" s="313"/>
      <c r="M22" s="313"/>
      <c r="N22" s="314"/>
      <c r="O22" s="312" t="s">
        <v>105</v>
      </c>
      <c r="P22" s="313"/>
      <c r="Q22" s="313"/>
      <c r="R22" s="313"/>
      <c r="S22" s="313"/>
      <c r="T22" s="313"/>
      <c r="U22" s="314"/>
      <c r="V22" s="312" t="s">
        <v>106</v>
      </c>
      <c r="W22" s="313"/>
      <c r="X22" s="313"/>
      <c r="Y22" s="313"/>
      <c r="Z22" s="313"/>
      <c r="AA22" s="313"/>
      <c r="AB22" s="314"/>
      <c r="AC22" s="312" t="s">
        <v>107</v>
      </c>
      <c r="AD22" s="313"/>
      <c r="AE22" s="313"/>
      <c r="AF22" s="313"/>
      <c r="AG22" s="313"/>
      <c r="AH22" s="313"/>
      <c r="AI22" s="314"/>
      <c r="AJ22" s="312" t="s">
        <v>108</v>
      </c>
      <c r="AK22" s="313"/>
      <c r="AL22" s="313"/>
      <c r="AM22" s="313"/>
      <c r="AN22" s="313"/>
      <c r="AO22" s="313"/>
      <c r="AP22" s="314"/>
      <c r="AQ22" s="312" t="s">
        <v>109</v>
      </c>
      <c r="AR22" s="313"/>
      <c r="AS22" s="313"/>
      <c r="AT22" s="313"/>
      <c r="AU22" s="313"/>
      <c r="AV22" s="313"/>
      <c r="AW22" s="314"/>
      <c r="AX22" s="312" t="s">
        <v>137</v>
      </c>
      <c r="AY22" s="313"/>
      <c r="AZ22" s="313"/>
      <c r="BA22" s="313"/>
      <c r="BB22" s="313"/>
      <c r="BC22" s="313"/>
      <c r="BD22" s="314"/>
      <c r="BE22" s="312" t="s">
        <v>110</v>
      </c>
      <c r="BF22" s="313"/>
      <c r="BG22" s="313"/>
      <c r="BH22" s="313"/>
      <c r="BI22" s="313"/>
      <c r="BJ22" s="313"/>
      <c r="BK22" s="314"/>
      <c r="BL22" s="312" t="s">
        <v>112</v>
      </c>
      <c r="BM22" s="313"/>
      <c r="BN22" s="313"/>
      <c r="BO22" s="313"/>
      <c r="BP22" s="313"/>
      <c r="BQ22" s="313"/>
      <c r="BR22" s="314"/>
      <c r="BS22" s="312" t="s">
        <v>113</v>
      </c>
      <c r="BT22" s="313"/>
      <c r="BU22" s="313"/>
      <c r="BV22" s="313"/>
      <c r="BW22" s="313"/>
      <c r="BX22" s="313"/>
      <c r="BY22" s="314"/>
      <c r="BZ22" s="312" t="s">
        <v>111</v>
      </c>
      <c r="CA22" s="313"/>
      <c r="CB22" s="313"/>
      <c r="CC22" s="313"/>
      <c r="CD22" s="313"/>
      <c r="CE22" s="313"/>
      <c r="CF22" s="314"/>
      <c r="CG22" s="312" t="s">
        <v>114</v>
      </c>
      <c r="CH22" s="313"/>
      <c r="CI22" s="313"/>
      <c r="CJ22" s="313"/>
      <c r="CK22" s="313"/>
      <c r="CL22" s="313"/>
      <c r="CM22" s="314"/>
      <c r="CN22" s="312" t="s">
        <v>115</v>
      </c>
      <c r="CO22" s="313"/>
      <c r="CP22" s="313"/>
      <c r="CQ22" s="313"/>
      <c r="CR22" s="313"/>
      <c r="CS22" s="313"/>
      <c r="CT22" s="314"/>
      <c r="CU22" s="312" t="s">
        <v>116</v>
      </c>
      <c r="CV22" s="313"/>
      <c r="CW22" s="313"/>
      <c r="CX22" s="313"/>
      <c r="CY22" s="313"/>
      <c r="CZ22" s="313"/>
      <c r="DA22" s="314"/>
      <c r="DB22" s="312" t="s">
        <v>117</v>
      </c>
      <c r="DC22" s="313"/>
      <c r="DD22" s="313"/>
      <c r="DE22" s="313"/>
      <c r="DF22" s="313"/>
      <c r="DG22" s="313"/>
      <c r="DH22" s="314"/>
      <c r="DI22" s="312" t="s">
        <v>118</v>
      </c>
      <c r="DJ22" s="313"/>
      <c r="DK22" s="313"/>
      <c r="DL22" s="313"/>
      <c r="DM22" s="313"/>
      <c r="DN22" s="313"/>
      <c r="DO22" s="314"/>
      <c r="DP22" s="312" t="s">
        <v>119</v>
      </c>
      <c r="DQ22" s="313"/>
      <c r="DR22" s="313"/>
      <c r="DS22" s="313"/>
      <c r="DT22" s="313"/>
      <c r="DU22" s="313"/>
      <c r="DV22" s="314"/>
      <c r="DW22" s="312" t="s">
        <v>120</v>
      </c>
      <c r="DX22" s="313"/>
      <c r="DY22" s="313"/>
      <c r="DZ22" s="313"/>
      <c r="EA22" s="313"/>
      <c r="EB22" s="313"/>
      <c r="EC22" s="314"/>
      <c r="ED22" s="312" t="s">
        <v>121</v>
      </c>
      <c r="EE22" s="313"/>
      <c r="EF22" s="313"/>
      <c r="EG22" s="313"/>
      <c r="EH22" s="313"/>
      <c r="EI22" s="313"/>
      <c r="EJ22" s="314"/>
      <c r="EK22" s="312" t="s">
        <v>122</v>
      </c>
      <c r="EL22" s="313"/>
      <c r="EM22" s="313"/>
      <c r="EN22" s="313"/>
      <c r="EO22" s="313"/>
      <c r="EP22" s="313"/>
      <c r="EQ22" s="314"/>
      <c r="ER22" s="312" t="s">
        <v>123</v>
      </c>
      <c r="ES22" s="313"/>
      <c r="ET22" s="313"/>
      <c r="EU22" s="313"/>
      <c r="EV22" s="313"/>
      <c r="EW22" s="313"/>
      <c r="EX22" s="314"/>
      <c r="EY22" s="312" t="s">
        <v>124</v>
      </c>
      <c r="EZ22" s="313"/>
      <c r="FA22" s="313"/>
      <c r="FB22" s="313"/>
      <c r="FC22" s="313"/>
      <c r="FD22" s="313"/>
      <c r="FE22" s="314"/>
      <c r="FF22" s="312" t="s">
        <v>125</v>
      </c>
      <c r="FG22" s="313"/>
      <c r="FH22" s="313"/>
      <c r="FI22" s="313"/>
      <c r="FJ22" s="313"/>
      <c r="FK22" s="313"/>
      <c r="FL22" s="314"/>
      <c r="FM22" s="312" t="s">
        <v>126</v>
      </c>
      <c r="FN22" s="313"/>
      <c r="FO22" s="313"/>
      <c r="FP22" s="313"/>
      <c r="FQ22" s="313"/>
      <c r="FR22" s="313"/>
      <c r="FS22" s="314"/>
      <c r="FT22" s="312" t="s">
        <v>127</v>
      </c>
      <c r="FU22" s="313"/>
      <c r="FV22" s="313"/>
      <c r="FW22" s="313"/>
      <c r="FX22" s="313"/>
      <c r="FY22" s="313"/>
      <c r="FZ22" s="314"/>
      <c r="GA22" s="312" t="s">
        <v>78</v>
      </c>
      <c r="GB22" s="313"/>
      <c r="GC22" s="313"/>
      <c r="GD22" s="314"/>
      <c r="GE22" s="58"/>
    </row>
    <row r="23" spans="1:302" ht="27.9" customHeight="1" x14ac:dyDescent="0.25">
      <c r="B23" s="136"/>
      <c r="C23" s="59">
        <v>1</v>
      </c>
      <c r="D23" s="60">
        <v>2</v>
      </c>
      <c r="E23" s="60">
        <v>3</v>
      </c>
      <c r="F23" s="60">
        <v>4</v>
      </c>
      <c r="G23" s="60">
        <v>5</v>
      </c>
      <c r="H23" s="60">
        <v>6</v>
      </c>
      <c r="I23" s="60">
        <v>7</v>
      </c>
      <c r="J23" s="60">
        <v>8</v>
      </c>
      <c r="K23" s="60">
        <v>9</v>
      </c>
      <c r="L23" s="60">
        <v>10</v>
      </c>
      <c r="M23" s="60">
        <v>11</v>
      </c>
      <c r="N23" s="60">
        <v>12</v>
      </c>
      <c r="O23" s="60">
        <v>13</v>
      </c>
      <c r="P23" s="60">
        <v>14</v>
      </c>
      <c r="Q23" s="60">
        <v>15</v>
      </c>
      <c r="R23" s="60">
        <v>16</v>
      </c>
      <c r="S23" s="60">
        <v>17</v>
      </c>
      <c r="T23" s="60">
        <v>18</v>
      </c>
      <c r="U23" s="60">
        <v>19</v>
      </c>
      <c r="V23" s="60">
        <v>20</v>
      </c>
      <c r="W23" s="60">
        <v>21</v>
      </c>
      <c r="X23" s="60">
        <v>22</v>
      </c>
      <c r="Y23" s="60">
        <v>23</v>
      </c>
      <c r="Z23" s="60">
        <v>24</v>
      </c>
      <c r="AA23" s="60">
        <v>25</v>
      </c>
      <c r="AB23" s="60">
        <v>26</v>
      </c>
      <c r="AC23" s="60">
        <v>27</v>
      </c>
      <c r="AD23" s="60">
        <v>28</v>
      </c>
      <c r="AE23" s="130">
        <v>29</v>
      </c>
      <c r="AF23" s="134">
        <v>30</v>
      </c>
      <c r="AG23" s="59">
        <v>31</v>
      </c>
      <c r="AH23" s="60">
        <v>1</v>
      </c>
      <c r="AI23" s="60">
        <v>2</v>
      </c>
      <c r="AJ23" s="60">
        <v>3</v>
      </c>
      <c r="AK23" s="60">
        <v>4</v>
      </c>
      <c r="AL23" s="60">
        <v>5</v>
      </c>
      <c r="AM23" s="60">
        <v>6</v>
      </c>
      <c r="AN23" s="60">
        <v>7</v>
      </c>
      <c r="AO23" s="60">
        <v>8</v>
      </c>
      <c r="AP23" s="60">
        <v>9</v>
      </c>
      <c r="AQ23" s="60">
        <v>10</v>
      </c>
      <c r="AR23" s="60">
        <v>11</v>
      </c>
      <c r="AS23" s="60">
        <v>12</v>
      </c>
      <c r="AT23" s="60">
        <v>13</v>
      </c>
      <c r="AU23" s="60">
        <v>14</v>
      </c>
      <c r="AV23" s="60">
        <v>15</v>
      </c>
      <c r="AW23" s="60">
        <v>16</v>
      </c>
      <c r="AX23" s="60">
        <v>17</v>
      </c>
      <c r="AY23" s="60">
        <v>18</v>
      </c>
      <c r="AZ23" s="60">
        <v>19</v>
      </c>
      <c r="BA23" s="60">
        <v>20</v>
      </c>
      <c r="BB23" s="60">
        <v>21</v>
      </c>
      <c r="BC23" s="60">
        <v>22</v>
      </c>
      <c r="BD23" s="60">
        <v>23</v>
      </c>
      <c r="BE23" s="60">
        <v>24</v>
      </c>
      <c r="BF23" s="60">
        <v>25</v>
      </c>
      <c r="BG23" s="60">
        <v>26</v>
      </c>
      <c r="BH23" s="60">
        <v>27</v>
      </c>
      <c r="BI23" s="60">
        <v>28</v>
      </c>
      <c r="BJ23" s="60">
        <v>29</v>
      </c>
      <c r="BK23" s="60">
        <v>30</v>
      </c>
      <c r="BL23" s="60">
        <v>31</v>
      </c>
      <c r="BM23" s="60">
        <v>1</v>
      </c>
      <c r="BN23" s="60">
        <v>2</v>
      </c>
      <c r="BO23" s="60">
        <v>3</v>
      </c>
      <c r="BP23" s="60">
        <v>4</v>
      </c>
      <c r="BQ23" s="60">
        <v>5</v>
      </c>
      <c r="BR23" s="60">
        <v>6</v>
      </c>
      <c r="BS23" s="60">
        <v>7</v>
      </c>
      <c r="BT23" s="60">
        <v>8</v>
      </c>
      <c r="BU23" s="60">
        <v>9</v>
      </c>
      <c r="BV23" s="60">
        <v>10</v>
      </c>
      <c r="BW23" s="60">
        <v>11</v>
      </c>
      <c r="BX23" s="60">
        <v>12</v>
      </c>
      <c r="BY23" s="60">
        <v>13</v>
      </c>
      <c r="BZ23" s="60">
        <v>14</v>
      </c>
      <c r="CA23" s="60">
        <v>15</v>
      </c>
      <c r="CB23" s="60">
        <v>16</v>
      </c>
      <c r="CC23" s="60">
        <v>17</v>
      </c>
      <c r="CD23" s="60">
        <v>18</v>
      </c>
      <c r="CE23" s="60">
        <v>19</v>
      </c>
      <c r="CF23" s="60">
        <v>20</v>
      </c>
      <c r="CG23" s="60">
        <v>21</v>
      </c>
      <c r="CH23" s="60">
        <v>22</v>
      </c>
      <c r="CI23" s="60">
        <v>23</v>
      </c>
      <c r="CJ23" s="60">
        <v>24</v>
      </c>
      <c r="CK23" s="60">
        <v>25</v>
      </c>
      <c r="CL23" s="60">
        <v>26</v>
      </c>
      <c r="CM23" s="60">
        <v>27</v>
      </c>
      <c r="CN23" s="60">
        <v>28</v>
      </c>
      <c r="CO23" s="60">
        <v>29</v>
      </c>
      <c r="CP23" s="60">
        <v>30</v>
      </c>
      <c r="CQ23" s="59">
        <v>1</v>
      </c>
      <c r="CR23" s="60">
        <v>2</v>
      </c>
      <c r="CS23" s="60">
        <v>3</v>
      </c>
      <c r="CT23" s="59">
        <v>4</v>
      </c>
      <c r="CU23" s="60">
        <v>5</v>
      </c>
      <c r="CV23" s="60">
        <v>6</v>
      </c>
      <c r="CW23" s="59">
        <v>7</v>
      </c>
      <c r="CX23" s="60">
        <v>8</v>
      </c>
      <c r="CY23" s="60">
        <v>9</v>
      </c>
      <c r="CZ23" s="59">
        <v>10</v>
      </c>
      <c r="DA23" s="60">
        <v>11</v>
      </c>
      <c r="DB23" s="60">
        <v>12</v>
      </c>
      <c r="DC23" s="59">
        <v>13</v>
      </c>
      <c r="DD23" s="60">
        <v>14</v>
      </c>
      <c r="DE23" s="60">
        <v>15</v>
      </c>
      <c r="DF23" s="59">
        <v>16</v>
      </c>
      <c r="DG23" s="60">
        <v>17</v>
      </c>
      <c r="DH23" s="60">
        <v>18</v>
      </c>
      <c r="DI23" s="59">
        <v>19</v>
      </c>
      <c r="DJ23" s="60">
        <v>20</v>
      </c>
      <c r="DK23" s="60">
        <v>21</v>
      </c>
      <c r="DL23" s="59">
        <v>22</v>
      </c>
      <c r="DM23" s="60">
        <v>23</v>
      </c>
      <c r="DN23" s="60">
        <v>24</v>
      </c>
      <c r="DO23" s="59">
        <v>25</v>
      </c>
      <c r="DP23" s="60">
        <v>26</v>
      </c>
      <c r="DQ23" s="60">
        <v>27</v>
      </c>
      <c r="DR23" s="59">
        <v>28</v>
      </c>
      <c r="DS23" s="60">
        <v>29</v>
      </c>
      <c r="DT23" s="60">
        <v>30</v>
      </c>
      <c r="DU23" s="59">
        <v>31</v>
      </c>
      <c r="DV23" s="59">
        <v>1</v>
      </c>
      <c r="DW23" s="60">
        <v>2</v>
      </c>
      <c r="DX23" s="60">
        <v>3</v>
      </c>
      <c r="DY23" s="59">
        <v>4</v>
      </c>
      <c r="DZ23" s="60">
        <v>5</v>
      </c>
      <c r="EA23" s="60">
        <v>6</v>
      </c>
      <c r="EB23" s="59">
        <v>7</v>
      </c>
      <c r="EC23" s="60">
        <v>8</v>
      </c>
      <c r="ED23" s="60">
        <v>9</v>
      </c>
      <c r="EE23" s="59">
        <v>10</v>
      </c>
      <c r="EF23" s="60">
        <v>11</v>
      </c>
      <c r="EG23" s="60">
        <v>12</v>
      </c>
      <c r="EH23" s="59">
        <v>13</v>
      </c>
      <c r="EI23" s="60">
        <v>14</v>
      </c>
      <c r="EJ23" s="60">
        <v>15</v>
      </c>
      <c r="EK23" s="59">
        <v>16</v>
      </c>
      <c r="EL23" s="60">
        <v>17</v>
      </c>
      <c r="EM23" s="60">
        <v>18</v>
      </c>
      <c r="EN23" s="59">
        <v>19</v>
      </c>
      <c r="EO23" s="60">
        <v>20</v>
      </c>
      <c r="EP23" s="60">
        <v>21</v>
      </c>
      <c r="EQ23" s="59">
        <v>22</v>
      </c>
      <c r="ER23" s="60">
        <v>23</v>
      </c>
      <c r="ES23" s="60">
        <v>24</v>
      </c>
      <c r="ET23" s="59">
        <v>25</v>
      </c>
      <c r="EU23" s="60">
        <v>26</v>
      </c>
      <c r="EV23" s="60">
        <v>27</v>
      </c>
      <c r="EW23" s="59">
        <v>28</v>
      </c>
      <c r="EX23" s="60">
        <v>29</v>
      </c>
      <c r="EY23" s="60">
        <v>30</v>
      </c>
      <c r="EZ23" s="60">
        <v>1</v>
      </c>
      <c r="FA23" s="60">
        <v>2</v>
      </c>
      <c r="FB23" s="60">
        <v>3</v>
      </c>
      <c r="FC23" s="59">
        <v>4</v>
      </c>
      <c r="FD23" s="60">
        <v>5</v>
      </c>
      <c r="FE23" s="60">
        <v>6</v>
      </c>
      <c r="FF23" s="59">
        <v>7</v>
      </c>
      <c r="FG23" s="60">
        <v>8</v>
      </c>
      <c r="FH23" s="60">
        <v>9</v>
      </c>
      <c r="FI23" s="59">
        <v>10</v>
      </c>
      <c r="FJ23" s="60">
        <v>11</v>
      </c>
      <c r="FK23" s="60">
        <v>12</v>
      </c>
      <c r="FL23" s="59">
        <v>13</v>
      </c>
      <c r="FM23" s="60">
        <v>14</v>
      </c>
      <c r="FN23" s="60">
        <v>15</v>
      </c>
      <c r="FO23" s="59">
        <v>16</v>
      </c>
      <c r="FP23" s="60">
        <v>17</v>
      </c>
      <c r="FQ23" s="60">
        <v>18</v>
      </c>
      <c r="FR23" s="59">
        <v>19</v>
      </c>
      <c r="FS23" s="60">
        <v>20</v>
      </c>
      <c r="FT23" s="60">
        <v>21</v>
      </c>
      <c r="FU23" s="59">
        <v>22</v>
      </c>
      <c r="FV23" s="60">
        <v>23</v>
      </c>
      <c r="FW23" s="60">
        <v>24</v>
      </c>
      <c r="FX23" s="59">
        <v>25</v>
      </c>
      <c r="FY23" s="60">
        <v>26</v>
      </c>
      <c r="FZ23" s="60">
        <v>27</v>
      </c>
      <c r="GA23" s="59">
        <v>28</v>
      </c>
      <c r="GB23" s="59">
        <v>29</v>
      </c>
      <c r="GC23" s="60">
        <v>30</v>
      </c>
      <c r="GD23" s="59">
        <v>31</v>
      </c>
    </row>
    <row r="24" spans="1:302" ht="27.9" customHeight="1" thickBot="1" x14ac:dyDescent="0.3">
      <c r="B24" s="137"/>
      <c r="C24" s="63" t="s">
        <v>2</v>
      </c>
      <c r="D24" s="63" t="s">
        <v>3</v>
      </c>
      <c r="E24" s="63" t="s">
        <v>4</v>
      </c>
      <c r="F24" s="63" t="s">
        <v>5</v>
      </c>
      <c r="G24" s="63" t="s">
        <v>6</v>
      </c>
      <c r="H24" s="63" t="s">
        <v>7</v>
      </c>
      <c r="I24" s="63" t="s">
        <v>1</v>
      </c>
      <c r="J24" s="63" t="s">
        <v>2</v>
      </c>
      <c r="K24" s="63" t="s">
        <v>3</v>
      </c>
      <c r="L24" s="63" t="s">
        <v>4</v>
      </c>
      <c r="M24" s="63" t="s">
        <v>5</v>
      </c>
      <c r="N24" s="63" t="s">
        <v>6</v>
      </c>
      <c r="O24" s="63" t="s">
        <v>7</v>
      </c>
      <c r="P24" s="63" t="s">
        <v>1</v>
      </c>
      <c r="Q24" s="63" t="s">
        <v>2</v>
      </c>
      <c r="R24" s="63" t="s">
        <v>3</v>
      </c>
      <c r="S24" s="63" t="s">
        <v>4</v>
      </c>
      <c r="T24" s="63" t="s">
        <v>5</v>
      </c>
      <c r="U24" s="63" t="s">
        <v>6</v>
      </c>
      <c r="V24" s="63" t="s">
        <v>7</v>
      </c>
      <c r="W24" s="63" t="s">
        <v>1</v>
      </c>
      <c r="X24" s="63" t="s">
        <v>2</v>
      </c>
      <c r="Y24" s="63" t="s">
        <v>3</v>
      </c>
      <c r="Z24" s="63" t="s">
        <v>4</v>
      </c>
      <c r="AA24" s="63" t="s">
        <v>5</v>
      </c>
      <c r="AB24" s="63" t="s">
        <v>6</v>
      </c>
      <c r="AC24" s="63" t="s">
        <v>7</v>
      </c>
      <c r="AD24" s="63" t="s">
        <v>1</v>
      </c>
      <c r="AE24" s="63" t="s">
        <v>2</v>
      </c>
      <c r="AF24" s="63" t="s">
        <v>3</v>
      </c>
      <c r="AG24" s="63" t="s">
        <v>4</v>
      </c>
      <c r="AH24" s="63" t="s">
        <v>5</v>
      </c>
      <c r="AI24" s="63" t="s">
        <v>6</v>
      </c>
      <c r="AJ24" s="63" t="s">
        <v>7</v>
      </c>
      <c r="AK24" s="63" t="s">
        <v>1</v>
      </c>
      <c r="AL24" s="63" t="s">
        <v>2</v>
      </c>
      <c r="AM24" s="63" t="s">
        <v>3</v>
      </c>
      <c r="AN24" s="63" t="s">
        <v>4</v>
      </c>
      <c r="AO24" s="63" t="s">
        <v>5</v>
      </c>
      <c r="AP24" s="63" t="s">
        <v>6</v>
      </c>
      <c r="AQ24" s="63" t="s">
        <v>7</v>
      </c>
      <c r="AR24" s="63" t="s">
        <v>1</v>
      </c>
      <c r="AS24" s="63" t="s">
        <v>2</v>
      </c>
      <c r="AT24" s="63" t="s">
        <v>3</v>
      </c>
      <c r="AU24" s="63" t="s">
        <v>4</v>
      </c>
      <c r="AV24" s="63" t="s">
        <v>5</v>
      </c>
      <c r="AW24" s="63" t="s">
        <v>6</v>
      </c>
      <c r="AX24" s="63" t="s">
        <v>7</v>
      </c>
      <c r="AY24" s="63" t="s">
        <v>1</v>
      </c>
      <c r="AZ24" s="63" t="s">
        <v>2</v>
      </c>
      <c r="BA24" s="63" t="s">
        <v>3</v>
      </c>
      <c r="BB24" s="63" t="s">
        <v>4</v>
      </c>
      <c r="BC24" s="63" t="s">
        <v>5</v>
      </c>
      <c r="BD24" s="63" t="s">
        <v>6</v>
      </c>
      <c r="BE24" s="63" t="s">
        <v>7</v>
      </c>
      <c r="BF24" s="63" t="s">
        <v>1</v>
      </c>
      <c r="BG24" s="63" t="s">
        <v>2</v>
      </c>
      <c r="BH24" s="63" t="s">
        <v>3</v>
      </c>
      <c r="BI24" s="63" t="s">
        <v>4</v>
      </c>
      <c r="BJ24" s="63" t="s">
        <v>5</v>
      </c>
      <c r="BK24" s="63" t="s">
        <v>6</v>
      </c>
      <c r="BL24" s="63" t="s">
        <v>7</v>
      </c>
      <c r="BM24" s="63" t="s">
        <v>1</v>
      </c>
      <c r="BN24" s="63" t="s">
        <v>2</v>
      </c>
      <c r="BO24" s="63" t="s">
        <v>3</v>
      </c>
      <c r="BP24" s="63" t="s">
        <v>4</v>
      </c>
      <c r="BQ24" s="63" t="s">
        <v>5</v>
      </c>
      <c r="BR24" s="63" t="s">
        <v>6</v>
      </c>
      <c r="BS24" s="63" t="s">
        <v>7</v>
      </c>
      <c r="BT24" s="63" t="s">
        <v>1</v>
      </c>
      <c r="BU24" s="63" t="s">
        <v>2</v>
      </c>
      <c r="BV24" s="63" t="s">
        <v>3</v>
      </c>
      <c r="BW24" s="63" t="s">
        <v>4</v>
      </c>
      <c r="BX24" s="63" t="s">
        <v>5</v>
      </c>
      <c r="BY24" s="63" t="s">
        <v>6</v>
      </c>
      <c r="BZ24" s="63" t="s">
        <v>7</v>
      </c>
      <c r="CA24" s="63" t="s">
        <v>1</v>
      </c>
      <c r="CB24" s="63" t="s">
        <v>2</v>
      </c>
      <c r="CC24" s="63" t="s">
        <v>3</v>
      </c>
      <c r="CD24" s="63" t="s">
        <v>4</v>
      </c>
      <c r="CE24" s="63" t="s">
        <v>5</v>
      </c>
      <c r="CF24" s="63" t="s">
        <v>6</v>
      </c>
      <c r="CG24" s="63" t="s">
        <v>7</v>
      </c>
      <c r="CH24" s="63" t="s">
        <v>1</v>
      </c>
      <c r="CI24" s="63" t="s">
        <v>2</v>
      </c>
      <c r="CJ24" s="63" t="s">
        <v>3</v>
      </c>
      <c r="CK24" s="63" t="s">
        <v>4</v>
      </c>
      <c r="CL24" s="63" t="s">
        <v>5</v>
      </c>
      <c r="CM24" s="63" t="s">
        <v>6</v>
      </c>
      <c r="CN24" s="63" t="s">
        <v>7</v>
      </c>
      <c r="CO24" s="63" t="s">
        <v>1</v>
      </c>
      <c r="CP24" s="63" t="s">
        <v>2</v>
      </c>
      <c r="CQ24" s="63" t="s">
        <v>3</v>
      </c>
      <c r="CR24" s="63" t="s">
        <v>4</v>
      </c>
      <c r="CS24" s="63" t="s">
        <v>5</v>
      </c>
      <c r="CT24" s="63" t="s">
        <v>6</v>
      </c>
      <c r="CU24" s="63" t="s">
        <v>7</v>
      </c>
      <c r="CV24" s="63" t="s">
        <v>1</v>
      </c>
      <c r="CW24" s="63" t="s">
        <v>2</v>
      </c>
      <c r="CX24" s="63" t="s">
        <v>3</v>
      </c>
      <c r="CY24" s="63" t="s">
        <v>4</v>
      </c>
      <c r="CZ24" s="63" t="s">
        <v>5</v>
      </c>
      <c r="DA24" s="63" t="s">
        <v>6</v>
      </c>
      <c r="DB24" s="63" t="s">
        <v>7</v>
      </c>
      <c r="DC24" s="63" t="s">
        <v>1</v>
      </c>
      <c r="DD24" s="63" t="s">
        <v>2</v>
      </c>
      <c r="DE24" s="63" t="s">
        <v>3</v>
      </c>
      <c r="DF24" s="63" t="s">
        <v>4</v>
      </c>
      <c r="DG24" s="63" t="s">
        <v>5</v>
      </c>
      <c r="DH24" s="63" t="s">
        <v>6</v>
      </c>
      <c r="DI24" s="63" t="s">
        <v>7</v>
      </c>
      <c r="DJ24" s="63" t="s">
        <v>1</v>
      </c>
      <c r="DK24" s="63" t="s">
        <v>2</v>
      </c>
      <c r="DL24" s="63" t="s">
        <v>3</v>
      </c>
      <c r="DM24" s="63" t="s">
        <v>4</v>
      </c>
      <c r="DN24" s="63" t="s">
        <v>5</v>
      </c>
      <c r="DO24" s="63" t="s">
        <v>6</v>
      </c>
      <c r="DP24" s="63" t="s">
        <v>7</v>
      </c>
      <c r="DQ24" s="63" t="s">
        <v>1</v>
      </c>
      <c r="DR24" s="63" t="s">
        <v>2</v>
      </c>
      <c r="DS24" s="63" t="s">
        <v>3</v>
      </c>
      <c r="DT24" s="63" t="s">
        <v>4</v>
      </c>
      <c r="DU24" s="63" t="s">
        <v>5</v>
      </c>
      <c r="DV24" s="63" t="s">
        <v>6</v>
      </c>
      <c r="DW24" s="63" t="s">
        <v>7</v>
      </c>
      <c r="DX24" s="63" t="s">
        <v>1</v>
      </c>
      <c r="DY24" s="63" t="s">
        <v>2</v>
      </c>
      <c r="DZ24" s="63" t="s">
        <v>3</v>
      </c>
      <c r="EA24" s="63" t="s">
        <v>4</v>
      </c>
      <c r="EB24" s="63" t="s">
        <v>5</v>
      </c>
      <c r="EC24" s="63" t="s">
        <v>6</v>
      </c>
      <c r="ED24" s="63" t="s">
        <v>7</v>
      </c>
      <c r="EE24" s="63" t="s">
        <v>1</v>
      </c>
      <c r="EF24" s="63" t="s">
        <v>2</v>
      </c>
      <c r="EG24" s="63" t="s">
        <v>3</v>
      </c>
      <c r="EH24" s="63" t="s">
        <v>4</v>
      </c>
      <c r="EI24" s="63" t="s">
        <v>5</v>
      </c>
      <c r="EJ24" s="63" t="s">
        <v>6</v>
      </c>
      <c r="EK24" s="63" t="s">
        <v>7</v>
      </c>
      <c r="EL24" s="63" t="s">
        <v>1</v>
      </c>
      <c r="EM24" s="63" t="s">
        <v>2</v>
      </c>
      <c r="EN24" s="63" t="s">
        <v>3</v>
      </c>
      <c r="EO24" s="63" t="s">
        <v>4</v>
      </c>
      <c r="EP24" s="63" t="s">
        <v>5</v>
      </c>
      <c r="EQ24" s="63" t="s">
        <v>6</v>
      </c>
      <c r="ER24" s="63" t="s">
        <v>7</v>
      </c>
      <c r="ES24" s="63" t="s">
        <v>1</v>
      </c>
      <c r="ET24" s="63" t="s">
        <v>2</v>
      </c>
      <c r="EU24" s="63" t="s">
        <v>3</v>
      </c>
      <c r="EV24" s="63" t="s">
        <v>4</v>
      </c>
      <c r="EW24" s="63" t="s">
        <v>5</v>
      </c>
      <c r="EX24" s="63" t="s">
        <v>6</v>
      </c>
      <c r="EY24" s="63" t="s">
        <v>7</v>
      </c>
      <c r="EZ24" s="63" t="s">
        <v>1</v>
      </c>
      <c r="FA24" s="63" t="s">
        <v>2</v>
      </c>
      <c r="FB24" s="63" t="s">
        <v>3</v>
      </c>
      <c r="FC24" s="63" t="s">
        <v>4</v>
      </c>
      <c r="FD24" s="63" t="s">
        <v>5</v>
      </c>
      <c r="FE24" s="63" t="s">
        <v>6</v>
      </c>
      <c r="FF24" s="63" t="s">
        <v>7</v>
      </c>
      <c r="FG24" s="63" t="s">
        <v>1</v>
      </c>
      <c r="FH24" s="63" t="s">
        <v>2</v>
      </c>
      <c r="FI24" s="63" t="s">
        <v>3</v>
      </c>
      <c r="FJ24" s="63" t="s">
        <v>4</v>
      </c>
      <c r="FK24" s="63" t="s">
        <v>5</v>
      </c>
      <c r="FL24" s="63" t="s">
        <v>6</v>
      </c>
      <c r="FM24" s="63" t="s">
        <v>7</v>
      </c>
      <c r="FN24" s="63" t="s">
        <v>1</v>
      </c>
      <c r="FO24" s="63" t="s">
        <v>2</v>
      </c>
      <c r="FP24" s="63" t="s">
        <v>3</v>
      </c>
      <c r="FQ24" s="63" t="s">
        <v>4</v>
      </c>
      <c r="FR24" s="63" t="s">
        <v>5</v>
      </c>
      <c r="FS24" s="63" t="s">
        <v>6</v>
      </c>
      <c r="FT24" s="63" t="s">
        <v>7</v>
      </c>
      <c r="FU24" s="63" t="s">
        <v>1</v>
      </c>
      <c r="FV24" s="63" t="s">
        <v>2</v>
      </c>
      <c r="FW24" s="63" t="s">
        <v>3</v>
      </c>
      <c r="FX24" s="63" t="s">
        <v>4</v>
      </c>
      <c r="FY24" s="63" t="s">
        <v>5</v>
      </c>
      <c r="FZ24" s="63" t="s">
        <v>6</v>
      </c>
      <c r="GA24" s="63" t="s">
        <v>7</v>
      </c>
      <c r="GB24" s="63" t="s">
        <v>1</v>
      </c>
      <c r="GC24" s="63" t="s">
        <v>2</v>
      </c>
      <c r="GD24" s="63" t="s">
        <v>3</v>
      </c>
      <c r="GE24" s="321" t="s">
        <v>148</v>
      </c>
      <c r="GF24" s="322"/>
      <c r="GG24" s="321" t="s">
        <v>149</v>
      </c>
      <c r="GH24" s="322"/>
    </row>
    <row r="25" spans="1:302" ht="28.2" customHeight="1" thickBot="1" x14ac:dyDescent="0.3">
      <c r="B25" s="68" t="s">
        <v>128</v>
      </c>
      <c r="C25" s="227" t="s">
        <v>74</v>
      </c>
      <c r="D25" s="227" t="s">
        <v>74</v>
      </c>
      <c r="E25" s="228" t="s">
        <v>21</v>
      </c>
      <c r="F25" s="116"/>
      <c r="G25" s="116"/>
      <c r="H25" s="133"/>
      <c r="I25" s="141"/>
      <c r="J25" s="141"/>
      <c r="K25" s="141"/>
      <c r="L25" s="141"/>
      <c r="M25" s="116"/>
      <c r="N25" s="116"/>
      <c r="O25" s="44" t="s">
        <v>8</v>
      </c>
      <c r="P25" s="44" t="s">
        <v>8</v>
      </c>
      <c r="Q25" s="44" t="s">
        <v>8</v>
      </c>
      <c r="R25" s="44" t="s">
        <v>8</v>
      </c>
      <c r="S25" s="44" t="s">
        <v>8</v>
      </c>
      <c r="T25" s="116"/>
      <c r="U25" s="116"/>
      <c r="V25" s="141" t="s">
        <v>72</v>
      </c>
      <c r="W25" s="141" t="s">
        <v>72</v>
      </c>
      <c r="X25" s="141" t="s">
        <v>72</v>
      </c>
      <c r="Y25" s="141" t="s">
        <v>72</v>
      </c>
      <c r="Z25" s="141" t="s">
        <v>72</v>
      </c>
      <c r="AA25" s="116"/>
      <c r="AB25" s="116"/>
      <c r="AC25" s="133"/>
      <c r="AD25" s="138"/>
      <c r="AE25" s="138"/>
      <c r="AF25" s="138"/>
      <c r="AG25" s="138"/>
      <c r="AH25" s="116"/>
      <c r="AI25" s="116"/>
      <c r="AJ25" s="133"/>
      <c r="AK25" s="182"/>
      <c r="AL25" s="195"/>
      <c r="AM25" s="196"/>
      <c r="AN25" s="140"/>
      <c r="AO25" s="116"/>
      <c r="AP25" s="227" t="s">
        <v>74</v>
      </c>
      <c r="AQ25" s="227" t="s">
        <v>74</v>
      </c>
      <c r="AR25" s="227" t="s">
        <v>74</v>
      </c>
      <c r="AS25" s="227" t="s">
        <v>74</v>
      </c>
      <c r="AT25" s="227" t="s">
        <v>74</v>
      </c>
      <c r="AU25" s="228" t="s">
        <v>21</v>
      </c>
      <c r="AV25" s="116"/>
      <c r="AW25" s="116"/>
      <c r="AX25" s="44" t="s">
        <v>8</v>
      </c>
      <c r="AY25" s="44" t="s">
        <v>8</v>
      </c>
      <c r="AZ25" s="44" t="s">
        <v>8</v>
      </c>
      <c r="BA25" s="44" t="s">
        <v>8</v>
      </c>
      <c r="BB25" s="44" t="s">
        <v>8</v>
      </c>
      <c r="BC25" s="116"/>
      <c r="BD25" s="116"/>
      <c r="BE25" s="44" t="s">
        <v>8</v>
      </c>
      <c r="BF25" s="44" t="s">
        <v>8</v>
      </c>
      <c r="BG25" s="44" t="s">
        <v>8</v>
      </c>
      <c r="BH25" s="44" t="s">
        <v>8</v>
      </c>
      <c r="BI25" s="44" t="s">
        <v>8</v>
      </c>
      <c r="BJ25" s="116"/>
      <c r="BK25" s="116"/>
      <c r="BL25" s="44" t="s">
        <v>8</v>
      </c>
      <c r="BM25" s="44" t="s">
        <v>8</v>
      </c>
      <c r="BN25" s="44" t="s">
        <v>8</v>
      </c>
      <c r="BO25" s="44" t="s">
        <v>8</v>
      </c>
      <c r="BP25" s="44" t="s">
        <v>8</v>
      </c>
      <c r="BQ25" s="116"/>
      <c r="BR25" s="116"/>
      <c r="BS25" s="44" t="s">
        <v>8</v>
      </c>
      <c r="BT25" s="44" t="s">
        <v>8</v>
      </c>
      <c r="BU25" s="44" t="s">
        <v>8</v>
      </c>
      <c r="BV25" s="44" t="s">
        <v>8</v>
      </c>
      <c r="BW25" s="44" t="s">
        <v>8</v>
      </c>
      <c r="BX25" s="116"/>
      <c r="BY25" s="116"/>
      <c r="BZ25" s="133"/>
      <c r="CA25" s="140"/>
      <c r="CB25" s="141"/>
      <c r="CC25" s="196"/>
      <c r="CD25" s="140"/>
      <c r="CE25" s="116"/>
      <c r="CF25" s="116"/>
      <c r="CG25" s="133"/>
      <c r="CH25" s="133"/>
      <c r="CI25" s="141"/>
      <c r="CJ25" s="141"/>
      <c r="CK25" s="141"/>
      <c r="CL25" s="116"/>
      <c r="CM25" s="227" t="s">
        <v>74</v>
      </c>
      <c r="CN25" s="227" t="s">
        <v>74</v>
      </c>
      <c r="CO25" s="227" t="s">
        <v>74</v>
      </c>
      <c r="CP25" s="227" t="s">
        <v>74</v>
      </c>
      <c r="CQ25" s="227" t="s">
        <v>74</v>
      </c>
      <c r="CR25" s="228" t="s">
        <v>21</v>
      </c>
      <c r="CS25" s="348"/>
      <c r="CT25" s="116"/>
      <c r="CU25" s="133"/>
      <c r="CV25" s="176"/>
      <c r="CW25" s="176"/>
      <c r="CX25" s="176"/>
      <c r="CY25" s="176"/>
      <c r="CZ25" s="116"/>
      <c r="DA25" s="116"/>
      <c r="DB25" s="287"/>
      <c r="DC25" s="287"/>
      <c r="DD25" s="287"/>
      <c r="DE25" s="287"/>
      <c r="DF25" s="287"/>
      <c r="DG25" s="116"/>
      <c r="DH25" s="116"/>
      <c r="DI25" s="133"/>
      <c r="DJ25" s="140"/>
      <c r="DK25" s="141"/>
      <c r="DL25" s="196"/>
      <c r="DM25" s="140"/>
      <c r="DN25" s="116"/>
      <c r="DO25" s="116"/>
      <c r="DP25" s="133"/>
      <c r="DQ25" s="176"/>
      <c r="DR25" s="176"/>
      <c r="DS25" s="176"/>
      <c r="DT25" s="176"/>
      <c r="DU25" s="116"/>
      <c r="DV25" s="351"/>
      <c r="DW25" s="194"/>
      <c r="DX25" s="194"/>
      <c r="DY25" s="194"/>
      <c r="DZ25" s="194"/>
      <c r="EA25" s="194"/>
      <c r="EB25" s="116"/>
      <c r="EC25" s="227" t="s">
        <v>74</v>
      </c>
      <c r="ED25" s="227" t="s">
        <v>74</v>
      </c>
      <c r="EE25" s="227" t="s">
        <v>74</v>
      </c>
      <c r="EF25" s="227" t="s">
        <v>74</v>
      </c>
      <c r="EG25" s="227" t="s">
        <v>74</v>
      </c>
      <c r="EH25" s="228" t="s">
        <v>21</v>
      </c>
      <c r="EI25" s="116"/>
      <c r="EJ25" s="116"/>
      <c r="EK25" s="133"/>
      <c r="EL25" s="140"/>
      <c r="EM25" s="141"/>
      <c r="EN25" s="138"/>
      <c r="EO25" s="140"/>
      <c r="EP25" s="116"/>
      <c r="EQ25" s="116"/>
      <c r="ER25" s="133"/>
      <c r="ES25" s="140"/>
      <c r="ET25" s="257"/>
      <c r="EU25" s="140"/>
      <c r="EV25" s="141"/>
      <c r="EW25" s="116"/>
      <c r="EX25" s="116"/>
      <c r="EY25" s="194"/>
      <c r="EZ25" s="194"/>
      <c r="FA25" s="194"/>
      <c r="FB25" s="194"/>
      <c r="FC25" s="194"/>
      <c r="FD25" s="116"/>
      <c r="FE25" s="116"/>
      <c r="FF25" s="133"/>
      <c r="FG25" s="141"/>
      <c r="FH25" s="141"/>
      <c r="FI25" s="141"/>
      <c r="FJ25" s="141"/>
      <c r="FK25" s="116"/>
      <c r="FL25" s="116"/>
      <c r="FM25" s="133"/>
      <c r="FN25" s="140"/>
      <c r="FO25" s="140"/>
      <c r="FP25" s="140"/>
      <c r="FQ25" s="140"/>
      <c r="FR25" s="116"/>
      <c r="FS25" s="227" t="s">
        <v>74</v>
      </c>
      <c r="FT25" s="227" t="s">
        <v>74</v>
      </c>
      <c r="FU25" s="227" t="s">
        <v>74</v>
      </c>
      <c r="FV25" s="227" t="s">
        <v>74</v>
      </c>
      <c r="FW25" s="318"/>
      <c r="FX25" s="318"/>
      <c r="FY25" s="318"/>
      <c r="FZ25" s="116"/>
      <c r="GA25" s="133"/>
      <c r="GB25" s="273"/>
      <c r="GC25" s="273"/>
      <c r="GD25" s="315"/>
      <c r="GE25" s="234"/>
      <c r="GF25" s="96"/>
      <c r="GG25" s="82"/>
      <c r="GK25" s="65"/>
    </row>
    <row r="26" spans="1:302" ht="28.2" customHeight="1" thickBot="1" x14ac:dyDescent="0.3">
      <c r="B26" s="66" t="s">
        <v>142</v>
      </c>
      <c r="C26" s="44" t="s">
        <v>8</v>
      </c>
      <c r="D26" s="44" t="s">
        <v>8</v>
      </c>
      <c r="E26" s="44" t="s">
        <v>8</v>
      </c>
      <c r="F26" s="116"/>
      <c r="G26" s="116"/>
      <c r="H26" s="44" t="s">
        <v>8</v>
      </c>
      <c r="I26" s="44" t="s">
        <v>8</v>
      </c>
      <c r="J26" s="44" t="s">
        <v>8</v>
      </c>
      <c r="K26" s="44" t="s">
        <v>8</v>
      </c>
      <c r="L26" s="44" t="s">
        <v>8</v>
      </c>
      <c r="M26" s="116"/>
      <c r="N26" s="116"/>
      <c r="O26" s="133"/>
      <c r="P26" s="140"/>
      <c r="Q26" s="140"/>
      <c r="R26" s="140"/>
      <c r="S26" s="140"/>
      <c r="T26" s="116"/>
      <c r="U26" s="227" t="s">
        <v>74</v>
      </c>
      <c r="V26" s="227" t="s">
        <v>74</v>
      </c>
      <c r="W26" s="227" t="s">
        <v>74</v>
      </c>
      <c r="X26" s="227" t="s">
        <v>74</v>
      </c>
      <c r="Y26" s="227" t="s">
        <v>74</v>
      </c>
      <c r="Z26" s="228" t="s">
        <v>21</v>
      </c>
      <c r="AA26" s="116"/>
      <c r="AB26" s="116"/>
      <c r="AC26" s="141" t="s">
        <v>72</v>
      </c>
      <c r="AD26" s="141" t="s">
        <v>72</v>
      </c>
      <c r="AE26" s="141" t="s">
        <v>72</v>
      </c>
      <c r="AF26" s="141" t="s">
        <v>72</v>
      </c>
      <c r="AG26" s="141" t="s">
        <v>72</v>
      </c>
      <c r="AH26" s="116"/>
      <c r="AI26" s="116"/>
      <c r="AJ26" s="133"/>
      <c r="AK26" s="141"/>
      <c r="AL26" s="141"/>
      <c r="AM26" s="141"/>
      <c r="AN26" s="141"/>
      <c r="AO26" s="116"/>
      <c r="AP26" s="116"/>
      <c r="AQ26" s="133"/>
      <c r="AR26" s="140"/>
      <c r="AS26" s="140"/>
      <c r="AT26" s="140"/>
      <c r="AU26" s="140"/>
      <c r="AV26" s="116"/>
      <c r="AW26" s="116"/>
      <c r="AX26" s="133"/>
      <c r="AY26" s="141"/>
      <c r="AZ26" s="141"/>
      <c r="BA26" s="141"/>
      <c r="BB26" s="176"/>
      <c r="BC26" s="116"/>
      <c r="BD26" s="227" t="s">
        <v>74</v>
      </c>
      <c r="BE26" s="227" t="s">
        <v>74</v>
      </c>
      <c r="BF26" s="227" t="s">
        <v>74</v>
      </c>
      <c r="BG26" s="227" t="s">
        <v>74</v>
      </c>
      <c r="BH26" s="227" t="s">
        <v>74</v>
      </c>
      <c r="BI26" s="228" t="s">
        <v>21</v>
      </c>
      <c r="BJ26" s="116"/>
      <c r="BK26" s="116"/>
      <c r="BL26" s="133"/>
      <c r="BM26" s="195"/>
      <c r="BN26" s="195"/>
      <c r="BO26" s="140"/>
      <c r="BP26" s="140"/>
      <c r="BQ26" s="116"/>
      <c r="BR26" s="116"/>
      <c r="BS26" s="194"/>
      <c r="BT26" s="194"/>
      <c r="BU26" s="194"/>
      <c r="BV26" s="194"/>
      <c r="BW26" s="194"/>
      <c r="BX26" s="116"/>
      <c r="BY26" s="116"/>
      <c r="BZ26" s="133"/>
      <c r="CA26" s="141"/>
      <c r="CB26" s="141"/>
      <c r="CC26" s="141"/>
      <c r="CD26" s="141"/>
      <c r="CE26" s="116"/>
      <c r="CF26" s="227" t="s">
        <v>74</v>
      </c>
      <c r="CG26" s="227" t="s">
        <v>74</v>
      </c>
      <c r="CH26" s="227" t="s">
        <v>74</v>
      </c>
      <c r="CI26" s="227" t="s">
        <v>74</v>
      </c>
      <c r="CJ26" s="227" t="s">
        <v>74</v>
      </c>
      <c r="CK26" s="228" t="s">
        <v>21</v>
      </c>
      <c r="CL26" s="116"/>
      <c r="CM26" s="116"/>
      <c r="CN26" s="133"/>
      <c r="CO26" s="176"/>
      <c r="CP26" s="176"/>
      <c r="CQ26" s="176"/>
      <c r="CR26" s="176"/>
      <c r="CS26" s="349"/>
      <c r="CT26" s="116"/>
      <c r="CU26" s="44" t="s">
        <v>8</v>
      </c>
      <c r="CV26" s="44" t="s">
        <v>8</v>
      </c>
      <c r="CW26" s="44" t="s">
        <v>8</v>
      </c>
      <c r="CX26" s="44" t="s">
        <v>8</v>
      </c>
      <c r="CY26" s="44" t="s">
        <v>8</v>
      </c>
      <c r="CZ26" s="116"/>
      <c r="DA26" s="116"/>
      <c r="DB26" s="44" t="s">
        <v>8</v>
      </c>
      <c r="DC26" s="44" t="s">
        <v>8</v>
      </c>
      <c r="DD26" s="44" t="s">
        <v>8</v>
      </c>
      <c r="DE26" s="44" t="s">
        <v>8</v>
      </c>
      <c r="DF26" s="44" t="s">
        <v>8</v>
      </c>
      <c r="DG26" s="116"/>
      <c r="DH26" s="116"/>
      <c r="DI26" s="133"/>
      <c r="DJ26" s="140"/>
      <c r="DK26" s="140"/>
      <c r="DL26" s="140"/>
      <c r="DM26" s="140"/>
      <c r="DN26" s="116"/>
      <c r="DO26" s="116"/>
      <c r="DP26" s="194"/>
      <c r="DQ26" s="194"/>
      <c r="DR26" s="194"/>
      <c r="DS26" s="194"/>
      <c r="DT26" s="194"/>
      <c r="DU26" s="116"/>
      <c r="DV26" s="352"/>
      <c r="DW26" s="227" t="s">
        <v>74</v>
      </c>
      <c r="DX26" s="227" t="s">
        <v>74</v>
      </c>
      <c r="DY26" s="227" t="s">
        <v>74</v>
      </c>
      <c r="DZ26" s="227" t="s">
        <v>74</v>
      </c>
      <c r="EA26" s="228" t="s">
        <v>21</v>
      </c>
      <c r="EB26" s="116"/>
      <c r="EC26" s="116"/>
      <c r="ED26" s="133"/>
      <c r="EE26" s="140"/>
      <c r="EF26" s="141"/>
      <c r="EG26" s="141"/>
      <c r="EH26" s="141"/>
      <c r="EI26" s="116"/>
      <c r="EJ26" s="116"/>
      <c r="EK26" s="133"/>
      <c r="EL26" s="141"/>
      <c r="EM26" s="141"/>
      <c r="EN26" s="141"/>
      <c r="EO26" s="141"/>
      <c r="EP26" s="116"/>
      <c r="EQ26" s="116"/>
      <c r="ER26" s="133"/>
      <c r="ES26" s="141"/>
      <c r="ET26" s="141"/>
      <c r="EU26" s="141"/>
      <c r="EV26" s="258"/>
      <c r="EW26" s="116"/>
      <c r="EX26" s="116"/>
      <c r="EY26" s="133"/>
      <c r="EZ26" s="140"/>
      <c r="FA26" s="140"/>
      <c r="FB26" s="140"/>
      <c r="FC26" s="140"/>
      <c r="FD26" s="116"/>
      <c r="FE26" s="227" t="s">
        <v>74</v>
      </c>
      <c r="FF26" s="227" t="s">
        <v>74</v>
      </c>
      <c r="FG26" s="227" t="s">
        <v>74</v>
      </c>
      <c r="FH26" s="227" t="s">
        <v>74</v>
      </c>
      <c r="FI26" s="227" t="s">
        <v>74</v>
      </c>
      <c r="FJ26" s="228" t="s">
        <v>21</v>
      </c>
      <c r="FK26" s="116"/>
      <c r="FL26" s="116"/>
      <c r="FM26" s="133"/>
      <c r="FN26" s="140"/>
      <c r="FO26" s="140"/>
      <c r="FP26" s="140"/>
      <c r="FQ26" s="44" t="s">
        <v>8</v>
      </c>
      <c r="FR26" s="116"/>
      <c r="FS26" s="116"/>
      <c r="FT26" s="44" t="s">
        <v>8</v>
      </c>
      <c r="FU26" s="44" t="s">
        <v>8</v>
      </c>
      <c r="FV26" s="44" t="s">
        <v>8</v>
      </c>
      <c r="FW26" s="319"/>
      <c r="FX26" s="319"/>
      <c r="FY26" s="319"/>
      <c r="FZ26" s="116"/>
      <c r="GA26" s="44" t="s">
        <v>8</v>
      </c>
      <c r="GB26" s="44" t="s">
        <v>8</v>
      </c>
      <c r="GC26" s="44" t="s">
        <v>8</v>
      </c>
      <c r="GD26" s="316"/>
      <c r="GE26" s="234"/>
      <c r="GF26" s="96"/>
      <c r="GG26" s="65"/>
    </row>
    <row r="27" spans="1:302" ht="28.2" customHeight="1" thickBot="1" x14ac:dyDescent="0.3">
      <c r="B27" s="66" t="s">
        <v>135</v>
      </c>
      <c r="C27" s="140"/>
      <c r="D27" s="140"/>
      <c r="E27" s="140"/>
      <c r="F27" s="116"/>
      <c r="G27" s="116"/>
      <c r="H27" s="133"/>
      <c r="I27" s="140"/>
      <c r="J27" s="140"/>
      <c r="K27" s="140"/>
      <c r="L27" s="140"/>
      <c r="M27" s="116"/>
      <c r="N27" s="116"/>
      <c r="O27" s="133"/>
      <c r="P27" s="140"/>
      <c r="Q27" s="140"/>
      <c r="R27" s="140"/>
      <c r="S27" s="140"/>
      <c r="T27" s="116"/>
      <c r="U27" s="116"/>
      <c r="V27" s="133"/>
      <c r="W27" s="140"/>
      <c r="X27" s="140"/>
      <c r="Y27" s="140"/>
      <c r="Z27" s="140"/>
      <c r="AA27" s="116"/>
      <c r="AB27" s="116"/>
      <c r="AC27" s="133"/>
      <c r="AD27" s="140"/>
      <c r="AE27" s="140"/>
      <c r="AF27" s="140"/>
      <c r="AG27" s="140"/>
      <c r="AH27" s="116"/>
      <c r="AI27" s="116"/>
      <c r="AJ27" s="133"/>
      <c r="AK27" s="176"/>
      <c r="AL27" s="176"/>
      <c r="AM27" s="176"/>
      <c r="AN27" s="176"/>
      <c r="AO27" s="116"/>
      <c r="AP27" s="116"/>
      <c r="AQ27" s="133"/>
      <c r="AR27" s="140"/>
      <c r="AS27" s="140"/>
      <c r="AT27" s="140"/>
      <c r="AU27" s="140"/>
      <c r="AV27" s="116"/>
      <c r="AW27" s="116"/>
      <c r="AX27" s="133"/>
      <c r="AY27" s="140"/>
      <c r="AZ27" s="140"/>
      <c r="BA27" s="140"/>
      <c r="BB27" s="140"/>
      <c r="BC27" s="116"/>
      <c r="BD27" s="116"/>
      <c r="BE27" s="133"/>
      <c r="BF27" s="194"/>
      <c r="BG27" s="194"/>
      <c r="BH27" s="194"/>
      <c r="BI27" s="194"/>
      <c r="BJ27" s="116"/>
      <c r="BK27" s="116"/>
      <c r="BL27" s="133"/>
      <c r="BM27" s="133"/>
      <c r="BN27" s="141"/>
      <c r="BO27" s="141"/>
      <c r="BP27" s="141"/>
      <c r="BQ27" s="116"/>
      <c r="BR27" s="116"/>
      <c r="BS27" s="133"/>
      <c r="BT27" s="133"/>
      <c r="BU27" s="140"/>
      <c r="BV27" s="138"/>
      <c r="BW27" s="140"/>
      <c r="BX27" s="116"/>
      <c r="BY27" s="116"/>
      <c r="BZ27" s="133"/>
      <c r="CA27" s="133"/>
      <c r="CB27" s="140"/>
      <c r="CC27" s="141"/>
      <c r="CD27" s="140"/>
      <c r="CE27" s="116"/>
      <c r="CF27" s="116"/>
      <c r="CG27" s="133"/>
      <c r="CH27" s="133"/>
      <c r="CI27" s="141"/>
      <c r="CJ27" s="141"/>
      <c r="CK27" s="141"/>
      <c r="CL27" s="116"/>
      <c r="CM27" s="116"/>
      <c r="CN27" s="133"/>
      <c r="CO27" s="133"/>
      <c r="CP27" s="140"/>
      <c r="CQ27" s="141"/>
      <c r="CR27" s="140"/>
      <c r="CS27" s="349"/>
      <c r="CT27" s="116"/>
      <c r="CU27" s="133"/>
      <c r="CV27" s="138"/>
      <c r="CW27" s="138"/>
      <c r="CX27" s="138"/>
      <c r="CY27" s="138"/>
      <c r="CZ27" s="116"/>
      <c r="DA27" s="116"/>
      <c r="DB27" s="287"/>
      <c r="DC27" s="287"/>
      <c r="DD27" s="287"/>
      <c r="DE27" s="287"/>
      <c r="DF27" s="287"/>
      <c r="DG27" s="116"/>
      <c r="DH27" s="116"/>
      <c r="DI27" s="133"/>
      <c r="DJ27" s="133"/>
      <c r="DK27" s="140"/>
      <c r="DL27" s="141"/>
      <c r="DM27" s="196"/>
      <c r="DN27" s="116"/>
      <c r="DO27" s="116"/>
      <c r="DP27" s="133"/>
      <c r="DQ27" s="141"/>
      <c r="DR27" s="141"/>
      <c r="DS27" s="141"/>
      <c r="DT27" s="141"/>
      <c r="DU27" s="116"/>
      <c r="DV27" s="352"/>
      <c r="DW27" s="133"/>
      <c r="DX27" s="133"/>
      <c r="DY27" s="140"/>
      <c r="DZ27" s="141"/>
      <c r="EA27" s="140"/>
      <c r="EB27" s="116"/>
      <c r="EC27" s="116"/>
      <c r="ED27" s="133"/>
      <c r="EE27" s="194"/>
      <c r="EF27" s="194"/>
      <c r="EG27" s="194"/>
      <c r="EH27" s="194"/>
      <c r="EI27" s="116"/>
      <c r="EJ27" s="116"/>
      <c r="EK27" s="133"/>
      <c r="EL27" s="133"/>
      <c r="EM27" s="138"/>
      <c r="EN27" s="138"/>
      <c r="EO27" s="140"/>
      <c r="EP27" s="116"/>
      <c r="EQ27" s="116"/>
      <c r="ER27" s="133"/>
      <c r="ES27" s="141"/>
      <c r="ET27" s="141"/>
      <c r="EU27" s="141"/>
      <c r="EV27" s="141"/>
      <c r="EW27" s="116"/>
      <c r="EX27" s="116"/>
      <c r="EY27" s="133"/>
      <c r="EZ27" s="194"/>
      <c r="FA27" s="194"/>
      <c r="FB27" s="194"/>
      <c r="FC27" s="194"/>
      <c r="FD27" s="116"/>
      <c r="FE27" s="116"/>
      <c r="FF27" s="133"/>
      <c r="FG27" s="133"/>
      <c r="FH27" s="176"/>
      <c r="FI27" s="176"/>
      <c r="FJ27" s="176"/>
      <c r="FK27" s="116"/>
      <c r="FL27" s="116"/>
      <c r="FM27" s="133"/>
      <c r="FN27" s="133"/>
      <c r="FO27" s="141"/>
      <c r="FP27" s="197"/>
      <c r="FQ27" s="197"/>
      <c r="FR27" s="116"/>
      <c r="FS27" s="116"/>
      <c r="FT27" s="133"/>
      <c r="FU27" s="133"/>
      <c r="FV27" s="176"/>
      <c r="FW27" s="319"/>
      <c r="FX27" s="319"/>
      <c r="FY27" s="319"/>
      <c r="FZ27" s="116"/>
      <c r="GA27" s="133"/>
      <c r="GB27" s="133"/>
      <c r="GC27" s="176"/>
      <c r="GD27" s="316"/>
      <c r="GE27" s="234"/>
      <c r="GF27" s="235"/>
      <c r="GG27" s="65"/>
    </row>
    <row r="28" spans="1:302" ht="28.2" customHeight="1" thickBot="1" x14ac:dyDescent="0.3">
      <c r="B28" s="157" t="s">
        <v>143</v>
      </c>
      <c r="C28" s="195"/>
      <c r="D28" s="69" t="s">
        <v>19</v>
      </c>
      <c r="E28" s="140"/>
      <c r="F28" s="116"/>
      <c r="G28" s="227" t="s">
        <v>74</v>
      </c>
      <c r="H28" s="227" t="s">
        <v>74</v>
      </c>
      <c r="I28" s="227" t="s">
        <v>74</v>
      </c>
      <c r="J28" s="227" t="s">
        <v>74</v>
      </c>
      <c r="K28" s="227" t="s">
        <v>74</v>
      </c>
      <c r="L28" s="228" t="s">
        <v>21</v>
      </c>
      <c r="M28" s="116"/>
      <c r="N28" s="116"/>
      <c r="O28" s="122"/>
      <c r="P28" s="140"/>
      <c r="Q28" s="141"/>
      <c r="R28" s="196"/>
      <c r="S28" s="140"/>
      <c r="T28" s="116"/>
      <c r="U28" s="116"/>
      <c r="V28" s="44" t="s">
        <v>8</v>
      </c>
      <c r="W28" s="44" t="s">
        <v>8</v>
      </c>
      <c r="X28" s="44" t="s">
        <v>8</v>
      </c>
      <c r="Y28" s="44" t="s">
        <v>8</v>
      </c>
      <c r="Z28" s="44" t="s">
        <v>8</v>
      </c>
      <c r="AA28" s="116"/>
      <c r="AB28" s="116"/>
      <c r="AC28" s="44" t="s">
        <v>8</v>
      </c>
      <c r="AD28" s="44" t="s">
        <v>8</v>
      </c>
      <c r="AE28" s="141"/>
      <c r="AF28" s="141"/>
      <c r="AG28" s="141"/>
      <c r="AH28" s="116"/>
      <c r="AI28" s="116"/>
      <c r="AJ28" s="133"/>
      <c r="AK28" s="140"/>
      <c r="AL28" s="141"/>
      <c r="AM28" s="140"/>
      <c r="AN28" s="44" t="s">
        <v>8</v>
      </c>
      <c r="AO28" s="116"/>
      <c r="AP28" s="116"/>
      <c r="AQ28" s="44" t="s">
        <v>8</v>
      </c>
      <c r="AR28" s="141"/>
      <c r="AS28" s="141"/>
      <c r="AT28" s="141"/>
      <c r="AU28" s="141"/>
      <c r="AV28" s="116"/>
      <c r="AW28" s="116"/>
      <c r="AX28" s="122"/>
      <c r="AY28" s="141"/>
      <c r="AZ28" s="141"/>
      <c r="BA28" s="141"/>
      <c r="BB28" s="141"/>
      <c r="BC28" s="116"/>
      <c r="BD28" s="116"/>
      <c r="BE28" s="133"/>
      <c r="BF28" s="141"/>
      <c r="BG28" s="141"/>
      <c r="BH28" s="141"/>
      <c r="BI28" s="141"/>
      <c r="BJ28" s="116"/>
      <c r="BK28" s="227" t="s">
        <v>74</v>
      </c>
      <c r="BL28" s="227" t="s">
        <v>74</v>
      </c>
      <c r="BM28" s="227" t="s">
        <v>74</v>
      </c>
      <c r="BN28" s="227" t="s">
        <v>74</v>
      </c>
      <c r="BO28" s="227" t="s">
        <v>74</v>
      </c>
      <c r="BP28" s="228" t="s">
        <v>21</v>
      </c>
      <c r="BQ28" s="116"/>
      <c r="BR28" s="116"/>
      <c r="BS28" s="133"/>
      <c r="BT28" s="176"/>
      <c r="BU28" s="141"/>
      <c r="BV28" s="140"/>
      <c r="BW28" s="140"/>
      <c r="BX28" s="116"/>
      <c r="BY28" s="116"/>
      <c r="BZ28" s="194"/>
      <c r="CA28" s="194"/>
      <c r="CB28" s="194"/>
      <c r="CC28" s="194"/>
      <c r="CD28" s="194"/>
      <c r="CE28" s="116"/>
      <c r="CF28" s="116"/>
      <c r="CG28" s="44" t="s">
        <v>8</v>
      </c>
      <c r="CH28" s="44" t="s">
        <v>8</v>
      </c>
      <c r="CI28" s="44" t="s">
        <v>8</v>
      </c>
      <c r="CJ28" s="44" t="s">
        <v>8</v>
      </c>
      <c r="CK28" s="44" t="s">
        <v>8</v>
      </c>
      <c r="CL28" s="116"/>
      <c r="CM28" s="116"/>
      <c r="CN28" s="44" t="s">
        <v>8</v>
      </c>
      <c r="CO28" s="44" t="s">
        <v>8</v>
      </c>
      <c r="CP28" s="44" t="s">
        <v>8</v>
      </c>
      <c r="CQ28" s="44" t="s">
        <v>8</v>
      </c>
      <c r="CR28" s="44" t="s">
        <v>8</v>
      </c>
      <c r="CS28" s="349"/>
      <c r="CT28" s="227" t="s">
        <v>74</v>
      </c>
      <c r="CU28" s="227" t="s">
        <v>74</v>
      </c>
      <c r="CV28" s="227" t="s">
        <v>74</v>
      </c>
      <c r="CW28" s="227" t="s">
        <v>74</v>
      </c>
      <c r="CX28" s="227" t="s">
        <v>74</v>
      </c>
      <c r="CY28" s="228" t="s">
        <v>21</v>
      </c>
      <c r="CZ28" s="116"/>
      <c r="DA28" s="116"/>
      <c r="DB28" s="287"/>
      <c r="DC28" s="287"/>
      <c r="DD28" s="287"/>
      <c r="DE28" s="287"/>
      <c r="DF28" s="287"/>
      <c r="DG28" s="116"/>
      <c r="DH28" s="116"/>
      <c r="DI28" s="133"/>
      <c r="DJ28" s="176"/>
      <c r="DK28" s="176"/>
      <c r="DL28" s="44" t="s">
        <v>8</v>
      </c>
      <c r="DM28" s="44" t="s">
        <v>8</v>
      </c>
      <c r="DN28" s="116"/>
      <c r="DO28" s="116"/>
      <c r="DP28" s="133"/>
      <c r="DQ28" s="141"/>
      <c r="DR28" s="141"/>
      <c r="DS28" s="141"/>
      <c r="DT28" s="141"/>
      <c r="DU28" s="116"/>
      <c r="DV28" s="352"/>
      <c r="DW28" s="133"/>
      <c r="DX28" s="140"/>
      <c r="DY28" s="141"/>
      <c r="DZ28" s="140"/>
      <c r="EA28" s="140"/>
      <c r="EB28" s="116"/>
      <c r="EC28" s="116"/>
      <c r="ED28" s="44" t="s">
        <v>8</v>
      </c>
      <c r="EE28" s="194"/>
      <c r="EF28" s="194"/>
      <c r="EG28" s="194"/>
      <c r="EH28" s="194"/>
      <c r="EI28" s="116"/>
      <c r="EJ28" s="227" t="s">
        <v>74</v>
      </c>
      <c r="EK28" s="227" t="s">
        <v>74</v>
      </c>
      <c r="EL28" s="227" t="s">
        <v>74</v>
      </c>
      <c r="EM28" s="227" t="s">
        <v>74</v>
      </c>
      <c r="EN28" s="227" t="s">
        <v>74</v>
      </c>
      <c r="EO28" s="228" t="s">
        <v>21</v>
      </c>
      <c r="EP28" s="116"/>
      <c r="EQ28" s="116"/>
      <c r="ER28" s="194"/>
      <c r="ES28" s="194"/>
      <c r="ET28" s="194"/>
      <c r="EU28" s="194"/>
      <c r="EV28" s="194"/>
      <c r="EW28" s="116"/>
      <c r="EX28" s="116"/>
      <c r="EY28" s="44" t="s">
        <v>8</v>
      </c>
      <c r="EZ28" s="44" t="s">
        <v>8</v>
      </c>
      <c r="FA28" s="141"/>
      <c r="FB28" s="141"/>
      <c r="FC28" s="141"/>
      <c r="FD28" s="116"/>
      <c r="FE28" s="116"/>
      <c r="FF28" s="133"/>
      <c r="FG28" s="140"/>
      <c r="FH28" s="197"/>
      <c r="FI28" s="197"/>
      <c r="FJ28" s="197"/>
      <c r="FK28" s="116"/>
      <c r="FL28" s="116"/>
      <c r="FM28" s="133"/>
      <c r="FN28" s="176"/>
      <c r="FO28" s="176"/>
      <c r="FP28" s="256"/>
      <c r="FQ28" s="176"/>
      <c r="FR28" s="116"/>
      <c r="FS28" s="116"/>
      <c r="FT28" s="133"/>
      <c r="FU28" s="176"/>
      <c r="FV28" s="176"/>
      <c r="FW28" s="319"/>
      <c r="FX28" s="319"/>
      <c r="FY28" s="319"/>
      <c r="FZ28" s="116"/>
      <c r="GA28" s="133"/>
      <c r="GB28" s="176"/>
      <c r="GC28" s="176"/>
      <c r="GD28" s="316"/>
      <c r="GE28" s="234"/>
      <c r="GF28" s="96"/>
      <c r="GG28" s="82"/>
    </row>
    <row r="29" spans="1:302" ht="28.2" customHeight="1" thickBot="1" x14ac:dyDescent="0.3">
      <c r="B29" s="66" t="s">
        <v>144</v>
      </c>
      <c r="C29" s="141"/>
      <c r="D29" s="141"/>
      <c r="E29" s="141"/>
      <c r="F29" s="116"/>
      <c r="G29" s="116"/>
      <c r="H29" s="194"/>
      <c r="I29" s="194"/>
      <c r="J29" s="194"/>
      <c r="K29" s="194"/>
      <c r="L29" s="194"/>
      <c r="M29" s="116"/>
      <c r="N29" s="116"/>
      <c r="O29" s="122"/>
      <c r="P29" s="176"/>
      <c r="Q29" s="176"/>
      <c r="R29" s="176"/>
      <c r="S29" s="176"/>
      <c r="T29" s="116"/>
      <c r="U29" s="116"/>
      <c r="V29" s="44" t="s">
        <v>8</v>
      </c>
      <c r="W29" s="44" t="s">
        <v>8</v>
      </c>
      <c r="X29" s="44" t="s">
        <v>8</v>
      </c>
      <c r="Y29" s="44" t="s">
        <v>8</v>
      </c>
      <c r="Z29" s="44" t="s">
        <v>8</v>
      </c>
      <c r="AA29" s="116"/>
      <c r="AB29" s="227" t="s">
        <v>74</v>
      </c>
      <c r="AC29" s="227" t="s">
        <v>74</v>
      </c>
      <c r="AD29" s="227" t="s">
        <v>74</v>
      </c>
      <c r="AE29" s="227" t="s">
        <v>74</v>
      </c>
      <c r="AF29" s="227" t="s">
        <v>74</v>
      </c>
      <c r="AG29" s="228" t="s">
        <v>21</v>
      </c>
      <c r="AH29" s="116"/>
      <c r="AI29" s="116"/>
      <c r="AJ29" s="141" t="s">
        <v>72</v>
      </c>
      <c r="AK29" s="141" t="s">
        <v>72</v>
      </c>
      <c r="AL29" s="141" t="s">
        <v>72</v>
      </c>
      <c r="AM29" s="141" t="s">
        <v>72</v>
      </c>
      <c r="AN29" s="141" t="s">
        <v>72</v>
      </c>
      <c r="AO29" s="116"/>
      <c r="AP29" s="116"/>
      <c r="AQ29" s="122"/>
      <c r="AR29" s="182"/>
      <c r="AS29" s="176"/>
      <c r="AT29" s="176"/>
      <c r="AU29" s="176"/>
      <c r="AV29" s="116"/>
      <c r="AW29" s="116"/>
      <c r="AX29" s="133"/>
      <c r="AY29" s="176"/>
      <c r="AZ29" s="176"/>
      <c r="BA29" s="182"/>
      <c r="BB29" s="141"/>
      <c r="BC29" s="116"/>
      <c r="BD29" s="116"/>
      <c r="BE29" s="122"/>
      <c r="BF29" s="140"/>
      <c r="BG29" s="257"/>
      <c r="BH29" s="140"/>
      <c r="BI29" s="140"/>
      <c r="BJ29" s="116"/>
      <c r="BK29" s="116"/>
      <c r="BL29" s="194"/>
      <c r="BM29" s="194"/>
      <c r="BN29" s="194"/>
      <c r="BO29" s="194"/>
      <c r="BP29" s="194"/>
      <c r="BQ29" s="116"/>
      <c r="BR29" s="227" t="s">
        <v>74</v>
      </c>
      <c r="BS29" s="227" t="s">
        <v>74</v>
      </c>
      <c r="BT29" s="227" t="s">
        <v>74</v>
      </c>
      <c r="BU29" s="227" t="s">
        <v>74</v>
      </c>
      <c r="BV29" s="227" t="s">
        <v>74</v>
      </c>
      <c r="BW29" s="228" t="s">
        <v>21</v>
      </c>
      <c r="BX29" s="116"/>
      <c r="BY29" s="116"/>
      <c r="BZ29" s="122"/>
      <c r="CA29" s="140"/>
      <c r="CB29" s="195"/>
      <c r="CC29" s="195"/>
      <c r="CD29" s="176"/>
      <c r="CE29" s="116"/>
      <c r="CF29" s="116"/>
      <c r="CG29" s="44" t="s">
        <v>8</v>
      </c>
      <c r="CH29" s="44" t="s">
        <v>8</v>
      </c>
      <c r="CI29" s="44" t="s">
        <v>8</v>
      </c>
      <c r="CJ29" s="44" t="s">
        <v>8</v>
      </c>
      <c r="CK29" s="44" t="s">
        <v>8</v>
      </c>
      <c r="CL29" s="116"/>
      <c r="CM29" s="116"/>
      <c r="CN29" s="194"/>
      <c r="CO29" s="194"/>
      <c r="CP29" s="194"/>
      <c r="CQ29" s="194"/>
      <c r="CR29" s="258"/>
      <c r="CS29" s="349"/>
      <c r="CT29" s="116"/>
      <c r="CU29" s="122"/>
      <c r="CV29" s="141"/>
      <c r="CW29" s="141"/>
      <c r="CX29" s="141"/>
      <c r="CY29" s="141"/>
      <c r="CZ29" s="116"/>
      <c r="DA29" s="116"/>
      <c r="DB29" s="287"/>
      <c r="DC29" s="287"/>
      <c r="DD29" s="287"/>
      <c r="DE29" s="287"/>
      <c r="DF29" s="287"/>
      <c r="DG29" s="116"/>
      <c r="DH29" s="227" t="s">
        <v>74</v>
      </c>
      <c r="DI29" s="227" t="s">
        <v>74</v>
      </c>
      <c r="DJ29" s="227" t="s">
        <v>74</v>
      </c>
      <c r="DK29" s="227" t="s">
        <v>74</v>
      </c>
      <c r="DL29" s="227" t="s">
        <v>74</v>
      </c>
      <c r="DM29" s="228" t="s">
        <v>21</v>
      </c>
      <c r="DN29" s="116"/>
      <c r="DO29" s="116"/>
      <c r="DP29" s="122"/>
      <c r="DQ29" s="197"/>
      <c r="DR29" s="197"/>
      <c r="DS29" s="197"/>
      <c r="DT29" s="140"/>
      <c r="DU29" s="116"/>
      <c r="DV29" s="352"/>
      <c r="DW29" s="133"/>
      <c r="DX29" s="197"/>
      <c r="DY29" s="197"/>
      <c r="DZ29" s="197"/>
      <c r="EA29" s="197"/>
      <c r="EB29" s="116"/>
      <c r="EC29" s="116"/>
      <c r="ED29" s="122"/>
      <c r="EE29" s="140"/>
      <c r="EF29" s="140"/>
      <c r="EG29" s="140"/>
      <c r="EH29" s="140"/>
      <c r="EI29" s="116"/>
      <c r="EJ29" s="116"/>
      <c r="EK29" s="44" t="s">
        <v>8</v>
      </c>
      <c r="EL29" s="44" t="s">
        <v>8</v>
      </c>
      <c r="EM29" s="44" t="s">
        <v>8</v>
      </c>
      <c r="EN29" s="44" t="s">
        <v>8</v>
      </c>
      <c r="EO29" s="44" t="s">
        <v>8</v>
      </c>
      <c r="EP29" s="116"/>
      <c r="EQ29" s="116"/>
      <c r="ER29" s="122"/>
      <c r="ES29" s="195"/>
      <c r="ET29" s="195"/>
      <c r="EU29" s="196"/>
      <c r="EV29" s="140"/>
      <c r="EW29" s="116"/>
      <c r="EX29" s="227" t="s">
        <v>74</v>
      </c>
      <c r="EY29" s="227" t="s">
        <v>74</v>
      </c>
      <c r="EZ29" s="227" t="s">
        <v>74</v>
      </c>
      <c r="FA29" s="227" t="s">
        <v>74</v>
      </c>
      <c r="FB29" s="227" t="s">
        <v>74</v>
      </c>
      <c r="FC29" s="228" t="s">
        <v>21</v>
      </c>
      <c r="FD29" s="116"/>
      <c r="FE29" s="116"/>
      <c r="FF29" s="122"/>
      <c r="FG29" s="176"/>
      <c r="FH29" s="182"/>
      <c r="FI29" s="182"/>
      <c r="FJ29" s="176"/>
      <c r="FK29" s="116"/>
      <c r="FL29" s="116"/>
      <c r="FM29" s="194"/>
      <c r="FN29" s="194"/>
      <c r="FO29" s="194"/>
      <c r="FP29" s="256"/>
      <c r="FQ29" s="194"/>
      <c r="FR29" s="116"/>
      <c r="FS29" s="116"/>
      <c r="FT29" s="44" t="s">
        <v>8</v>
      </c>
      <c r="FU29" s="44" t="s">
        <v>8</v>
      </c>
      <c r="FV29" s="44" t="s">
        <v>8</v>
      </c>
      <c r="FW29" s="319"/>
      <c r="FX29" s="319"/>
      <c r="FY29" s="319"/>
      <c r="FZ29" s="110"/>
      <c r="GA29" s="44" t="s">
        <v>8</v>
      </c>
      <c r="GB29" s="44" t="s">
        <v>8</v>
      </c>
      <c r="GC29" s="44" t="s">
        <v>8</v>
      </c>
      <c r="GD29" s="316"/>
      <c r="GE29" s="234"/>
      <c r="GF29" s="96"/>
      <c r="GG29" s="82"/>
    </row>
    <row r="30" spans="1:302" ht="28.2" customHeight="1" thickBot="1" x14ac:dyDescent="0.3">
      <c r="B30" s="66" t="s">
        <v>150</v>
      </c>
      <c r="C30" s="140"/>
      <c r="D30" s="258"/>
      <c r="E30" s="140"/>
      <c r="F30" s="116"/>
      <c r="G30" s="116"/>
      <c r="H30" s="122"/>
      <c r="I30" s="140"/>
      <c r="J30" s="138"/>
      <c r="K30" s="138"/>
      <c r="L30" s="140"/>
      <c r="M30" s="116"/>
      <c r="N30" s="116"/>
      <c r="O30" s="44" t="s">
        <v>8</v>
      </c>
      <c r="P30" s="44" t="s">
        <v>8</v>
      </c>
      <c r="Q30" s="44" t="s">
        <v>8</v>
      </c>
      <c r="R30" s="44" t="s">
        <v>8</v>
      </c>
      <c r="S30" s="44" t="s">
        <v>8</v>
      </c>
      <c r="T30" s="116"/>
      <c r="U30" s="116"/>
      <c r="V30" s="140" t="s">
        <v>71</v>
      </c>
      <c r="W30" s="140" t="s">
        <v>71</v>
      </c>
      <c r="X30" s="140" t="s">
        <v>71</v>
      </c>
      <c r="Y30" s="140" t="s">
        <v>71</v>
      </c>
      <c r="Z30" s="140" t="s">
        <v>71</v>
      </c>
      <c r="AA30" s="116"/>
      <c r="AB30" s="116"/>
      <c r="AC30" s="122"/>
      <c r="AD30" s="176"/>
      <c r="AE30" s="176"/>
      <c r="AF30" s="176"/>
      <c r="AG30" s="182"/>
      <c r="AH30" s="116"/>
      <c r="AI30" s="227" t="s">
        <v>74</v>
      </c>
      <c r="AJ30" s="227" t="s">
        <v>74</v>
      </c>
      <c r="AK30" s="227" t="s">
        <v>74</v>
      </c>
      <c r="AL30" s="227" t="s">
        <v>74</v>
      </c>
      <c r="AM30" s="227" t="s">
        <v>74</v>
      </c>
      <c r="AN30" s="228" t="s">
        <v>21</v>
      </c>
      <c r="AO30" s="116"/>
      <c r="AP30" s="116"/>
      <c r="AQ30" s="141" t="s">
        <v>72</v>
      </c>
      <c r="AR30" s="141" t="s">
        <v>72</v>
      </c>
      <c r="AS30" s="141" t="s">
        <v>72</v>
      </c>
      <c r="AT30" s="141" t="s">
        <v>72</v>
      </c>
      <c r="AU30" s="141" t="s">
        <v>72</v>
      </c>
      <c r="AV30" s="116"/>
      <c r="AW30" s="116"/>
      <c r="AX30" s="122"/>
      <c r="AY30" s="140"/>
      <c r="AZ30" s="141"/>
      <c r="BA30" s="140"/>
      <c r="BB30" s="140"/>
      <c r="BC30" s="116"/>
      <c r="BD30" s="116"/>
      <c r="BE30" s="194"/>
      <c r="BF30" s="194"/>
      <c r="BG30" s="194"/>
      <c r="BH30" s="194"/>
      <c r="BI30" s="194"/>
      <c r="BJ30" s="116"/>
      <c r="BK30" s="116"/>
      <c r="BL30" s="122"/>
      <c r="BM30" s="141"/>
      <c r="BN30" s="141"/>
      <c r="BO30" s="141"/>
      <c r="BP30" s="141"/>
      <c r="BQ30" s="116"/>
      <c r="BR30" s="116"/>
      <c r="BS30" s="44" t="s">
        <v>8</v>
      </c>
      <c r="BT30" s="44" t="s">
        <v>8</v>
      </c>
      <c r="BU30" s="44" t="s">
        <v>8</v>
      </c>
      <c r="BV30" s="44" t="s">
        <v>8</v>
      </c>
      <c r="BW30" s="44" t="s">
        <v>8</v>
      </c>
      <c r="BX30" s="116"/>
      <c r="BY30" s="116"/>
      <c r="BZ30" s="44" t="s">
        <v>8</v>
      </c>
      <c r="CA30" s="44" t="s">
        <v>8</v>
      </c>
      <c r="CB30" s="44" t="s">
        <v>8</v>
      </c>
      <c r="CC30" s="44" t="s">
        <v>8</v>
      </c>
      <c r="CD30" s="44" t="s">
        <v>8</v>
      </c>
      <c r="CE30" s="116"/>
      <c r="CF30" s="116"/>
      <c r="CG30" s="122"/>
      <c r="CH30" s="140"/>
      <c r="CI30" s="141"/>
      <c r="CJ30" s="140"/>
      <c r="CK30" s="140"/>
      <c r="CL30" s="116"/>
      <c r="CM30" s="116"/>
      <c r="CN30" s="122"/>
      <c r="CO30" s="69" t="s">
        <v>19</v>
      </c>
      <c r="CP30" s="69" t="s">
        <v>19</v>
      </c>
      <c r="CQ30" s="69" t="s">
        <v>19</v>
      </c>
      <c r="CR30" s="140"/>
      <c r="CS30" s="349"/>
      <c r="CT30" s="116"/>
      <c r="CU30" s="122"/>
      <c r="CV30" s="140"/>
      <c r="CW30" s="140"/>
      <c r="CX30" s="140"/>
      <c r="CY30" s="140"/>
      <c r="CZ30" s="116"/>
      <c r="DA30" s="116"/>
      <c r="DB30" s="287"/>
      <c r="DC30" s="287"/>
      <c r="DD30" s="287"/>
      <c r="DE30" s="287"/>
      <c r="DF30" s="287"/>
      <c r="DG30" s="116"/>
      <c r="DH30" s="116"/>
      <c r="DI30" s="122"/>
      <c r="DJ30" s="141"/>
      <c r="DK30" s="141"/>
      <c r="DL30" s="141"/>
      <c r="DM30" s="141"/>
      <c r="DN30" s="116"/>
      <c r="DO30" s="227" t="s">
        <v>74</v>
      </c>
      <c r="DP30" s="227" t="s">
        <v>74</v>
      </c>
      <c r="DQ30" s="227" t="s">
        <v>74</v>
      </c>
      <c r="DR30" s="227" t="s">
        <v>74</v>
      </c>
      <c r="DS30" s="227" t="s">
        <v>74</v>
      </c>
      <c r="DT30" s="228" t="s">
        <v>21</v>
      </c>
      <c r="DU30" s="116"/>
      <c r="DV30" s="352"/>
      <c r="DW30" s="133"/>
      <c r="DX30" s="197"/>
      <c r="DY30" s="197"/>
      <c r="DZ30" s="197"/>
      <c r="EA30" s="197"/>
      <c r="EB30" s="116"/>
      <c r="EC30" s="116"/>
      <c r="ED30" s="122"/>
      <c r="EE30" s="176"/>
      <c r="EF30" s="176"/>
      <c r="EG30" s="176"/>
      <c r="EH30" s="176"/>
      <c r="EI30" s="116"/>
      <c r="EJ30" s="116"/>
      <c r="EK30" s="164"/>
      <c r="EL30" s="197"/>
      <c r="EM30" s="197"/>
      <c r="EN30" s="196"/>
      <c r="EO30" s="141"/>
      <c r="EP30" s="116"/>
      <c r="EQ30" s="116"/>
      <c r="ER30" s="122"/>
      <c r="ES30" s="141"/>
      <c r="ET30" s="141"/>
      <c r="EU30" s="141"/>
      <c r="EV30" s="141"/>
      <c r="EW30" s="116"/>
      <c r="EX30" s="116"/>
      <c r="EY30" s="122"/>
      <c r="EZ30" s="140"/>
      <c r="FA30" s="140"/>
      <c r="FB30" s="196"/>
      <c r="FC30" s="140"/>
      <c r="FD30" s="116"/>
      <c r="FE30" s="116"/>
      <c r="FF30" s="164"/>
      <c r="FG30" s="140"/>
      <c r="FH30" s="141"/>
      <c r="FI30" s="140"/>
      <c r="FJ30" s="140"/>
      <c r="FK30" s="116"/>
      <c r="FL30" s="227" t="s">
        <v>74</v>
      </c>
      <c r="FM30" s="227" t="s">
        <v>74</v>
      </c>
      <c r="FN30" s="227" t="s">
        <v>74</v>
      </c>
      <c r="FO30" s="227" t="s">
        <v>74</v>
      </c>
      <c r="FP30" s="227" t="s">
        <v>74</v>
      </c>
      <c r="FQ30" s="228" t="s">
        <v>21</v>
      </c>
      <c r="FR30" s="116"/>
      <c r="FS30" s="116"/>
      <c r="FT30" s="122"/>
      <c r="FU30" s="176"/>
      <c r="FV30" s="176"/>
      <c r="FW30" s="319"/>
      <c r="FX30" s="319"/>
      <c r="FY30" s="319"/>
      <c r="FZ30" s="110"/>
      <c r="GA30" s="122"/>
      <c r="GB30" s="176"/>
      <c r="GC30" s="176"/>
      <c r="GD30" s="316"/>
      <c r="GE30" s="234"/>
      <c r="GF30" s="96"/>
      <c r="GG30" s="65"/>
    </row>
    <row r="31" spans="1:302" ht="28.2" customHeight="1" thickBot="1" x14ac:dyDescent="0.3">
      <c r="B31" s="157" t="s">
        <v>151</v>
      </c>
      <c r="C31" s="140"/>
      <c r="D31" s="140"/>
      <c r="E31" s="140"/>
      <c r="F31" s="116"/>
      <c r="G31" s="116"/>
      <c r="H31" s="122"/>
      <c r="I31" s="140"/>
      <c r="J31" s="140"/>
      <c r="K31" s="140"/>
      <c r="L31" s="140"/>
      <c r="M31" s="116"/>
      <c r="N31" s="227" t="s">
        <v>74</v>
      </c>
      <c r="O31" s="227" t="s">
        <v>74</v>
      </c>
      <c r="P31" s="227" t="s">
        <v>74</v>
      </c>
      <c r="Q31" s="227" t="s">
        <v>74</v>
      </c>
      <c r="R31" s="227" t="s">
        <v>74</v>
      </c>
      <c r="S31" s="228" t="s">
        <v>21</v>
      </c>
      <c r="T31" s="116"/>
      <c r="U31" s="116"/>
      <c r="V31" s="44" t="s">
        <v>8</v>
      </c>
      <c r="W31" s="44" t="s">
        <v>8</v>
      </c>
      <c r="X31" s="44" t="s">
        <v>8</v>
      </c>
      <c r="Y31" s="44" t="s">
        <v>8</v>
      </c>
      <c r="Z31" s="44" t="s">
        <v>8</v>
      </c>
      <c r="AA31" s="116"/>
      <c r="AB31" s="116"/>
      <c r="AC31" s="44" t="s">
        <v>8</v>
      </c>
      <c r="AD31" s="44" t="s">
        <v>8</v>
      </c>
      <c r="AE31" s="44" t="s">
        <v>8</v>
      </c>
      <c r="AF31" s="44" t="s">
        <v>8</v>
      </c>
      <c r="AG31" s="44" t="s">
        <v>8</v>
      </c>
      <c r="AH31" s="116"/>
      <c r="AI31" s="116"/>
      <c r="AJ31" s="44" t="s">
        <v>8</v>
      </c>
      <c r="AK31" s="44" t="s">
        <v>8</v>
      </c>
      <c r="AL31" s="44" t="s">
        <v>8</v>
      </c>
      <c r="AM31" s="44" t="s">
        <v>8</v>
      </c>
      <c r="AN31" s="44" t="s">
        <v>8</v>
      </c>
      <c r="AO31" s="116"/>
      <c r="AP31" s="116"/>
      <c r="AQ31" s="44" t="s">
        <v>8</v>
      </c>
      <c r="AR31" s="44" t="s">
        <v>8</v>
      </c>
      <c r="AS31" s="140"/>
      <c r="AT31" s="140"/>
      <c r="AU31" s="140"/>
      <c r="AV31" s="116"/>
      <c r="AW31" s="227" t="s">
        <v>74</v>
      </c>
      <c r="AX31" s="227" t="s">
        <v>74</v>
      </c>
      <c r="AY31" s="227" t="s">
        <v>74</v>
      </c>
      <c r="AZ31" s="227" t="s">
        <v>74</v>
      </c>
      <c r="BA31" s="227" t="s">
        <v>74</v>
      </c>
      <c r="BB31" s="228" t="s">
        <v>21</v>
      </c>
      <c r="BC31" s="116"/>
      <c r="BD31" s="116"/>
      <c r="BE31" s="122"/>
      <c r="BF31" s="140"/>
      <c r="BG31" s="140"/>
      <c r="BH31" s="140"/>
      <c r="BI31" s="140"/>
      <c r="BJ31" s="116"/>
      <c r="BK31" s="116"/>
      <c r="BL31" s="122"/>
      <c r="BM31" s="141"/>
      <c r="BN31" s="141"/>
      <c r="BO31" s="141"/>
      <c r="BP31" s="141"/>
      <c r="BQ31" s="116"/>
      <c r="BR31" s="116"/>
      <c r="BS31" s="122"/>
      <c r="BT31" s="140"/>
      <c r="BU31" s="140"/>
      <c r="BV31" s="140"/>
      <c r="BW31" s="140"/>
      <c r="BX31" s="116"/>
      <c r="BY31" s="227" t="s">
        <v>74</v>
      </c>
      <c r="BZ31" s="227" t="s">
        <v>74</v>
      </c>
      <c r="CA31" s="227" t="s">
        <v>74</v>
      </c>
      <c r="CB31" s="227" t="s">
        <v>74</v>
      </c>
      <c r="CC31" s="227" t="s">
        <v>74</v>
      </c>
      <c r="CD31" s="228" t="s">
        <v>21</v>
      </c>
      <c r="CE31" s="116"/>
      <c r="CF31" s="116"/>
      <c r="CG31" s="122"/>
      <c r="CH31" s="140"/>
      <c r="CI31" s="140"/>
      <c r="CJ31" s="140"/>
      <c r="CK31" s="140"/>
      <c r="CL31" s="116"/>
      <c r="CM31" s="116"/>
      <c r="CN31" s="122"/>
      <c r="CO31" s="69" t="s">
        <v>19</v>
      </c>
      <c r="CP31" s="69" t="s">
        <v>19</v>
      </c>
      <c r="CQ31" s="69" t="s">
        <v>19</v>
      </c>
      <c r="CR31" s="140"/>
      <c r="CS31" s="349"/>
      <c r="CT31" s="116"/>
      <c r="CU31" s="122"/>
      <c r="CV31" s="140"/>
      <c r="CW31" s="140"/>
      <c r="CX31" s="140"/>
      <c r="CY31" s="140"/>
      <c r="CZ31" s="116"/>
      <c r="DA31" s="227" t="s">
        <v>74</v>
      </c>
      <c r="DB31" s="227" t="s">
        <v>74</v>
      </c>
      <c r="DC31" s="227" t="s">
        <v>74</v>
      </c>
      <c r="DD31" s="227" t="s">
        <v>74</v>
      </c>
      <c r="DE31" s="227" t="s">
        <v>74</v>
      </c>
      <c r="DF31" s="228" t="s">
        <v>21</v>
      </c>
      <c r="DG31" s="116"/>
      <c r="DH31" s="116"/>
      <c r="DI31" s="122"/>
      <c r="DJ31" s="140"/>
      <c r="DK31" s="140"/>
      <c r="DL31" s="140"/>
      <c r="DM31" s="140"/>
      <c r="DN31" s="116"/>
      <c r="DO31" s="116"/>
      <c r="DP31" s="122"/>
      <c r="DQ31" s="140"/>
      <c r="DR31" s="140"/>
      <c r="DS31" s="140"/>
      <c r="DT31" s="140"/>
      <c r="DU31" s="116"/>
      <c r="DV31" s="352"/>
      <c r="DW31" s="133"/>
      <c r="DX31" s="203"/>
      <c r="DY31" s="140"/>
      <c r="DZ31" s="140"/>
      <c r="EA31" s="140"/>
      <c r="EB31" s="116"/>
      <c r="EC31" s="116"/>
      <c r="ED31" s="122"/>
      <c r="EE31" s="258"/>
      <c r="EF31" s="141"/>
      <c r="EG31" s="140"/>
      <c r="EH31" s="140"/>
      <c r="EI31" s="116"/>
      <c r="EJ31" s="116"/>
      <c r="EK31" s="164"/>
      <c r="EL31" s="140"/>
      <c r="EM31" s="141"/>
      <c r="EN31" s="141"/>
      <c r="EO31" s="141"/>
      <c r="EP31" s="116"/>
      <c r="EQ31" s="227" t="s">
        <v>74</v>
      </c>
      <c r="ER31" s="227" t="s">
        <v>74</v>
      </c>
      <c r="ES31" s="227" t="s">
        <v>74</v>
      </c>
      <c r="ET31" s="227" t="s">
        <v>74</v>
      </c>
      <c r="EU31" s="227" t="s">
        <v>74</v>
      </c>
      <c r="EV31" s="228" t="s">
        <v>21</v>
      </c>
      <c r="EW31" s="116"/>
      <c r="EX31" s="116"/>
      <c r="EY31" s="122"/>
      <c r="EZ31" s="195"/>
      <c r="FA31" s="141"/>
      <c r="FB31" s="140"/>
      <c r="FC31" s="140"/>
      <c r="FD31" s="116"/>
      <c r="FE31" s="116"/>
      <c r="FF31" s="164"/>
      <c r="FG31" s="140"/>
      <c r="FH31" s="141"/>
      <c r="FI31" s="140"/>
      <c r="FJ31" s="140"/>
      <c r="FK31" s="116"/>
      <c r="FL31" s="116"/>
      <c r="FM31" s="164"/>
      <c r="FN31" s="140"/>
      <c r="FO31" s="141"/>
      <c r="FP31" s="140"/>
      <c r="FQ31" s="141"/>
      <c r="FR31" s="116"/>
      <c r="FS31" s="116"/>
      <c r="FT31" s="122"/>
      <c r="FU31" s="176"/>
      <c r="FV31" s="176"/>
      <c r="FW31" s="319"/>
      <c r="FX31" s="319"/>
      <c r="FY31" s="319"/>
      <c r="FZ31" s="110"/>
      <c r="GA31" s="122"/>
      <c r="GB31" s="176"/>
      <c r="GC31" s="176"/>
      <c r="GD31" s="316"/>
      <c r="GE31" s="234"/>
      <c r="GF31" s="96"/>
      <c r="GG31" s="65"/>
    </row>
    <row r="32" spans="1:302" ht="28.2" customHeight="1" thickBot="1" x14ac:dyDescent="0.3">
      <c r="B32" s="157" t="s">
        <v>12</v>
      </c>
      <c r="C32" s="195"/>
      <c r="D32" s="194"/>
      <c r="E32" s="194"/>
      <c r="F32" s="116"/>
      <c r="G32" s="116"/>
      <c r="H32" s="164"/>
      <c r="I32" s="194"/>
      <c r="J32" s="194"/>
      <c r="K32" s="69" t="s">
        <v>19</v>
      </c>
      <c r="L32" s="300" t="s">
        <v>13</v>
      </c>
      <c r="M32" s="116"/>
      <c r="N32" s="116"/>
      <c r="O32" s="164"/>
      <c r="P32" s="194"/>
      <c r="Q32" s="194"/>
      <c r="R32" s="194"/>
      <c r="S32" s="194"/>
      <c r="T32" s="116"/>
      <c r="U32" s="116"/>
      <c r="V32" s="164"/>
      <c r="W32" s="194"/>
      <c r="X32" s="194"/>
      <c r="Y32" s="194"/>
      <c r="Z32" s="194"/>
      <c r="AA32" s="116"/>
      <c r="AB32" s="116"/>
      <c r="AC32" s="164"/>
      <c r="AD32" s="195"/>
      <c r="AE32" s="138"/>
      <c r="AF32" s="196"/>
      <c r="AG32" s="195"/>
      <c r="AH32" s="116"/>
      <c r="AI32" s="116"/>
      <c r="AJ32" s="44" t="s">
        <v>8</v>
      </c>
      <c r="AK32" s="44" t="s">
        <v>8</v>
      </c>
      <c r="AL32" s="44" t="s">
        <v>8</v>
      </c>
      <c r="AM32" s="44" t="s">
        <v>8</v>
      </c>
      <c r="AN32" s="44" t="s">
        <v>8</v>
      </c>
      <c r="AO32" s="116"/>
      <c r="AP32" s="116"/>
      <c r="AQ32" s="44" t="s">
        <v>8</v>
      </c>
      <c r="AR32" s="44" t="s">
        <v>8</v>
      </c>
      <c r="AS32" s="44" t="s">
        <v>8</v>
      </c>
      <c r="AT32" s="44" t="s">
        <v>8</v>
      </c>
      <c r="AU32" s="44" t="s">
        <v>8</v>
      </c>
      <c r="AV32" s="116"/>
      <c r="AW32" s="116"/>
      <c r="AX32" s="44" t="s">
        <v>8</v>
      </c>
      <c r="AY32" s="44" t="s">
        <v>8</v>
      </c>
      <c r="AZ32" s="44" t="s">
        <v>8</v>
      </c>
      <c r="BA32" s="44" t="s">
        <v>8</v>
      </c>
      <c r="BB32" s="44" t="s">
        <v>8</v>
      </c>
      <c r="BC32" s="116"/>
      <c r="BD32" s="116"/>
      <c r="BE32" s="164"/>
      <c r="BF32" s="140"/>
      <c r="BG32" s="195"/>
      <c r="BH32" s="195"/>
      <c r="BI32" s="140"/>
      <c r="BJ32" s="116"/>
      <c r="BK32" s="116"/>
      <c r="BL32" s="164"/>
      <c r="BM32" s="140"/>
      <c r="BN32" s="138"/>
      <c r="BO32" s="195"/>
      <c r="BP32" s="195"/>
      <c r="BQ32" s="116"/>
      <c r="BR32" s="116"/>
      <c r="BS32" s="164"/>
      <c r="BT32" s="140"/>
      <c r="BU32" s="195"/>
      <c r="BV32" s="195"/>
      <c r="BW32" s="140"/>
      <c r="BX32" s="116"/>
      <c r="BY32" s="116"/>
      <c r="BZ32" s="164"/>
      <c r="CA32" s="138"/>
      <c r="CB32" s="138"/>
      <c r="CC32" s="195"/>
      <c r="CD32" s="195"/>
      <c r="CE32" s="116"/>
      <c r="CF32" s="116"/>
      <c r="CG32" s="164"/>
      <c r="CH32" s="138"/>
      <c r="CI32" s="138"/>
      <c r="CJ32" s="195"/>
      <c r="CK32" s="195"/>
      <c r="CL32" s="116"/>
      <c r="CM32" s="116"/>
      <c r="CN32" s="164"/>
      <c r="CO32" s="195"/>
      <c r="CP32" s="138"/>
      <c r="CQ32" s="196"/>
      <c r="CR32" s="195"/>
      <c r="CS32" s="349"/>
      <c r="CT32" s="116"/>
      <c r="CU32" s="164"/>
      <c r="CV32" s="140"/>
      <c r="CW32" s="195"/>
      <c r="CX32" s="195"/>
      <c r="CY32" s="140"/>
      <c r="CZ32" s="116"/>
      <c r="DA32" s="116"/>
      <c r="DB32" s="287"/>
      <c r="DC32" s="287"/>
      <c r="DD32" s="287"/>
      <c r="DE32" s="287"/>
      <c r="DF32" s="287"/>
      <c r="DG32" s="116"/>
      <c r="DH32" s="116"/>
      <c r="DI32" s="164"/>
      <c r="DJ32" s="176"/>
      <c r="DK32" s="176"/>
      <c r="DL32" s="176"/>
      <c r="DM32" s="176"/>
      <c r="DN32" s="116"/>
      <c r="DO32" s="116"/>
      <c r="DP32" s="164"/>
      <c r="DQ32" s="176"/>
      <c r="DR32" s="257"/>
      <c r="DS32" s="140"/>
      <c r="DT32" s="140"/>
      <c r="DU32" s="116"/>
      <c r="DV32" s="352"/>
      <c r="DW32" s="133"/>
      <c r="DX32" s="140"/>
      <c r="DY32" s="138"/>
      <c r="DZ32" s="195"/>
      <c r="EA32" s="140"/>
      <c r="EB32" s="116"/>
      <c r="EC32" s="116"/>
      <c r="ED32" s="164"/>
      <c r="EE32" s="258"/>
      <c r="EF32" s="138"/>
      <c r="EG32" s="196"/>
      <c r="EH32" s="140"/>
      <c r="EI32" s="116"/>
      <c r="EJ32" s="116"/>
      <c r="EK32" s="164"/>
      <c r="EL32" s="138"/>
      <c r="EM32" s="138"/>
      <c r="EN32" s="196"/>
      <c r="EO32" s="195"/>
      <c r="EP32" s="116"/>
      <c r="EQ32" s="116"/>
      <c r="ER32" s="164"/>
      <c r="ES32" s="140"/>
      <c r="ET32" s="138"/>
      <c r="EU32" s="195"/>
      <c r="EV32" s="195"/>
      <c r="EW32" s="116"/>
      <c r="EX32" s="116"/>
      <c r="EY32" s="164"/>
      <c r="EZ32" s="138"/>
      <c r="FA32" s="138"/>
      <c r="FB32" s="69" t="s">
        <v>19</v>
      </c>
      <c r="FC32" s="195"/>
      <c r="FD32" s="116"/>
      <c r="FE32" s="116"/>
      <c r="FF32" s="164"/>
      <c r="FG32" s="140"/>
      <c r="FH32" s="138"/>
      <c r="FI32" s="195"/>
      <c r="FJ32" s="140"/>
      <c r="FK32" s="116"/>
      <c r="FL32" s="116"/>
      <c r="FM32" s="164"/>
      <c r="FN32" s="176"/>
      <c r="FO32" s="176"/>
      <c r="FP32" s="176"/>
      <c r="FQ32" s="140"/>
      <c r="FR32" s="116"/>
      <c r="FS32" s="116"/>
      <c r="FT32" s="293" t="s">
        <v>8</v>
      </c>
      <c r="FU32" s="293" t="s">
        <v>8</v>
      </c>
      <c r="FV32" s="293" t="s">
        <v>8</v>
      </c>
      <c r="FW32" s="319"/>
      <c r="FX32" s="319"/>
      <c r="FY32" s="319"/>
      <c r="FZ32" s="154"/>
      <c r="GA32" s="293" t="s">
        <v>8</v>
      </c>
      <c r="GB32" s="293" t="s">
        <v>8</v>
      </c>
      <c r="GC32" s="293" t="s">
        <v>8</v>
      </c>
      <c r="GD32" s="316"/>
      <c r="GE32" s="234"/>
      <c r="GF32" s="96"/>
      <c r="GG32" s="82"/>
    </row>
    <row r="33" spans="1:264" ht="28.2" customHeight="1" thickBot="1" x14ac:dyDescent="0.3">
      <c r="B33" s="179" t="s">
        <v>9</v>
      </c>
      <c r="C33" s="284"/>
      <c r="D33" s="215"/>
      <c r="E33" s="215"/>
      <c r="F33" s="181"/>
      <c r="G33" s="181"/>
      <c r="H33" s="199"/>
      <c r="I33" s="215"/>
      <c r="J33" s="294" t="s">
        <v>17</v>
      </c>
      <c r="K33" s="215"/>
      <c r="L33" s="215"/>
      <c r="M33" s="181"/>
      <c r="N33" s="181"/>
      <c r="O33" s="199"/>
      <c r="P33" s="215"/>
      <c r="Q33" s="215"/>
      <c r="R33" s="215"/>
      <c r="S33" s="215"/>
      <c r="T33" s="181"/>
      <c r="U33" s="181"/>
      <c r="V33" s="199"/>
      <c r="W33" s="215"/>
      <c r="X33" s="215"/>
      <c r="Y33" s="215"/>
      <c r="Z33" s="215"/>
      <c r="AA33" s="181"/>
      <c r="AB33" s="181"/>
      <c r="AC33" s="199"/>
      <c r="AD33" s="260"/>
      <c r="AE33" s="260"/>
      <c r="AF33" s="216"/>
      <c r="AG33" s="216"/>
      <c r="AH33" s="181"/>
      <c r="AI33" s="181"/>
      <c r="AJ33" s="199"/>
      <c r="AK33" s="215"/>
      <c r="AL33" s="260"/>
      <c r="AM33" s="267"/>
      <c r="AN33" s="267"/>
      <c r="AO33" s="181"/>
      <c r="AP33" s="181"/>
      <c r="AQ33" s="291" t="s">
        <v>8</v>
      </c>
      <c r="AR33" s="306" t="s">
        <v>8</v>
      </c>
      <c r="AS33" s="306" t="s">
        <v>8</v>
      </c>
      <c r="AT33" s="306" t="s">
        <v>8</v>
      </c>
      <c r="AU33" s="306" t="s">
        <v>8</v>
      </c>
      <c r="AV33" s="181"/>
      <c r="AW33" s="181"/>
      <c r="AX33" s="199"/>
      <c r="AY33" s="215"/>
      <c r="AZ33" s="266"/>
      <c r="BA33" s="215"/>
      <c r="BB33" s="215"/>
      <c r="BC33" s="181"/>
      <c r="BD33" s="181"/>
      <c r="BE33" s="199"/>
      <c r="BF33" s="215"/>
      <c r="BG33" s="215"/>
      <c r="BH33" s="215"/>
      <c r="BI33" s="305" t="s">
        <v>13</v>
      </c>
      <c r="BJ33" s="299"/>
      <c r="BK33" s="181"/>
      <c r="BL33" s="199"/>
      <c r="BM33" s="215"/>
      <c r="BN33" s="215"/>
      <c r="BO33" s="215"/>
      <c r="BP33" s="260"/>
      <c r="BQ33" s="181"/>
      <c r="BR33" s="181"/>
      <c r="BS33" s="199"/>
      <c r="BT33" s="216"/>
      <c r="BU33" s="216"/>
      <c r="BV33" s="216"/>
      <c r="BW33" s="216"/>
      <c r="BX33" s="181"/>
      <c r="BY33" s="181"/>
      <c r="BZ33" s="199"/>
      <c r="CA33" s="216"/>
      <c r="CB33" s="216"/>
      <c r="CC33" s="216"/>
      <c r="CD33" s="216"/>
      <c r="CE33" s="181"/>
      <c r="CF33" s="181"/>
      <c r="CG33" s="306" t="s">
        <v>8</v>
      </c>
      <c r="CH33" s="306" t="s">
        <v>8</v>
      </c>
      <c r="CI33" s="306" t="s">
        <v>8</v>
      </c>
      <c r="CJ33" s="306" t="s">
        <v>8</v>
      </c>
      <c r="CK33" s="306" t="s">
        <v>8</v>
      </c>
      <c r="CL33" s="181"/>
      <c r="CM33" s="181"/>
      <c r="CN33" s="199"/>
      <c r="CO33" s="215"/>
      <c r="CP33" s="215"/>
      <c r="CQ33" s="215"/>
      <c r="CR33" s="261"/>
      <c r="CS33" s="349"/>
      <c r="CT33" s="116"/>
      <c r="CU33" s="291" t="s">
        <v>8</v>
      </c>
      <c r="CV33" s="291" t="s">
        <v>8</v>
      </c>
      <c r="CW33" s="291" t="s">
        <v>8</v>
      </c>
      <c r="CX33" s="291" t="s">
        <v>8</v>
      </c>
      <c r="CY33" s="291" t="s">
        <v>8</v>
      </c>
      <c r="CZ33" s="181"/>
      <c r="DA33" s="181"/>
      <c r="DB33" s="307"/>
      <c r="DC33" s="299"/>
      <c r="DD33" s="299"/>
      <c r="DE33" s="299"/>
      <c r="DF33" s="299"/>
      <c r="DG33" s="181"/>
      <c r="DH33" s="181"/>
      <c r="DI33" s="199"/>
      <c r="DJ33" s="215"/>
      <c r="DK33" s="215"/>
      <c r="DL33" s="215"/>
      <c r="DM33" s="215"/>
      <c r="DN33" s="181"/>
      <c r="DO33" s="181"/>
      <c r="DP33" s="199"/>
      <c r="DQ33" s="215"/>
      <c r="DR33" s="215"/>
      <c r="DS33" s="215"/>
      <c r="DT33" s="215"/>
      <c r="DU33" s="116"/>
      <c r="DV33" s="352"/>
      <c r="DW33" s="274"/>
      <c r="DX33" s="215"/>
      <c r="DY33" s="215"/>
      <c r="DZ33" s="215"/>
      <c r="EA33" s="215"/>
      <c r="EB33" s="299"/>
      <c r="EC33" s="181"/>
      <c r="ED33" s="199"/>
      <c r="EE33" s="215"/>
      <c r="EF33" s="215"/>
      <c r="EG33" s="267"/>
      <c r="EH33" s="215"/>
      <c r="EI33" s="181"/>
      <c r="EJ33" s="181"/>
      <c r="EK33" s="199"/>
      <c r="EL33" s="215"/>
      <c r="EM33" s="215"/>
      <c r="EN33" s="215"/>
      <c r="EO33" s="215"/>
      <c r="EP33" s="181"/>
      <c r="EQ33" s="181"/>
      <c r="ER33" s="199"/>
      <c r="ES33" s="215"/>
      <c r="ET33" s="215"/>
      <c r="EU33" s="267"/>
      <c r="EV33" s="215"/>
      <c r="EW33" s="181"/>
      <c r="EX33" s="181"/>
      <c r="EY33" s="199"/>
      <c r="EZ33" s="215"/>
      <c r="FA33" s="215"/>
      <c r="FB33" s="267"/>
      <c r="FC33" s="215"/>
      <c r="FD33" s="181"/>
      <c r="FE33" s="181"/>
      <c r="FF33" s="199"/>
      <c r="FG33" s="261"/>
      <c r="FH33" s="261"/>
      <c r="FI33" s="261"/>
      <c r="FJ33" s="216"/>
      <c r="FK33" s="181"/>
      <c r="FL33" s="181"/>
      <c r="FM33" s="199"/>
      <c r="FN33" s="216"/>
      <c r="FO33" s="216"/>
      <c r="FP33" s="216"/>
      <c r="FQ33" s="216"/>
      <c r="FR33" s="181"/>
      <c r="FS33" s="181"/>
      <c r="FT33" s="292" t="s">
        <v>8</v>
      </c>
      <c r="FU33" s="292" t="s">
        <v>8</v>
      </c>
      <c r="FV33" s="292" t="s">
        <v>8</v>
      </c>
      <c r="FW33" s="319"/>
      <c r="FX33" s="319"/>
      <c r="FY33" s="319"/>
      <c r="FZ33" s="180"/>
      <c r="GA33" s="292" t="s">
        <v>8</v>
      </c>
      <c r="GB33" s="292" t="s">
        <v>8</v>
      </c>
      <c r="GC33" s="292" t="s">
        <v>8</v>
      </c>
      <c r="GD33" s="316"/>
      <c r="GE33" s="234"/>
      <c r="GF33" s="96"/>
      <c r="GG33" s="65"/>
    </row>
    <row r="34" spans="1:264" ht="28.2" customHeight="1" thickTop="1" x14ac:dyDescent="0.25">
      <c r="B34" s="232" t="s">
        <v>145</v>
      </c>
      <c r="C34" s="140"/>
      <c r="D34" s="140"/>
      <c r="E34" s="140"/>
      <c r="F34" s="116"/>
      <c r="G34" s="116"/>
      <c r="H34" s="133"/>
      <c r="I34" s="140"/>
      <c r="J34" s="140"/>
      <c r="K34" s="140"/>
      <c r="L34" s="140"/>
      <c r="M34" s="116"/>
      <c r="N34" s="116"/>
      <c r="O34" s="133"/>
      <c r="P34" s="140"/>
      <c r="Q34" s="140"/>
      <c r="R34" s="140"/>
      <c r="S34" s="140"/>
      <c r="T34" s="116"/>
      <c r="U34" s="116"/>
      <c r="V34" s="133"/>
      <c r="W34" s="140"/>
      <c r="X34" s="140"/>
      <c r="Y34" s="140"/>
      <c r="Z34" s="140"/>
      <c r="AA34" s="116"/>
      <c r="AB34" s="116"/>
      <c r="AC34" s="133"/>
      <c r="AD34" s="140"/>
      <c r="AE34" s="140"/>
      <c r="AF34" s="140"/>
      <c r="AG34" s="140"/>
      <c r="AH34" s="116"/>
      <c r="AI34" s="116"/>
      <c r="AJ34" s="133"/>
      <c r="AK34" s="140"/>
      <c r="AL34" s="140"/>
      <c r="AM34" s="140"/>
      <c r="AN34" s="140"/>
      <c r="AO34" s="116"/>
      <c r="AP34" s="116"/>
      <c r="AQ34" s="133"/>
      <c r="AR34" s="138"/>
      <c r="AS34" s="138"/>
      <c r="AT34" s="138"/>
      <c r="AU34" s="138"/>
      <c r="AV34" s="116"/>
      <c r="AW34" s="116"/>
      <c r="AX34" s="133"/>
      <c r="AY34" s="138"/>
      <c r="AZ34" s="138"/>
      <c r="BA34" s="138"/>
      <c r="BB34" s="138"/>
      <c r="BC34" s="116"/>
      <c r="BD34" s="116"/>
      <c r="BE34" s="133"/>
      <c r="BF34" s="140"/>
      <c r="BG34" s="140"/>
      <c r="BH34" s="140"/>
      <c r="BI34" s="140"/>
      <c r="BJ34" s="116"/>
      <c r="BK34" s="116"/>
      <c r="BL34" s="133"/>
      <c r="BM34" s="140"/>
      <c r="BN34" s="140"/>
      <c r="BO34" s="140"/>
      <c r="BP34" s="140"/>
      <c r="BQ34" s="116"/>
      <c r="BR34" s="116"/>
      <c r="BS34" s="133"/>
      <c r="BT34" s="138"/>
      <c r="BU34" s="138"/>
      <c r="BV34" s="138"/>
      <c r="BW34" s="138"/>
      <c r="BX34" s="116"/>
      <c r="BY34" s="116"/>
      <c r="BZ34" s="133"/>
      <c r="CA34" s="140"/>
      <c r="CB34" s="140"/>
      <c r="CC34" s="140"/>
      <c r="CD34" s="140"/>
      <c r="CE34" s="116"/>
      <c r="CF34" s="116"/>
      <c r="CG34" s="133"/>
      <c r="CH34" s="140"/>
      <c r="CI34" s="140"/>
      <c r="CJ34" s="140"/>
      <c r="CK34" s="140"/>
      <c r="CL34" s="116"/>
      <c r="CM34" s="116"/>
      <c r="CN34" s="133"/>
      <c r="CO34" s="140"/>
      <c r="CP34" s="140"/>
      <c r="CQ34" s="140"/>
      <c r="CR34" s="140"/>
      <c r="CS34" s="349"/>
      <c r="CT34" s="116"/>
      <c r="CU34" s="133"/>
      <c r="CV34" s="138"/>
      <c r="CW34" s="140"/>
      <c r="CX34" s="138"/>
      <c r="CY34" s="138"/>
      <c r="CZ34" s="116"/>
      <c r="DA34" s="116"/>
      <c r="DB34" s="133"/>
      <c r="DC34" s="138"/>
      <c r="DD34" s="138"/>
      <c r="DE34" s="138"/>
      <c r="DF34" s="138"/>
      <c r="DG34" s="116"/>
      <c r="DH34" s="116"/>
      <c r="DI34" s="133"/>
      <c r="DJ34" s="138"/>
      <c r="DK34" s="140"/>
      <c r="DL34" s="140"/>
      <c r="DM34" s="138"/>
      <c r="DN34" s="116"/>
      <c r="DO34" s="116"/>
      <c r="DP34" s="133"/>
      <c r="DQ34" s="138"/>
      <c r="DR34" s="140"/>
      <c r="DS34" s="140"/>
      <c r="DT34" s="138"/>
      <c r="DU34" s="116"/>
      <c r="DV34" s="352"/>
      <c r="DW34" s="212"/>
      <c r="DX34" s="140"/>
      <c r="DY34" s="140"/>
      <c r="DZ34" s="140"/>
      <c r="EA34" s="138"/>
      <c r="EB34" s="116"/>
      <c r="EC34" s="116"/>
      <c r="ED34" s="133"/>
      <c r="EE34" s="140"/>
      <c r="EF34" s="140"/>
      <c r="EG34" s="138"/>
      <c r="EH34" s="138"/>
      <c r="EI34" s="116"/>
      <c r="EJ34" s="116"/>
      <c r="EK34" s="133"/>
      <c r="EL34" s="140"/>
      <c r="EM34" s="140"/>
      <c r="EN34" s="140"/>
      <c r="EO34" s="138"/>
      <c r="EP34" s="116"/>
      <c r="EQ34" s="116"/>
      <c r="ER34" s="133"/>
      <c r="ES34" s="140"/>
      <c r="ET34" s="140"/>
      <c r="EU34" s="140"/>
      <c r="EV34" s="138"/>
      <c r="EW34" s="116"/>
      <c r="EX34" s="116"/>
      <c r="EY34" s="133"/>
      <c r="EZ34" s="140"/>
      <c r="FA34" s="140"/>
      <c r="FB34" s="138"/>
      <c r="FC34" s="138"/>
      <c r="FD34" s="116"/>
      <c r="FE34" s="116"/>
      <c r="FF34" s="133"/>
      <c r="FG34" s="140"/>
      <c r="FH34" s="140"/>
      <c r="FI34" s="140"/>
      <c r="FJ34" s="140"/>
      <c r="FK34" s="116"/>
      <c r="FL34" s="116"/>
      <c r="FM34" s="133"/>
      <c r="FN34" s="140"/>
      <c r="FO34" s="140"/>
      <c r="FP34" s="140"/>
      <c r="FQ34" s="140"/>
      <c r="FR34" s="116"/>
      <c r="FS34" s="116"/>
      <c r="FT34" s="133"/>
      <c r="FU34" s="140"/>
      <c r="FV34" s="140"/>
      <c r="FW34" s="319"/>
      <c r="FX34" s="319"/>
      <c r="FY34" s="319"/>
      <c r="FZ34" s="230"/>
      <c r="GA34" s="262"/>
      <c r="GB34" s="140"/>
      <c r="GC34" s="140"/>
      <c r="GD34" s="316"/>
      <c r="GE34" s="234"/>
      <c r="GF34" s="235"/>
      <c r="GG34" s="65"/>
    </row>
    <row r="35" spans="1:264" ht="28.2" customHeight="1" x14ac:dyDescent="0.25">
      <c r="B35" s="251" t="s">
        <v>139</v>
      </c>
      <c r="C35" s="140"/>
      <c r="D35" s="140"/>
      <c r="E35" s="140"/>
      <c r="F35" s="116"/>
      <c r="G35" s="116"/>
      <c r="H35" s="133"/>
      <c r="I35" s="140"/>
      <c r="J35" s="140"/>
      <c r="K35" s="140"/>
      <c r="L35" s="140"/>
      <c r="M35" s="116"/>
      <c r="N35" s="116"/>
      <c r="O35" s="133"/>
      <c r="P35" s="176"/>
      <c r="Q35" s="176"/>
      <c r="R35" s="176"/>
      <c r="S35" s="176"/>
      <c r="T35" s="116"/>
      <c r="U35" s="116"/>
      <c r="V35" s="44" t="s">
        <v>8</v>
      </c>
      <c r="W35" s="44" t="s">
        <v>8</v>
      </c>
      <c r="X35" s="44" t="s">
        <v>8</v>
      </c>
      <c r="Y35" s="44" t="s">
        <v>8</v>
      </c>
      <c r="Z35" s="44" t="s">
        <v>8</v>
      </c>
      <c r="AA35" s="116"/>
      <c r="AB35" s="116"/>
      <c r="AC35" s="44" t="s">
        <v>8</v>
      </c>
      <c r="AD35" s="44" t="s">
        <v>8</v>
      </c>
      <c r="AE35" s="140"/>
      <c r="AF35" s="140"/>
      <c r="AG35" s="140"/>
      <c r="AH35" s="116"/>
      <c r="AI35" s="116"/>
      <c r="AJ35" s="133"/>
      <c r="AK35" s="140"/>
      <c r="AL35" s="140"/>
      <c r="AM35" s="140"/>
      <c r="AN35" s="44" t="s">
        <v>8</v>
      </c>
      <c r="AO35" s="116"/>
      <c r="AP35" s="116"/>
      <c r="AQ35" s="44" t="s">
        <v>8</v>
      </c>
      <c r="AR35" s="182"/>
      <c r="AS35" s="198"/>
      <c r="AT35" s="198"/>
      <c r="AU35" s="198"/>
      <c r="AV35" s="116"/>
      <c r="AW35" s="116"/>
      <c r="AX35" s="133"/>
      <c r="AY35" s="198"/>
      <c r="AZ35" s="198"/>
      <c r="BA35" s="140"/>
      <c r="BB35" s="140"/>
      <c r="BC35" s="116"/>
      <c r="BD35" s="116"/>
      <c r="BE35" s="133"/>
      <c r="BF35" s="140"/>
      <c r="BG35" s="140"/>
      <c r="BH35" s="140"/>
      <c r="BI35" s="140"/>
      <c r="BJ35" s="116"/>
      <c r="BK35" s="116"/>
      <c r="BL35" s="133"/>
      <c r="BM35" s="140"/>
      <c r="BN35" s="140"/>
      <c r="BO35" s="140"/>
      <c r="BP35" s="140"/>
      <c r="BQ35" s="116"/>
      <c r="BR35" s="116"/>
      <c r="BS35" s="133"/>
      <c r="BT35" s="140"/>
      <c r="BU35" s="140"/>
      <c r="BV35" s="140"/>
      <c r="BW35" s="140"/>
      <c r="BX35" s="116"/>
      <c r="BY35" s="116"/>
      <c r="BZ35" s="133"/>
      <c r="CA35" s="140"/>
      <c r="CB35" s="140"/>
      <c r="CC35" s="195"/>
      <c r="CD35" s="176"/>
      <c r="CE35" s="116"/>
      <c r="CF35" s="116"/>
      <c r="CG35" s="44" t="s">
        <v>8</v>
      </c>
      <c r="CH35" s="44" t="s">
        <v>8</v>
      </c>
      <c r="CI35" s="44" t="s">
        <v>8</v>
      </c>
      <c r="CJ35" s="44" t="s">
        <v>8</v>
      </c>
      <c r="CK35" s="44" t="s">
        <v>8</v>
      </c>
      <c r="CL35" s="116"/>
      <c r="CM35" s="116"/>
      <c r="CN35" s="44" t="s">
        <v>8</v>
      </c>
      <c r="CO35" s="44" t="s">
        <v>8</v>
      </c>
      <c r="CP35" s="44" t="s">
        <v>8</v>
      </c>
      <c r="CQ35" s="44" t="s">
        <v>8</v>
      </c>
      <c r="CR35" s="44" t="s">
        <v>8</v>
      </c>
      <c r="CS35" s="349"/>
      <c r="CT35" s="116"/>
      <c r="CU35" s="133"/>
      <c r="CV35" s="177"/>
      <c r="CW35" s="140"/>
      <c r="CX35" s="140"/>
      <c r="CY35" s="140"/>
      <c r="CZ35" s="116"/>
      <c r="DA35" s="116"/>
      <c r="DB35" s="133"/>
      <c r="DC35" s="177"/>
      <c r="DD35" s="140"/>
      <c r="DE35" s="140"/>
      <c r="DF35" s="140"/>
      <c r="DG35" s="116"/>
      <c r="DH35" s="116"/>
      <c r="DI35" s="133"/>
      <c r="DJ35" s="177"/>
      <c r="DK35" s="140"/>
      <c r="DL35" s="44" t="s">
        <v>8</v>
      </c>
      <c r="DM35" s="44" t="s">
        <v>8</v>
      </c>
      <c r="DN35" s="116"/>
      <c r="DO35" s="116"/>
      <c r="DP35" s="133"/>
      <c r="DQ35" s="140"/>
      <c r="DR35" s="140"/>
      <c r="DS35" s="140"/>
      <c r="DT35" s="140"/>
      <c r="DU35" s="116"/>
      <c r="DV35" s="352"/>
      <c r="DW35" s="133"/>
      <c r="DX35" s="177"/>
      <c r="DY35" s="140"/>
      <c r="DZ35" s="140"/>
      <c r="EA35" s="140"/>
      <c r="EB35" s="116"/>
      <c r="EC35" s="116"/>
      <c r="ED35" s="44" t="s">
        <v>8</v>
      </c>
      <c r="EE35" s="177"/>
      <c r="EF35" s="140"/>
      <c r="EG35" s="140"/>
      <c r="EH35" s="140"/>
      <c r="EI35" s="116"/>
      <c r="EJ35" s="116"/>
      <c r="EK35" s="133"/>
      <c r="EL35" s="177"/>
      <c r="EM35" s="140"/>
      <c r="EN35" s="140"/>
      <c r="EO35" s="140"/>
      <c r="EP35" s="116"/>
      <c r="EQ35" s="116"/>
      <c r="ER35" s="133"/>
      <c r="ES35" s="140"/>
      <c r="ET35" s="140"/>
      <c r="EU35" s="140"/>
      <c r="EV35" s="198"/>
      <c r="EW35" s="116"/>
      <c r="EX35" s="116"/>
      <c r="EY35" s="44" t="s">
        <v>8</v>
      </c>
      <c r="EZ35" s="44" t="s">
        <v>8</v>
      </c>
      <c r="FA35" s="176"/>
      <c r="FB35" s="140"/>
      <c r="FC35" s="140"/>
      <c r="FD35" s="116"/>
      <c r="FE35" s="116"/>
      <c r="FF35" s="133"/>
      <c r="FG35" s="176"/>
      <c r="FH35" s="140"/>
      <c r="FI35" s="140"/>
      <c r="FJ35" s="176"/>
      <c r="FK35" s="116"/>
      <c r="FL35" s="116"/>
      <c r="FM35" s="133"/>
      <c r="FN35" s="177"/>
      <c r="FO35" s="140"/>
      <c r="FP35" s="140"/>
      <c r="FQ35" s="140"/>
      <c r="FR35" s="116"/>
      <c r="FS35" s="116"/>
      <c r="FT35" s="133"/>
      <c r="FU35" s="176"/>
      <c r="FV35" s="176"/>
      <c r="FW35" s="319"/>
      <c r="FX35" s="319"/>
      <c r="FY35" s="319"/>
      <c r="FZ35" s="116"/>
      <c r="GA35" s="133"/>
      <c r="GB35" s="176"/>
      <c r="GC35" s="176"/>
      <c r="GD35" s="316"/>
      <c r="GE35" s="234"/>
      <c r="GF35" s="96"/>
      <c r="GG35" s="65"/>
    </row>
    <row r="36" spans="1:264" ht="28.2" customHeight="1" thickBot="1" x14ac:dyDescent="0.3">
      <c r="B36" s="245" t="s">
        <v>140</v>
      </c>
      <c r="C36" s="140"/>
      <c r="D36" s="195"/>
      <c r="E36" s="195"/>
      <c r="F36" s="116"/>
      <c r="G36" s="116"/>
      <c r="H36" s="200"/>
      <c r="I36" s="140"/>
      <c r="J36" s="140"/>
      <c r="K36" s="195"/>
      <c r="L36" s="195"/>
      <c r="M36" s="116"/>
      <c r="N36" s="116"/>
      <c r="O36" s="200"/>
      <c r="P36" s="140"/>
      <c r="Q36" s="140"/>
      <c r="R36" s="140"/>
      <c r="S36" s="140"/>
      <c r="T36" s="116"/>
      <c r="U36" s="116"/>
      <c r="V36" s="200"/>
      <c r="W36" s="140"/>
      <c r="X36" s="140"/>
      <c r="Y36" s="195"/>
      <c r="Z36" s="195"/>
      <c r="AA36" s="116"/>
      <c r="AB36" s="116"/>
      <c r="AC36" s="200"/>
      <c r="AD36" s="195"/>
      <c r="AE36" s="195"/>
      <c r="AF36" s="276"/>
      <c r="AG36" s="44" t="s">
        <v>8</v>
      </c>
      <c r="AH36" s="116"/>
      <c r="AI36" s="116"/>
      <c r="AJ36" s="200"/>
      <c r="AK36" s="276"/>
      <c r="AL36" s="276"/>
      <c r="AM36" s="276"/>
      <c r="AN36" s="276"/>
      <c r="AO36" s="116"/>
      <c r="AP36" s="116"/>
      <c r="AQ36" s="200"/>
      <c r="AR36" s="276"/>
      <c r="AS36" s="276"/>
      <c r="AT36" s="276"/>
      <c r="AU36" s="276"/>
      <c r="AV36" s="116"/>
      <c r="AW36" s="116"/>
      <c r="AX36" s="44" t="s">
        <v>8</v>
      </c>
      <c r="AY36" s="44" t="s">
        <v>8</v>
      </c>
      <c r="AZ36" s="44" t="s">
        <v>8</v>
      </c>
      <c r="BA36" s="44" t="s">
        <v>8</v>
      </c>
      <c r="BB36" s="44" t="s">
        <v>8</v>
      </c>
      <c r="BC36" s="116"/>
      <c r="BD36" s="116"/>
      <c r="BE36" s="44" t="s">
        <v>8</v>
      </c>
      <c r="BF36" s="44" t="s">
        <v>8</v>
      </c>
      <c r="BG36" s="44" t="s">
        <v>8</v>
      </c>
      <c r="BH36" s="44" t="s">
        <v>8</v>
      </c>
      <c r="BI36" s="44" t="s">
        <v>8</v>
      </c>
      <c r="BJ36" s="116"/>
      <c r="BK36" s="116"/>
      <c r="BL36" s="44" t="s">
        <v>8</v>
      </c>
      <c r="BM36" s="44" t="s">
        <v>8</v>
      </c>
      <c r="BN36" s="44" t="s">
        <v>8</v>
      </c>
      <c r="BO36" s="44" t="s">
        <v>8</v>
      </c>
      <c r="BP36" s="44" t="s">
        <v>8</v>
      </c>
      <c r="BQ36" s="116"/>
      <c r="BR36" s="116"/>
      <c r="BS36" s="44" t="s">
        <v>8</v>
      </c>
      <c r="BT36" s="44" t="s">
        <v>8</v>
      </c>
      <c r="BU36" s="44" t="s">
        <v>8</v>
      </c>
      <c r="BV36" s="44" t="s">
        <v>8</v>
      </c>
      <c r="BW36" s="44" t="s">
        <v>8</v>
      </c>
      <c r="BX36" s="116"/>
      <c r="BY36" s="116"/>
      <c r="BZ36" s="200"/>
      <c r="CA36" s="200"/>
      <c r="CB36" s="139"/>
      <c r="CC36" s="139"/>
      <c r="CD36" s="139"/>
      <c r="CE36" s="116"/>
      <c r="CF36" s="116"/>
      <c r="CG36" s="200"/>
      <c r="CH36" s="200"/>
      <c r="CI36" s="190"/>
      <c r="CJ36" s="139"/>
      <c r="CK36" s="139"/>
      <c r="CL36" s="116"/>
      <c r="CM36" s="116"/>
      <c r="CN36" s="200"/>
      <c r="CO36" s="236"/>
      <c r="CP36" s="139"/>
      <c r="CQ36" s="139"/>
      <c r="CR36" s="139"/>
      <c r="CS36" s="350"/>
      <c r="CT36" s="116"/>
      <c r="CU36" s="200"/>
      <c r="CV36" s="200"/>
      <c r="CW36" s="139"/>
      <c r="CX36" s="139"/>
      <c r="CY36" s="139"/>
      <c r="CZ36" s="116"/>
      <c r="DA36" s="116"/>
      <c r="DB36" s="200"/>
      <c r="DC36" s="200"/>
      <c r="DD36" s="139"/>
      <c r="DE36" s="139"/>
      <c r="DF36" s="139"/>
      <c r="DG36" s="116"/>
      <c r="DH36" s="116"/>
      <c r="DI36" s="200"/>
      <c r="DJ36" s="176"/>
      <c r="DK36" s="176"/>
      <c r="DL36" s="176"/>
      <c r="DM36" s="176"/>
      <c r="DN36" s="116"/>
      <c r="DO36" s="116"/>
      <c r="DP36" s="44" t="s">
        <v>8</v>
      </c>
      <c r="DQ36" s="44" t="s">
        <v>8</v>
      </c>
      <c r="DR36" s="44" t="s">
        <v>8</v>
      </c>
      <c r="DS36" s="44" t="s">
        <v>8</v>
      </c>
      <c r="DT36" s="44" t="s">
        <v>8</v>
      </c>
      <c r="DU36" s="116"/>
      <c r="DV36" s="353"/>
      <c r="DW36" s="200"/>
      <c r="DX36" s="200"/>
      <c r="DY36" s="139"/>
      <c r="DZ36" s="139"/>
      <c r="EA36" s="139"/>
      <c r="EB36" s="116"/>
      <c r="EC36" s="116"/>
      <c r="ED36" s="200"/>
      <c r="EE36" s="200"/>
      <c r="EF36" s="139"/>
      <c r="EG36" s="139"/>
      <c r="EH36" s="139"/>
      <c r="EI36" s="116"/>
      <c r="EJ36" s="116"/>
      <c r="EK36" s="200"/>
      <c r="EL36" s="200"/>
      <c r="EM36" s="139"/>
      <c r="EN36" s="139"/>
      <c r="EO36" s="139"/>
      <c r="EP36" s="116"/>
      <c r="EQ36" s="116"/>
      <c r="ER36" s="200"/>
      <c r="ES36" s="190"/>
      <c r="ET36" s="190"/>
      <c r="EU36" s="190"/>
      <c r="EV36" s="139"/>
      <c r="EW36" s="116"/>
      <c r="EX36" s="116"/>
      <c r="EY36" s="200"/>
      <c r="EZ36" s="200"/>
      <c r="FA36" s="139"/>
      <c r="FB36" s="139"/>
      <c r="FC36" s="139"/>
      <c r="FD36" s="116"/>
      <c r="FE36" s="116"/>
      <c r="FF36" s="200"/>
      <c r="FG36" s="200"/>
      <c r="FH36" s="139"/>
      <c r="FI36" s="139"/>
      <c r="FJ36" s="139"/>
      <c r="FK36" s="116"/>
      <c r="FL36" s="116"/>
      <c r="FM36" s="200"/>
      <c r="FN36" s="200"/>
      <c r="FO36" s="139"/>
      <c r="FP36" s="139"/>
      <c r="FQ36" s="139"/>
      <c r="FR36" s="116"/>
      <c r="FS36" s="116"/>
      <c r="FT36" s="200"/>
      <c r="FU36" s="200"/>
      <c r="FV36" s="201"/>
      <c r="FW36" s="320"/>
      <c r="FX36" s="320"/>
      <c r="FY36" s="320"/>
      <c r="FZ36" s="126"/>
      <c r="GA36" s="200"/>
      <c r="GB36" s="200"/>
      <c r="GC36" s="201"/>
      <c r="GD36" s="317"/>
      <c r="GE36" s="234"/>
      <c r="GF36" s="96"/>
      <c r="GG36" s="65"/>
    </row>
    <row r="37" spans="1:264" ht="30" customHeight="1" thickBot="1" x14ac:dyDescent="0.3">
      <c r="A37" s="113"/>
      <c r="B37" s="54"/>
      <c r="C37" s="224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333" t="s">
        <v>40</v>
      </c>
      <c r="P37" s="333"/>
      <c r="Q37" s="333"/>
      <c r="R37" s="333"/>
      <c r="S37" s="331">
        <f>C2+1</f>
        <v>2027</v>
      </c>
      <c r="T37" s="331"/>
      <c r="U37" s="331"/>
      <c r="V37" s="331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6"/>
      <c r="AH37" s="224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332" t="s">
        <v>41</v>
      </c>
      <c r="AU37" s="333"/>
      <c r="AV37" s="333"/>
      <c r="AW37" s="333"/>
      <c r="AX37" s="331">
        <f>C2+1</f>
        <v>2027</v>
      </c>
      <c r="AY37" s="331"/>
      <c r="AZ37" s="331"/>
      <c r="BA37" s="331"/>
      <c r="BB37" s="225"/>
      <c r="BC37" s="225"/>
      <c r="BD37" s="225"/>
      <c r="BE37" s="225"/>
      <c r="BF37" s="225"/>
      <c r="BG37" s="225"/>
      <c r="BH37" s="225"/>
      <c r="BI37" s="226"/>
      <c r="BM37" s="53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A37" s="67"/>
      <c r="DB37" s="67"/>
      <c r="DC37" s="67"/>
      <c r="DD37" s="67"/>
      <c r="DE37" s="67"/>
      <c r="DF37" s="67"/>
      <c r="DG37" s="67"/>
      <c r="DH37" s="67"/>
      <c r="DI37" s="67"/>
      <c r="DJ37" s="67"/>
      <c r="DK37" s="67"/>
      <c r="DL37" s="67"/>
      <c r="EZ37" s="53"/>
      <c r="FA37" s="53"/>
      <c r="FJ37" s="124"/>
      <c r="FK37" s="159"/>
      <c r="FL37" s="159"/>
      <c r="FM37" s="159" t="s">
        <v>130</v>
      </c>
      <c r="FN37" s="159"/>
      <c r="FO37" s="159"/>
      <c r="FP37" s="124"/>
      <c r="FQ37" s="124"/>
      <c r="FR37" s="159"/>
      <c r="FS37" s="162"/>
      <c r="FT37" s="162"/>
      <c r="FU37" s="160"/>
      <c r="FV37" s="160"/>
      <c r="FW37" s="124"/>
      <c r="FX37" s="124"/>
      <c r="FY37" s="124"/>
      <c r="FZ37" s="163"/>
      <c r="GA37" s="163"/>
      <c r="GB37" s="163"/>
      <c r="GC37" s="163"/>
      <c r="GD37" s="124"/>
    </row>
    <row r="38" spans="1:264" s="77" customFormat="1" ht="18" customHeight="1" x14ac:dyDescent="0.25">
      <c r="A38" s="114"/>
      <c r="B38" s="132"/>
      <c r="C38" s="356" t="s">
        <v>60</v>
      </c>
      <c r="D38" s="323"/>
      <c r="E38" s="323"/>
      <c r="F38" s="323"/>
      <c r="G38" s="323"/>
      <c r="H38" s="323"/>
      <c r="I38" s="323"/>
      <c r="J38" s="323"/>
      <c r="K38" s="323"/>
      <c r="L38" s="323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7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  <c r="CN38" s="53"/>
      <c r="CO38" s="53"/>
      <c r="CV38" s="75"/>
      <c r="EZ38" s="78"/>
      <c r="FA38" s="78"/>
      <c r="FQ38" s="53"/>
      <c r="GB38" s="78"/>
    </row>
    <row r="39" spans="1:264" s="77" customFormat="1" ht="18" customHeight="1" x14ac:dyDescent="0.25">
      <c r="A39" s="114"/>
      <c r="B39" s="79"/>
      <c r="C39" s="312" t="s">
        <v>78</v>
      </c>
      <c r="D39" s="313"/>
      <c r="E39" s="313"/>
      <c r="F39" s="314"/>
      <c r="G39" s="312" t="s">
        <v>79</v>
      </c>
      <c r="H39" s="313"/>
      <c r="I39" s="313"/>
      <c r="J39" s="313"/>
      <c r="K39" s="313"/>
      <c r="L39" s="313"/>
      <c r="M39" s="314"/>
      <c r="N39" s="312" t="s">
        <v>80</v>
      </c>
      <c r="O39" s="313"/>
      <c r="P39" s="313"/>
      <c r="Q39" s="313"/>
      <c r="R39" s="313"/>
      <c r="S39" s="313"/>
      <c r="T39" s="314"/>
      <c r="U39" s="312" t="s">
        <v>81</v>
      </c>
      <c r="V39" s="313"/>
      <c r="W39" s="313"/>
      <c r="X39" s="313"/>
      <c r="Y39" s="313"/>
      <c r="Z39" s="313"/>
      <c r="AA39" s="314"/>
      <c r="AB39" s="312" t="s">
        <v>82</v>
      </c>
      <c r="AC39" s="313"/>
      <c r="AD39" s="313"/>
      <c r="AE39" s="313"/>
      <c r="AF39" s="313"/>
      <c r="AG39" s="313"/>
      <c r="AH39" s="314"/>
      <c r="AI39" s="312" t="s">
        <v>83</v>
      </c>
      <c r="AJ39" s="313"/>
      <c r="AK39" s="313"/>
      <c r="AL39" s="313"/>
      <c r="AM39" s="313"/>
      <c r="AN39" s="313"/>
      <c r="AO39" s="314"/>
      <c r="AP39" s="312" t="s">
        <v>84</v>
      </c>
      <c r="AQ39" s="313"/>
      <c r="AR39" s="313"/>
      <c r="AS39" s="313"/>
      <c r="AT39" s="313"/>
      <c r="AU39" s="313"/>
      <c r="AV39" s="314"/>
      <c r="AW39" s="312" t="s">
        <v>85</v>
      </c>
      <c r="AX39" s="313"/>
      <c r="AY39" s="313"/>
      <c r="AZ39" s="313"/>
      <c r="BA39" s="313"/>
      <c r="BB39" s="313"/>
      <c r="BC39" s="314"/>
      <c r="BD39" s="312" t="s">
        <v>86</v>
      </c>
      <c r="BE39" s="313"/>
      <c r="BF39" s="313"/>
      <c r="BG39" s="313"/>
      <c r="BH39" s="313"/>
      <c r="BI39" s="314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  <c r="CN39" s="53"/>
      <c r="CO39" s="53"/>
      <c r="EZ39" s="78"/>
      <c r="FA39" s="78"/>
      <c r="FU39" s="53"/>
      <c r="FW39" s="124"/>
      <c r="GB39" s="78"/>
    </row>
    <row r="40" spans="1:264" ht="27.9" customHeight="1" thickBot="1" x14ac:dyDescent="0.3">
      <c r="A40" s="115"/>
      <c r="B40" s="339"/>
      <c r="C40" s="253">
        <v>1</v>
      </c>
      <c r="D40" s="62">
        <v>2</v>
      </c>
      <c r="E40" s="62">
        <v>3</v>
      </c>
      <c r="F40" s="62">
        <v>4</v>
      </c>
      <c r="G40" s="62">
        <v>5</v>
      </c>
      <c r="H40" s="62">
        <v>6</v>
      </c>
      <c r="I40" s="62">
        <v>7</v>
      </c>
      <c r="J40" s="62">
        <v>8</v>
      </c>
      <c r="K40" s="62">
        <v>9</v>
      </c>
      <c r="L40" s="62">
        <v>10</v>
      </c>
      <c r="M40" s="62">
        <v>11</v>
      </c>
      <c r="N40" s="62">
        <v>12</v>
      </c>
      <c r="O40" s="62">
        <v>13</v>
      </c>
      <c r="P40" s="62">
        <v>14</v>
      </c>
      <c r="Q40" s="62">
        <v>15</v>
      </c>
      <c r="R40" s="62">
        <v>16</v>
      </c>
      <c r="S40" s="62">
        <v>17</v>
      </c>
      <c r="T40" s="62">
        <v>18</v>
      </c>
      <c r="U40" s="62">
        <v>19</v>
      </c>
      <c r="V40" s="62">
        <v>20</v>
      </c>
      <c r="W40" s="62">
        <v>21</v>
      </c>
      <c r="X40" s="62">
        <v>22</v>
      </c>
      <c r="Y40" s="62">
        <v>23</v>
      </c>
      <c r="Z40" s="62">
        <v>24</v>
      </c>
      <c r="AA40" s="62">
        <v>25</v>
      </c>
      <c r="AB40" s="62">
        <v>26</v>
      </c>
      <c r="AC40" s="62">
        <v>27</v>
      </c>
      <c r="AD40" s="62">
        <v>28</v>
      </c>
      <c r="AE40" s="62">
        <v>29</v>
      </c>
      <c r="AF40" s="62">
        <v>30</v>
      </c>
      <c r="AG40" s="62">
        <v>31</v>
      </c>
      <c r="AH40" s="62">
        <v>1</v>
      </c>
      <c r="AI40" s="62">
        <v>2</v>
      </c>
      <c r="AJ40" s="62">
        <v>3</v>
      </c>
      <c r="AK40" s="62">
        <v>4</v>
      </c>
      <c r="AL40" s="62">
        <v>5</v>
      </c>
      <c r="AM40" s="62">
        <v>6</v>
      </c>
      <c r="AN40" s="62">
        <v>7</v>
      </c>
      <c r="AO40" s="62">
        <v>8</v>
      </c>
      <c r="AP40" s="62">
        <v>9</v>
      </c>
      <c r="AQ40" s="62">
        <v>10</v>
      </c>
      <c r="AR40" s="62">
        <v>11</v>
      </c>
      <c r="AS40" s="62">
        <v>12</v>
      </c>
      <c r="AT40" s="62">
        <v>13</v>
      </c>
      <c r="AU40" s="62">
        <v>14</v>
      </c>
      <c r="AV40" s="62">
        <v>15</v>
      </c>
      <c r="AW40" s="62">
        <v>16</v>
      </c>
      <c r="AX40" s="62">
        <v>17</v>
      </c>
      <c r="AY40" s="62">
        <v>18</v>
      </c>
      <c r="AZ40" s="62">
        <v>19</v>
      </c>
      <c r="BA40" s="62">
        <v>20</v>
      </c>
      <c r="BB40" s="62">
        <v>21</v>
      </c>
      <c r="BC40" s="62">
        <v>22</v>
      </c>
      <c r="BD40" s="62">
        <v>23</v>
      </c>
      <c r="BE40" s="62">
        <v>24</v>
      </c>
      <c r="BF40" s="62">
        <v>25</v>
      </c>
      <c r="BG40" s="62">
        <v>26</v>
      </c>
      <c r="BH40" s="62">
        <v>27</v>
      </c>
      <c r="BI40" s="62">
        <v>28</v>
      </c>
      <c r="BM40" s="53"/>
      <c r="CP40" s="104"/>
      <c r="CW40" s="117" t="s">
        <v>74</v>
      </c>
      <c r="CX40" s="192" t="s">
        <v>77</v>
      </c>
      <c r="CZ40" s="142" t="s">
        <v>17</v>
      </c>
      <c r="EL40" s="67"/>
      <c r="EM40" s="67"/>
      <c r="EN40" s="67"/>
      <c r="EO40" s="67"/>
      <c r="EP40" s="67"/>
      <c r="ER40" s="67"/>
      <c r="ES40" s="67"/>
      <c r="ET40" s="67"/>
      <c r="EU40" s="80"/>
      <c r="EV40" s="80"/>
      <c r="EZ40" s="53"/>
      <c r="FA40" s="53"/>
      <c r="GB40" s="53"/>
    </row>
    <row r="41" spans="1:264" ht="27.9" customHeight="1" thickTop="1" thickBot="1" x14ac:dyDescent="0.3">
      <c r="A41" s="115"/>
      <c r="B41" s="340"/>
      <c r="C41" s="129" t="s">
        <v>4</v>
      </c>
      <c r="D41" s="129" t="s">
        <v>5</v>
      </c>
      <c r="E41" s="129" t="s">
        <v>6</v>
      </c>
      <c r="F41" s="129" t="s">
        <v>7</v>
      </c>
      <c r="G41" s="129" t="s">
        <v>1</v>
      </c>
      <c r="H41" s="129" t="s">
        <v>2</v>
      </c>
      <c r="I41" s="129" t="s">
        <v>3</v>
      </c>
      <c r="J41" s="129" t="s">
        <v>4</v>
      </c>
      <c r="K41" s="129" t="s">
        <v>5</v>
      </c>
      <c r="L41" s="129" t="s">
        <v>6</v>
      </c>
      <c r="M41" s="129" t="s">
        <v>7</v>
      </c>
      <c r="N41" s="129" t="s">
        <v>1</v>
      </c>
      <c r="O41" s="129" t="s">
        <v>2</v>
      </c>
      <c r="P41" s="129" t="s">
        <v>3</v>
      </c>
      <c r="Q41" s="129" t="s">
        <v>4</v>
      </c>
      <c r="R41" s="129" t="s">
        <v>5</v>
      </c>
      <c r="S41" s="129" t="s">
        <v>6</v>
      </c>
      <c r="T41" s="129" t="s">
        <v>7</v>
      </c>
      <c r="U41" s="129" t="s">
        <v>1</v>
      </c>
      <c r="V41" s="129" t="s">
        <v>2</v>
      </c>
      <c r="W41" s="129" t="s">
        <v>3</v>
      </c>
      <c r="X41" s="129" t="s">
        <v>4</v>
      </c>
      <c r="Y41" s="129" t="s">
        <v>5</v>
      </c>
      <c r="Z41" s="129" t="s">
        <v>6</v>
      </c>
      <c r="AA41" s="129" t="s">
        <v>7</v>
      </c>
      <c r="AB41" s="129" t="s">
        <v>1</v>
      </c>
      <c r="AC41" s="129" t="s">
        <v>2</v>
      </c>
      <c r="AD41" s="129" t="s">
        <v>3</v>
      </c>
      <c r="AE41" s="129" t="s">
        <v>4</v>
      </c>
      <c r="AF41" s="129" t="s">
        <v>5</v>
      </c>
      <c r="AG41" s="129" t="s">
        <v>6</v>
      </c>
      <c r="AH41" s="129" t="s">
        <v>7</v>
      </c>
      <c r="AI41" s="129" t="s">
        <v>1</v>
      </c>
      <c r="AJ41" s="129" t="s">
        <v>2</v>
      </c>
      <c r="AK41" s="129" t="s">
        <v>3</v>
      </c>
      <c r="AL41" s="129" t="s">
        <v>4</v>
      </c>
      <c r="AM41" s="129" t="s">
        <v>5</v>
      </c>
      <c r="AN41" s="129" t="s">
        <v>6</v>
      </c>
      <c r="AO41" s="129" t="s">
        <v>7</v>
      </c>
      <c r="AP41" s="129" t="s">
        <v>1</v>
      </c>
      <c r="AQ41" s="129" t="s">
        <v>2</v>
      </c>
      <c r="AR41" s="129" t="s">
        <v>3</v>
      </c>
      <c r="AS41" s="129" t="s">
        <v>4</v>
      </c>
      <c r="AT41" s="129" t="s">
        <v>5</v>
      </c>
      <c r="AU41" s="129" t="s">
        <v>6</v>
      </c>
      <c r="AV41" s="129" t="s">
        <v>7</v>
      </c>
      <c r="AW41" s="129" t="s">
        <v>1</v>
      </c>
      <c r="AX41" s="129" t="s">
        <v>2</v>
      </c>
      <c r="AY41" s="129" t="s">
        <v>3</v>
      </c>
      <c r="AZ41" s="129" t="s">
        <v>4</v>
      </c>
      <c r="BA41" s="129" t="s">
        <v>5</v>
      </c>
      <c r="BB41" s="129" t="s">
        <v>6</v>
      </c>
      <c r="BC41" s="129" t="s">
        <v>7</v>
      </c>
      <c r="BD41" s="129" t="s">
        <v>1</v>
      </c>
      <c r="BE41" s="129" t="s">
        <v>2</v>
      </c>
      <c r="BF41" s="129" t="s">
        <v>3</v>
      </c>
      <c r="BG41" s="129" t="s">
        <v>4</v>
      </c>
      <c r="BH41" s="129" t="s">
        <v>5</v>
      </c>
      <c r="BI41" s="129" t="s">
        <v>6</v>
      </c>
      <c r="BM41" s="53"/>
      <c r="CP41" s="104"/>
      <c r="CX41" s="69" t="s">
        <v>69</v>
      </c>
      <c r="EZ41" s="53"/>
      <c r="FA41" s="53"/>
      <c r="GB41" s="53"/>
    </row>
    <row r="42" spans="1:264" ht="27.9" customHeight="1" thickBot="1" x14ac:dyDescent="0.3">
      <c r="A42" s="115"/>
      <c r="B42" s="68" t="s">
        <v>128</v>
      </c>
      <c r="C42" s="343"/>
      <c r="D42" s="116"/>
      <c r="E42" s="116"/>
      <c r="F42" s="133"/>
      <c r="G42" s="176"/>
      <c r="H42" s="346"/>
      <c r="I42" s="141"/>
      <c r="J42" s="141"/>
      <c r="K42" s="116"/>
      <c r="L42" s="116"/>
      <c r="M42" s="133"/>
      <c r="N42" s="133"/>
      <c r="O42" s="184"/>
      <c r="P42" s="133"/>
      <c r="Q42" s="138"/>
      <c r="R42" s="116"/>
      <c r="S42" s="116"/>
      <c r="T42" s="133"/>
      <c r="U42" s="133"/>
      <c r="V42" s="133"/>
      <c r="W42" s="133"/>
      <c r="X42" s="138"/>
      <c r="Y42" s="116"/>
      <c r="Z42" s="116"/>
      <c r="AA42" s="133"/>
      <c r="AB42" s="133"/>
      <c r="AC42" s="133"/>
      <c r="AD42" s="133"/>
      <c r="AE42" s="138"/>
      <c r="AF42" s="116"/>
      <c r="AG42" s="116"/>
      <c r="AH42" s="133"/>
      <c r="AI42" s="133"/>
      <c r="AJ42" s="133"/>
      <c r="AK42" s="133"/>
      <c r="AL42" s="138"/>
      <c r="AM42" s="116"/>
      <c r="AN42" s="116"/>
      <c r="AO42" s="133"/>
      <c r="AP42" s="133"/>
      <c r="AQ42" s="133"/>
      <c r="AR42" s="133"/>
      <c r="AS42" s="138"/>
      <c r="AT42" s="116"/>
      <c r="AU42" s="116"/>
      <c r="AV42" s="133"/>
      <c r="AW42" s="133"/>
      <c r="AX42" s="133"/>
      <c r="AY42" s="133"/>
      <c r="AZ42" s="138"/>
      <c r="BA42" s="116"/>
      <c r="BB42" s="116"/>
      <c r="BC42" s="133"/>
      <c r="BD42" s="133"/>
      <c r="BE42" s="133"/>
      <c r="BF42" s="133"/>
      <c r="BG42" s="138"/>
      <c r="BH42" s="116"/>
      <c r="BI42" s="116"/>
      <c r="BM42" s="53"/>
      <c r="CX42" s="69" t="s">
        <v>19</v>
      </c>
      <c r="CY42" s="121" t="s">
        <v>19</v>
      </c>
      <c r="EZ42" s="53"/>
      <c r="FA42" s="53"/>
      <c r="GB42" s="53"/>
    </row>
    <row r="43" spans="1:264" ht="27.9" customHeight="1" thickBot="1" x14ac:dyDescent="0.3">
      <c r="A43" s="115"/>
      <c r="B43" s="66" t="s">
        <v>142</v>
      </c>
      <c r="C43" s="344"/>
      <c r="D43" s="116"/>
      <c r="E43" s="116"/>
      <c r="F43" s="280" t="s">
        <v>8</v>
      </c>
      <c r="G43" s="280" t="s">
        <v>8</v>
      </c>
      <c r="H43" s="347"/>
      <c r="I43" s="280" t="s">
        <v>8</v>
      </c>
      <c r="J43" s="280" t="s">
        <v>8</v>
      </c>
      <c r="K43" s="116"/>
      <c r="L43" s="116"/>
      <c r="M43" s="133"/>
      <c r="N43" s="133"/>
      <c r="O43" s="133"/>
      <c r="P43" s="133"/>
      <c r="Q43" s="133"/>
      <c r="R43" s="116"/>
      <c r="S43" s="116"/>
      <c r="T43" s="133"/>
      <c r="U43" s="133"/>
      <c r="V43" s="133"/>
      <c r="W43" s="133"/>
      <c r="X43" s="133"/>
      <c r="Y43" s="116"/>
      <c r="Z43" s="116"/>
      <c r="AA43" s="133"/>
      <c r="AB43" s="133"/>
      <c r="AC43" s="133"/>
      <c r="AD43" s="133"/>
      <c r="AE43" s="133"/>
      <c r="AF43" s="116"/>
      <c r="AG43" s="116"/>
      <c r="AH43" s="133"/>
      <c r="AI43" s="133"/>
      <c r="AJ43" s="133"/>
      <c r="AK43" s="133"/>
      <c r="AL43" s="133"/>
      <c r="AM43" s="116"/>
      <c r="AN43" s="116"/>
      <c r="AO43" s="133"/>
      <c r="AP43" s="133"/>
      <c r="AQ43" s="133"/>
      <c r="AR43" s="133"/>
      <c r="AS43" s="133"/>
      <c r="AT43" s="116"/>
      <c r="AU43" s="116"/>
      <c r="AV43" s="133"/>
      <c r="AW43" s="133"/>
      <c r="AX43" s="138"/>
      <c r="AY43" s="138"/>
      <c r="AZ43" s="138"/>
      <c r="BA43" s="116"/>
      <c r="BB43" s="116"/>
      <c r="BC43" s="133"/>
      <c r="BD43" s="133"/>
      <c r="BE43" s="138"/>
      <c r="BF43" s="138"/>
      <c r="BG43" s="138"/>
      <c r="BH43" s="116"/>
      <c r="BI43" s="116"/>
      <c r="BM43" s="53"/>
      <c r="CW43" s="118" t="s">
        <v>50</v>
      </c>
      <c r="CX43" s="119" t="s">
        <v>50</v>
      </c>
      <c r="CY43" s="120" t="s">
        <v>68</v>
      </c>
      <c r="DB43" s="82"/>
      <c r="DC43" s="82"/>
      <c r="DD43" s="82"/>
      <c r="DE43" s="82"/>
      <c r="DF43" s="82"/>
      <c r="DG43" s="80"/>
      <c r="EZ43" s="53"/>
      <c r="FA43" s="53"/>
      <c r="GB43" s="53"/>
    </row>
    <row r="44" spans="1:264" ht="27.9" customHeight="1" thickBot="1" x14ac:dyDescent="0.3">
      <c r="A44" s="115"/>
      <c r="B44" s="66" t="s">
        <v>135</v>
      </c>
      <c r="C44" s="344"/>
      <c r="D44" s="116"/>
      <c r="E44" s="116"/>
      <c r="F44" s="133"/>
      <c r="G44" s="138"/>
      <c r="H44" s="347"/>
      <c r="I44" s="133"/>
      <c r="J44" s="182"/>
      <c r="K44" s="116"/>
      <c r="L44" s="116"/>
      <c r="M44" s="133"/>
      <c r="N44" s="133"/>
      <c r="O44" s="184"/>
      <c r="P44" s="133"/>
      <c r="Q44" s="138"/>
      <c r="R44" s="116"/>
      <c r="S44" s="116"/>
      <c r="T44" s="133"/>
      <c r="U44" s="133"/>
      <c r="V44" s="133"/>
      <c r="W44" s="133"/>
      <c r="X44" s="138"/>
      <c r="Y44" s="116"/>
      <c r="Z44" s="116"/>
      <c r="AA44" s="133"/>
      <c r="AB44" s="133"/>
      <c r="AC44" s="133"/>
      <c r="AD44" s="133"/>
      <c r="AE44" s="138"/>
      <c r="AF44" s="116"/>
      <c r="AG44" s="116"/>
      <c r="AH44" s="133"/>
      <c r="AI44" s="133"/>
      <c r="AJ44" s="133"/>
      <c r="AK44" s="133"/>
      <c r="AL44" s="138"/>
      <c r="AM44" s="116"/>
      <c r="AN44" s="116"/>
      <c r="AO44" s="133"/>
      <c r="AP44" s="133"/>
      <c r="AQ44" s="133"/>
      <c r="AR44" s="133"/>
      <c r="AS44" s="138"/>
      <c r="AT44" s="116"/>
      <c r="AU44" s="116"/>
      <c r="AV44" s="133"/>
      <c r="AW44" s="133"/>
      <c r="AX44" s="133"/>
      <c r="AY44" s="133"/>
      <c r="AZ44" s="138"/>
      <c r="BA44" s="116"/>
      <c r="BB44" s="116"/>
      <c r="BC44" s="133"/>
      <c r="BD44" s="133"/>
      <c r="BE44" s="133"/>
      <c r="BF44" s="133"/>
      <c r="BG44" s="138"/>
      <c r="BH44" s="116"/>
      <c r="BI44" s="116"/>
      <c r="BM44" s="53"/>
      <c r="CX44" s="145" t="s">
        <v>76</v>
      </c>
      <c r="DH44" s="82"/>
      <c r="EZ44" s="53"/>
      <c r="FA44" s="53"/>
      <c r="GB44" s="53"/>
    </row>
    <row r="45" spans="1:264" ht="27.9" customHeight="1" thickBot="1" x14ac:dyDescent="0.3">
      <c r="A45" s="115"/>
      <c r="B45" s="157" t="s">
        <v>143</v>
      </c>
      <c r="C45" s="344"/>
      <c r="D45" s="116"/>
      <c r="E45" s="116"/>
      <c r="F45" s="133"/>
      <c r="G45" s="195"/>
      <c r="H45" s="347"/>
      <c r="I45" s="133"/>
      <c r="J45" s="138"/>
      <c r="K45" s="116"/>
      <c r="L45" s="116"/>
      <c r="M45" s="133"/>
      <c r="N45" s="133"/>
      <c r="O45" s="184"/>
      <c r="P45" s="133"/>
      <c r="Q45" s="138"/>
      <c r="R45" s="116"/>
      <c r="S45" s="116"/>
      <c r="T45" s="133"/>
      <c r="U45" s="133"/>
      <c r="V45" s="133"/>
      <c r="W45" s="133"/>
      <c r="X45" s="138"/>
      <c r="Y45" s="116"/>
      <c r="Z45" s="116"/>
      <c r="AA45" s="133"/>
      <c r="AB45" s="133"/>
      <c r="AC45" s="133"/>
      <c r="AD45" s="133"/>
      <c r="AE45" s="138"/>
      <c r="AF45" s="116"/>
      <c r="AG45" s="116"/>
      <c r="AH45" s="133"/>
      <c r="AI45" s="133"/>
      <c r="AJ45" s="133"/>
      <c r="AK45" s="133"/>
      <c r="AL45" s="138"/>
      <c r="AM45" s="116"/>
      <c r="AN45" s="116"/>
      <c r="AO45" s="133"/>
      <c r="AP45" s="133"/>
      <c r="AQ45" s="133"/>
      <c r="AR45" s="133"/>
      <c r="AS45" s="138"/>
      <c r="AT45" s="116"/>
      <c r="AU45" s="116"/>
      <c r="AV45" s="133"/>
      <c r="AW45" s="133"/>
      <c r="AX45" s="133"/>
      <c r="AY45" s="133"/>
      <c r="AZ45" s="138"/>
      <c r="BA45" s="116"/>
      <c r="BB45" s="116"/>
      <c r="BC45" s="133"/>
      <c r="BD45" s="133"/>
      <c r="BE45" s="133"/>
      <c r="BF45" s="133"/>
      <c r="BG45" s="138"/>
      <c r="BH45" s="116"/>
      <c r="BI45" s="116"/>
      <c r="BM45" s="53"/>
      <c r="CX45" s="146" t="s">
        <v>134</v>
      </c>
      <c r="EZ45" s="53"/>
      <c r="FA45" s="53"/>
      <c r="GB45" s="53"/>
    </row>
    <row r="46" spans="1:264" ht="27.9" customHeight="1" thickBot="1" x14ac:dyDescent="0.3">
      <c r="A46" s="115"/>
      <c r="B46" s="66" t="s">
        <v>144</v>
      </c>
      <c r="C46" s="344"/>
      <c r="D46" s="116"/>
      <c r="E46" s="116"/>
      <c r="F46" s="280" t="s">
        <v>8</v>
      </c>
      <c r="G46" s="280" t="s">
        <v>8</v>
      </c>
      <c r="H46" s="347"/>
      <c r="I46" s="280" t="s">
        <v>8</v>
      </c>
      <c r="J46" s="280" t="s">
        <v>8</v>
      </c>
      <c r="K46" s="116"/>
      <c r="L46" s="116"/>
      <c r="M46" s="133"/>
      <c r="N46" s="133"/>
      <c r="O46" s="141"/>
      <c r="P46" s="141"/>
      <c r="Q46" s="141"/>
      <c r="R46" s="116"/>
      <c r="S46" s="116"/>
      <c r="T46" s="133"/>
      <c r="U46" s="133"/>
      <c r="V46" s="122"/>
      <c r="W46" s="122"/>
      <c r="X46" s="138"/>
      <c r="Y46" s="116"/>
      <c r="Z46" s="116"/>
      <c r="AA46" s="133"/>
      <c r="AB46" s="133"/>
      <c r="AC46" s="122"/>
      <c r="AD46" s="122"/>
      <c r="AE46" s="138"/>
      <c r="AF46" s="116"/>
      <c r="AG46" s="116"/>
      <c r="AH46" s="133"/>
      <c r="AI46" s="133"/>
      <c r="AJ46" s="122"/>
      <c r="AK46" s="122"/>
      <c r="AL46" s="138"/>
      <c r="AM46" s="116"/>
      <c r="AN46" s="116"/>
      <c r="AO46" s="133"/>
      <c r="AP46" s="133"/>
      <c r="AQ46" s="122"/>
      <c r="AR46" s="122"/>
      <c r="AS46" s="138"/>
      <c r="AT46" s="116"/>
      <c r="AU46" s="116"/>
      <c r="AV46" s="133"/>
      <c r="AW46" s="133"/>
      <c r="AX46" s="122"/>
      <c r="AY46" s="122"/>
      <c r="AZ46" s="138"/>
      <c r="BA46" s="116"/>
      <c r="BB46" s="116"/>
      <c r="BC46" s="133"/>
      <c r="BD46" s="133"/>
      <c r="BE46" s="122"/>
      <c r="BF46" s="122"/>
      <c r="BG46" s="138"/>
      <c r="BH46" s="116"/>
      <c r="BI46" s="116"/>
      <c r="BM46" s="53"/>
      <c r="CX46" s="155" t="s">
        <v>16</v>
      </c>
      <c r="CY46" s="135" t="s">
        <v>2</v>
      </c>
      <c r="EZ46" s="53"/>
      <c r="FA46" s="53"/>
      <c r="GB46" s="53"/>
    </row>
    <row r="47" spans="1:264" s="153" customFormat="1" ht="27.9" customHeight="1" thickBot="1" x14ac:dyDescent="0.3">
      <c r="A47" s="152"/>
      <c r="B47" s="66" t="s">
        <v>150</v>
      </c>
      <c r="C47" s="344"/>
      <c r="D47" s="116"/>
      <c r="E47" s="116"/>
      <c r="F47" s="122"/>
      <c r="G47" s="176"/>
      <c r="H47" s="347"/>
      <c r="I47" s="133"/>
      <c r="J47" s="138"/>
      <c r="K47" s="116"/>
      <c r="L47" s="110"/>
      <c r="M47" s="122"/>
      <c r="N47" s="122"/>
      <c r="O47" s="184"/>
      <c r="P47" s="164"/>
      <c r="Q47" s="138"/>
      <c r="R47" s="116"/>
      <c r="S47" s="116"/>
      <c r="T47" s="122"/>
      <c r="U47" s="122"/>
      <c r="V47" s="164"/>
      <c r="W47" s="164"/>
      <c r="X47" s="138"/>
      <c r="Y47" s="116"/>
      <c r="Z47" s="116"/>
      <c r="AA47" s="122"/>
      <c r="AB47" s="122"/>
      <c r="AC47" s="164"/>
      <c r="AD47" s="164"/>
      <c r="AE47" s="138"/>
      <c r="AF47" s="116"/>
      <c r="AG47" s="116"/>
      <c r="AH47" s="122"/>
      <c r="AI47" s="122"/>
      <c r="AJ47" s="164"/>
      <c r="AK47" s="164"/>
      <c r="AL47" s="138"/>
      <c r="AM47" s="116"/>
      <c r="AN47" s="116"/>
      <c r="AO47" s="122"/>
      <c r="AP47" s="122"/>
      <c r="AQ47" s="164"/>
      <c r="AR47" s="164"/>
      <c r="AS47" s="138"/>
      <c r="AT47" s="116"/>
      <c r="AU47" s="116"/>
      <c r="AV47" s="122"/>
      <c r="AW47" s="122"/>
      <c r="AX47" s="164"/>
      <c r="AY47" s="164"/>
      <c r="AZ47" s="138"/>
      <c r="BA47" s="116"/>
      <c r="BB47" s="116"/>
      <c r="BC47" s="122"/>
      <c r="BD47" s="122"/>
      <c r="BE47" s="164"/>
      <c r="BF47" s="164"/>
      <c r="BG47" s="138"/>
      <c r="BH47" s="116"/>
      <c r="BI47" s="116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  <c r="CN47" s="53"/>
      <c r="CO47" s="53"/>
      <c r="CP47" s="53"/>
      <c r="CQ47" s="53"/>
      <c r="CR47" s="53"/>
      <c r="CS47" s="53"/>
      <c r="CT47" s="53"/>
      <c r="CU47" s="53"/>
      <c r="CV47" s="53"/>
      <c r="CW47" s="44" t="s">
        <v>8</v>
      </c>
      <c r="CX47" s="44" t="s">
        <v>129</v>
      </c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53"/>
      <c r="DS47" s="53"/>
      <c r="DT47" s="53"/>
      <c r="DU47" s="53"/>
      <c r="DV47" s="53"/>
      <c r="DW47" s="53"/>
      <c r="DX47" s="53"/>
      <c r="DY47" s="53"/>
      <c r="DZ47" s="53"/>
      <c r="EA47" s="53"/>
      <c r="EB47" s="53"/>
      <c r="EC47" s="53"/>
      <c r="ED47" s="53"/>
      <c r="EE47" s="53"/>
      <c r="EF47" s="53"/>
      <c r="EG47" s="53"/>
      <c r="EH47" s="53"/>
      <c r="EI47" s="53"/>
      <c r="EJ47" s="53"/>
      <c r="EK47" s="53"/>
      <c r="EL47" s="53"/>
      <c r="EM47" s="53"/>
      <c r="EN47" s="53"/>
      <c r="EO47" s="53"/>
      <c r="EP47" s="53"/>
      <c r="EQ47" s="53"/>
      <c r="ER47" s="53"/>
      <c r="ES47" s="53"/>
      <c r="ET47" s="53"/>
      <c r="EU47" s="53"/>
      <c r="EV47" s="53"/>
      <c r="EW47" s="53"/>
      <c r="EX47" s="53"/>
      <c r="EY47" s="53"/>
      <c r="EZ47" s="53"/>
      <c r="FA47" s="53"/>
      <c r="FB47" s="53"/>
      <c r="FC47" s="53"/>
      <c r="FD47" s="53"/>
      <c r="FE47" s="53"/>
      <c r="FF47" s="53"/>
      <c r="FG47" s="53"/>
      <c r="FH47" s="53"/>
      <c r="FI47" s="53"/>
      <c r="FJ47" s="53"/>
      <c r="FK47" s="53"/>
      <c r="FL47" s="53"/>
      <c r="FM47" s="53"/>
      <c r="FN47" s="53"/>
      <c r="FO47" s="53"/>
      <c r="FP47" s="53"/>
      <c r="FQ47" s="53"/>
      <c r="FR47" s="53"/>
      <c r="FS47" s="53"/>
      <c r="FT47" s="53"/>
      <c r="FU47" s="53"/>
      <c r="FV47" s="53"/>
      <c r="FW47" s="53"/>
      <c r="FX47" s="53"/>
      <c r="FY47" s="53"/>
      <c r="FZ47" s="53"/>
      <c r="GA47" s="53"/>
      <c r="GB47" s="53"/>
      <c r="GC47" s="53"/>
      <c r="GD47" s="53"/>
      <c r="GE47" s="53"/>
      <c r="GF47" s="53"/>
      <c r="GG47" s="53"/>
      <c r="GH47" s="53"/>
      <c r="GI47" s="53"/>
      <c r="GJ47" s="53"/>
      <c r="GK47" s="53"/>
      <c r="GL47" s="53"/>
      <c r="GM47" s="53"/>
      <c r="GN47" s="53"/>
      <c r="GO47" s="53"/>
      <c r="GP47" s="53"/>
      <c r="GQ47" s="53"/>
      <c r="GR47" s="53"/>
      <c r="GS47" s="53"/>
      <c r="GT47" s="53"/>
      <c r="GU47" s="53"/>
      <c r="GV47" s="53"/>
      <c r="GW47" s="53"/>
      <c r="GX47" s="53"/>
      <c r="GY47" s="53"/>
      <c r="GZ47" s="53"/>
      <c r="HA47" s="53"/>
      <c r="HB47" s="53"/>
      <c r="HC47" s="53"/>
      <c r="HD47" s="53"/>
      <c r="HE47" s="53"/>
      <c r="HF47" s="53"/>
      <c r="HG47" s="53"/>
      <c r="HH47" s="53"/>
      <c r="HI47" s="53"/>
      <c r="HJ47" s="53"/>
      <c r="HK47" s="53"/>
      <c r="HL47" s="53"/>
      <c r="HM47" s="53"/>
      <c r="HN47" s="53"/>
      <c r="HO47" s="53"/>
      <c r="HP47" s="53"/>
      <c r="HQ47" s="53"/>
      <c r="HR47" s="53"/>
      <c r="HS47" s="53"/>
      <c r="HT47" s="53"/>
      <c r="HU47" s="53"/>
      <c r="HV47" s="53"/>
      <c r="HW47" s="53"/>
      <c r="HX47" s="53"/>
      <c r="HY47" s="53"/>
      <c r="HZ47" s="53"/>
      <c r="IA47" s="53"/>
      <c r="IB47" s="53"/>
      <c r="IC47" s="53"/>
      <c r="ID47" s="53"/>
      <c r="IE47" s="53"/>
      <c r="IF47" s="53"/>
      <c r="IG47" s="53"/>
      <c r="IH47" s="53"/>
      <c r="II47" s="53"/>
      <c r="IJ47" s="53"/>
      <c r="IK47" s="53"/>
      <c r="IL47" s="53"/>
      <c r="IM47" s="53"/>
      <c r="IN47" s="53"/>
      <c r="IO47" s="53"/>
      <c r="IP47" s="53"/>
      <c r="IQ47" s="53"/>
      <c r="IR47" s="53"/>
      <c r="IS47" s="53"/>
      <c r="IT47" s="53"/>
      <c r="IU47" s="53"/>
      <c r="IV47" s="53"/>
      <c r="IW47" s="53"/>
      <c r="IX47" s="53"/>
      <c r="IY47" s="53"/>
      <c r="IZ47" s="53"/>
      <c r="JA47" s="53"/>
      <c r="JB47" s="53"/>
      <c r="JC47" s="53"/>
      <c r="JD47" s="53"/>
    </row>
    <row r="48" spans="1:264" ht="27.9" customHeight="1" thickBot="1" x14ac:dyDescent="0.3">
      <c r="A48" s="115"/>
      <c r="B48" s="157" t="s">
        <v>151</v>
      </c>
      <c r="C48" s="344"/>
      <c r="D48" s="116"/>
      <c r="E48" s="116"/>
      <c r="F48" s="133"/>
      <c r="G48" s="195"/>
      <c r="H48" s="347"/>
      <c r="I48" s="182"/>
      <c r="J48" s="182"/>
      <c r="K48" s="116"/>
      <c r="L48" s="116"/>
      <c r="M48" s="133"/>
      <c r="N48" s="122"/>
      <c r="O48" s="141"/>
      <c r="P48" s="141"/>
      <c r="Q48" s="141"/>
      <c r="R48" s="116"/>
      <c r="S48" s="116"/>
      <c r="T48" s="133"/>
      <c r="U48" s="122"/>
      <c r="V48" s="133"/>
      <c r="W48" s="133"/>
      <c r="X48" s="138"/>
      <c r="Y48" s="116"/>
      <c r="Z48" s="116"/>
      <c r="AA48" s="133"/>
      <c r="AB48" s="122"/>
      <c r="AC48" s="133"/>
      <c r="AD48" s="133"/>
      <c r="AE48" s="138"/>
      <c r="AF48" s="116"/>
      <c r="AG48" s="116"/>
      <c r="AH48" s="133"/>
      <c r="AI48" s="122"/>
      <c r="AJ48" s="133"/>
      <c r="AK48" s="133"/>
      <c r="AL48" s="138"/>
      <c r="AM48" s="116"/>
      <c r="AN48" s="116"/>
      <c r="AO48" s="133"/>
      <c r="AP48" s="122"/>
      <c r="AQ48" s="133"/>
      <c r="AR48" s="133"/>
      <c r="AS48" s="138"/>
      <c r="AT48" s="116"/>
      <c r="AU48" s="116"/>
      <c r="AV48" s="133"/>
      <c r="AW48" s="122"/>
      <c r="AX48" s="203"/>
      <c r="AY48" s="182"/>
      <c r="AZ48" s="182"/>
      <c r="BA48" s="116"/>
      <c r="BB48" s="116"/>
      <c r="BC48" s="133"/>
      <c r="BD48" s="133"/>
      <c r="BE48" s="176"/>
      <c r="BF48" s="176"/>
      <c r="BG48" s="176"/>
      <c r="BH48" s="116"/>
      <c r="BI48" s="116"/>
      <c r="BM48" s="53"/>
      <c r="CW48" s="188"/>
      <c r="CX48" s="188"/>
      <c r="EZ48" s="53"/>
      <c r="FA48" s="53"/>
      <c r="GB48" s="53"/>
    </row>
    <row r="49" spans="1:184" ht="27.9" customHeight="1" thickBot="1" x14ac:dyDescent="0.3">
      <c r="A49" s="115"/>
      <c r="B49" s="157" t="s">
        <v>12</v>
      </c>
      <c r="C49" s="344"/>
      <c r="D49" s="116"/>
      <c r="E49" s="116"/>
      <c r="F49" s="285" t="s">
        <v>8</v>
      </c>
      <c r="G49" s="285" t="s">
        <v>8</v>
      </c>
      <c r="H49" s="347"/>
      <c r="I49" s="285" t="s">
        <v>8</v>
      </c>
      <c r="J49" s="285" t="s">
        <v>8</v>
      </c>
      <c r="K49" s="116"/>
      <c r="L49" s="116"/>
      <c r="M49" s="133"/>
      <c r="N49" s="164"/>
      <c r="O49" s="184"/>
      <c r="P49" s="133"/>
      <c r="Q49" s="138"/>
      <c r="R49" s="116"/>
      <c r="S49" s="116"/>
      <c r="T49" s="133"/>
      <c r="U49" s="164"/>
      <c r="V49" s="133"/>
      <c r="W49" s="133"/>
      <c r="X49" s="138"/>
      <c r="Y49" s="116"/>
      <c r="Z49" s="116"/>
      <c r="AA49" s="133"/>
      <c r="AB49" s="164"/>
      <c r="AC49" s="133"/>
      <c r="AD49" s="133"/>
      <c r="AE49" s="138"/>
      <c r="AF49" s="116"/>
      <c r="AG49" s="116"/>
      <c r="AH49" s="133"/>
      <c r="AI49" s="164"/>
      <c r="AJ49" s="133"/>
      <c r="AK49" s="133"/>
      <c r="AL49" s="138"/>
      <c r="AM49" s="116"/>
      <c r="AN49" s="116"/>
      <c r="AO49" s="133"/>
      <c r="AP49" s="164"/>
      <c r="AQ49" s="133"/>
      <c r="AR49" s="133"/>
      <c r="AS49" s="138"/>
      <c r="AT49" s="116"/>
      <c r="AU49" s="116"/>
      <c r="AV49" s="133"/>
      <c r="AW49" s="164"/>
      <c r="AX49" s="133"/>
      <c r="AY49" s="133"/>
      <c r="AZ49" s="138"/>
      <c r="BA49" s="116"/>
      <c r="BB49" s="116"/>
      <c r="BC49" s="133"/>
      <c r="BD49" s="164"/>
      <c r="BE49" s="133"/>
      <c r="BF49" s="133"/>
      <c r="BG49" s="138"/>
      <c r="BH49" s="116"/>
      <c r="BI49" s="116"/>
      <c r="BM49" s="53"/>
      <c r="CW49" s="151" t="s">
        <v>5</v>
      </c>
      <c r="CX49" s="158" t="s">
        <v>4</v>
      </c>
      <c r="EZ49" s="53"/>
      <c r="FA49" s="53"/>
      <c r="GB49" s="53"/>
    </row>
    <row r="50" spans="1:184" ht="27.9" customHeight="1" thickBot="1" x14ac:dyDescent="0.3">
      <c r="A50" s="115"/>
      <c r="B50" s="179" t="s">
        <v>9</v>
      </c>
      <c r="C50" s="345"/>
      <c r="D50" s="180"/>
      <c r="E50" s="181"/>
      <c r="F50" s="285" t="s">
        <v>8</v>
      </c>
      <c r="G50" s="285" t="s">
        <v>8</v>
      </c>
      <c r="H50" s="347"/>
      <c r="I50" s="285" t="s">
        <v>8</v>
      </c>
      <c r="J50" s="285" t="s">
        <v>8</v>
      </c>
      <c r="K50" s="180"/>
      <c r="L50" s="181"/>
      <c r="M50" s="199"/>
      <c r="N50" s="199"/>
      <c r="O50" s="213"/>
      <c r="P50" s="199"/>
      <c r="Q50" s="214"/>
      <c r="R50" s="180"/>
      <c r="S50" s="180"/>
      <c r="T50" s="199"/>
      <c r="U50" s="199"/>
      <c r="V50" s="199"/>
      <c r="W50" s="199"/>
      <c r="X50" s="214"/>
      <c r="Y50" s="180"/>
      <c r="Z50" s="180"/>
      <c r="AA50" s="199"/>
      <c r="AB50" s="199"/>
      <c r="AC50" s="199"/>
      <c r="AD50" s="199"/>
      <c r="AE50" s="214"/>
      <c r="AF50" s="180"/>
      <c r="AG50" s="180"/>
      <c r="AH50" s="199"/>
      <c r="AI50" s="199"/>
      <c r="AJ50" s="199"/>
      <c r="AK50" s="199"/>
      <c r="AL50" s="214"/>
      <c r="AM50" s="180"/>
      <c r="AN50" s="180"/>
      <c r="AO50" s="199"/>
      <c r="AP50" s="199"/>
      <c r="AQ50" s="199"/>
      <c r="AR50" s="199"/>
      <c r="AS50" s="214"/>
      <c r="AT50" s="180"/>
      <c r="AU50" s="180"/>
      <c r="AV50" s="199"/>
      <c r="AW50" s="199"/>
      <c r="AX50" s="199"/>
      <c r="AY50" s="199"/>
      <c r="AZ50" s="214"/>
      <c r="BA50" s="180"/>
      <c r="BB50" s="180"/>
      <c r="BC50" s="199"/>
      <c r="BD50" s="199"/>
      <c r="BE50" s="199"/>
      <c r="BF50" s="199"/>
      <c r="BG50" s="214"/>
      <c r="BH50" s="180"/>
      <c r="BI50" s="180"/>
      <c r="BM50" s="53"/>
      <c r="CX50" s="175" t="s">
        <v>138</v>
      </c>
      <c r="EZ50" s="53"/>
      <c r="FA50" s="53"/>
      <c r="GB50" s="53"/>
    </row>
    <row r="51" spans="1:184" ht="27.9" customHeight="1" thickTop="1" x14ac:dyDescent="0.25">
      <c r="A51" s="115"/>
      <c r="B51" s="232" t="s">
        <v>145</v>
      </c>
      <c r="C51" s="345"/>
      <c r="D51" s="233"/>
      <c r="E51" s="116"/>
      <c r="F51" s="133"/>
      <c r="G51" s="198"/>
      <c r="H51" s="347"/>
      <c r="I51" s="218"/>
      <c r="J51" s="198"/>
      <c r="K51" s="116"/>
      <c r="L51" s="116"/>
      <c r="M51" s="275"/>
      <c r="N51" s="262"/>
      <c r="O51" s="277"/>
      <c r="P51" s="262"/>
      <c r="Q51" s="278"/>
      <c r="R51" s="116"/>
      <c r="S51" s="116"/>
      <c r="T51" s="262"/>
      <c r="U51" s="262"/>
      <c r="V51" s="262"/>
      <c r="W51" s="262"/>
      <c r="X51" s="278"/>
      <c r="Y51" s="116"/>
      <c r="Z51" s="116"/>
      <c r="AA51" s="262"/>
      <c r="AB51" s="262"/>
      <c r="AC51" s="262"/>
      <c r="AD51" s="262"/>
      <c r="AE51" s="278"/>
      <c r="AF51" s="116"/>
      <c r="AG51" s="116"/>
      <c r="AH51" s="262"/>
      <c r="AI51" s="262"/>
      <c r="AJ51" s="262"/>
      <c r="AK51" s="262"/>
      <c r="AL51" s="278"/>
      <c r="AM51" s="116"/>
      <c r="AN51" s="116"/>
      <c r="AO51" s="262"/>
      <c r="AP51" s="262"/>
      <c r="AQ51" s="262"/>
      <c r="AR51" s="262"/>
      <c r="AS51" s="278"/>
      <c r="AT51" s="116"/>
      <c r="AU51" s="116"/>
      <c r="AV51" s="262"/>
      <c r="AW51" s="262"/>
      <c r="AX51" s="262"/>
      <c r="AY51" s="262"/>
      <c r="AZ51" s="278"/>
      <c r="BA51" s="116"/>
      <c r="BB51" s="116"/>
      <c r="BC51" s="262"/>
      <c r="BD51" s="262"/>
      <c r="BE51" s="262"/>
      <c r="BF51" s="262"/>
      <c r="BG51" s="278"/>
      <c r="BH51" s="116"/>
      <c r="BI51" s="116"/>
      <c r="BM51" s="53"/>
      <c r="CX51" s="252"/>
      <c r="EZ51" s="53"/>
      <c r="FA51" s="53"/>
      <c r="GB51" s="53"/>
    </row>
    <row r="52" spans="1:184" ht="27.9" customHeight="1" x14ac:dyDescent="0.25">
      <c r="A52" s="115"/>
      <c r="B52" s="251" t="s">
        <v>139</v>
      </c>
      <c r="C52" s="345"/>
      <c r="D52" s="116"/>
      <c r="E52" s="116"/>
      <c r="F52" s="133"/>
      <c r="G52" s="138"/>
      <c r="H52" s="347"/>
      <c r="I52" s="212"/>
      <c r="J52" s="138"/>
      <c r="K52" s="116"/>
      <c r="L52" s="116"/>
      <c r="M52" s="133"/>
      <c r="N52" s="133"/>
      <c r="O52" s="184"/>
      <c r="P52" s="133"/>
      <c r="Q52" s="138"/>
      <c r="R52" s="116"/>
      <c r="S52" s="116"/>
      <c r="T52" s="133"/>
      <c r="U52" s="133"/>
      <c r="V52" s="133"/>
      <c r="W52" s="133"/>
      <c r="X52" s="138"/>
      <c r="Y52" s="116"/>
      <c r="Z52" s="116"/>
      <c r="AA52" s="133"/>
      <c r="AB52" s="133"/>
      <c r="AC52" s="133"/>
      <c r="AD52" s="133"/>
      <c r="AE52" s="138"/>
      <c r="AF52" s="116"/>
      <c r="AG52" s="116"/>
      <c r="AH52" s="133"/>
      <c r="AI52" s="133"/>
      <c r="AJ52" s="133"/>
      <c r="AK52" s="133"/>
      <c r="AL52" s="138"/>
      <c r="AM52" s="116"/>
      <c r="AN52" s="116"/>
      <c r="AO52" s="133"/>
      <c r="AP52" s="133"/>
      <c r="AQ52" s="133"/>
      <c r="AR52" s="133"/>
      <c r="AS52" s="138"/>
      <c r="AT52" s="116"/>
      <c r="AU52" s="116"/>
      <c r="AV52" s="133"/>
      <c r="AW52" s="133"/>
      <c r="AX52" s="133"/>
      <c r="AY52" s="133"/>
      <c r="AZ52" s="138"/>
      <c r="BA52" s="116"/>
      <c r="BB52" s="116"/>
      <c r="BC52" s="133"/>
      <c r="BD52" s="133"/>
      <c r="BE52" s="133"/>
      <c r="BF52" s="133"/>
      <c r="BG52" s="138"/>
      <c r="BH52" s="116"/>
      <c r="BI52" s="116"/>
      <c r="BM52" s="53"/>
      <c r="CX52" s="231" t="s">
        <v>146</v>
      </c>
      <c r="CY52" s="231" t="s">
        <v>147</v>
      </c>
      <c r="EZ52" s="53"/>
      <c r="FA52" s="53"/>
      <c r="GB52" s="53"/>
    </row>
    <row r="53" spans="1:184" ht="27.9" customHeight="1" thickBot="1" x14ac:dyDescent="0.3">
      <c r="A53" s="115"/>
      <c r="B53" s="245" t="s">
        <v>140</v>
      </c>
      <c r="C53" s="345"/>
      <c r="D53" s="116"/>
      <c r="E53" s="116"/>
      <c r="F53" s="150"/>
      <c r="G53" s="147"/>
      <c r="H53" s="347"/>
      <c r="I53" s="177"/>
      <c r="J53" s="147"/>
      <c r="K53" s="116"/>
      <c r="L53" s="219"/>
      <c r="M53" s="150"/>
      <c r="N53" s="150"/>
      <c r="O53" s="185"/>
      <c r="P53" s="150"/>
      <c r="Q53" s="186"/>
      <c r="R53" s="116"/>
      <c r="S53" s="116"/>
      <c r="T53" s="150"/>
      <c r="U53" s="150"/>
      <c r="V53" s="150"/>
      <c r="W53" s="150"/>
      <c r="X53" s="147"/>
      <c r="Y53" s="116"/>
      <c r="Z53" s="116"/>
      <c r="AA53" s="150"/>
      <c r="AB53" s="150"/>
      <c r="AC53" s="150"/>
      <c r="AD53" s="150"/>
      <c r="AE53" s="147"/>
      <c r="AF53" s="116"/>
      <c r="AG53" s="116"/>
      <c r="AH53" s="150"/>
      <c r="AI53" s="150"/>
      <c r="AJ53" s="150"/>
      <c r="AK53" s="150"/>
      <c r="AL53" s="147"/>
      <c r="AM53" s="116"/>
      <c r="AN53" s="116"/>
      <c r="AO53" s="150"/>
      <c r="AP53" s="150"/>
      <c r="AQ53" s="150"/>
      <c r="AR53" s="150"/>
      <c r="AS53" s="147"/>
      <c r="AT53" s="116"/>
      <c r="AU53" s="116"/>
      <c r="AV53" s="150"/>
      <c r="AW53" s="150"/>
      <c r="AX53" s="150"/>
      <c r="AY53" s="150"/>
      <c r="AZ53" s="147"/>
      <c r="BA53" s="116"/>
      <c r="BB53" s="116"/>
      <c r="BC53" s="150"/>
      <c r="BD53" s="150"/>
      <c r="BE53" s="150"/>
      <c r="BF53" s="150"/>
      <c r="BG53" s="147"/>
      <c r="BH53" s="116"/>
      <c r="BI53" s="116"/>
      <c r="BM53" s="53"/>
      <c r="CV53" s="143" t="s">
        <v>133</v>
      </c>
      <c r="CW53" s="143" t="s">
        <v>132</v>
      </c>
      <c r="CX53" s="144" t="s">
        <v>131</v>
      </c>
      <c r="CZ53" s="159"/>
      <c r="DA53" s="159"/>
      <c r="DB53" s="159"/>
      <c r="DC53" s="124"/>
      <c r="DD53" s="160"/>
      <c r="DE53" s="160"/>
      <c r="DF53" s="160"/>
      <c r="DG53" s="160"/>
      <c r="DH53" s="160"/>
      <c r="DI53" s="161"/>
      <c r="DJ53" s="124"/>
      <c r="DK53" s="124"/>
      <c r="DL53" s="159"/>
      <c r="DM53" s="159"/>
      <c r="DN53" s="159"/>
      <c r="DO53" s="159"/>
      <c r="DP53" s="159"/>
      <c r="DQ53" s="124"/>
      <c r="DR53" s="124"/>
      <c r="DS53" s="159"/>
      <c r="DT53" s="159"/>
      <c r="DU53" s="159"/>
      <c r="DV53" s="159"/>
      <c r="DW53" s="159"/>
      <c r="DX53" s="124"/>
      <c r="DY53" s="124"/>
      <c r="DZ53" s="159"/>
      <c r="EA53" s="159"/>
      <c r="EB53" s="159"/>
      <c r="EC53" s="159"/>
      <c r="ED53" s="159"/>
      <c r="EE53" s="124"/>
      <c r="EF53" s="124"/>
      <c r="EG53" s="159"/>
      <c r="EH53" s="159"/>
      <c r="EI53" s="159"/>
      <c r="EJ53" s="159"/>
      <c r="EK53" s="159"/>
      <c r="EL53" s="124"/>
      <c r="EM53" s="124"/>
      <c r="GB53" s="81"/>
    </row>
    <row r="54" spans="1:184" ht="18" customHeight="1" thickBot="1" x14ac:dyDescent="0.3">
      <c r="B54" s="220"/>
      <c r="C54" s="221"/>
      <c r="D54" s="222"/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3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3"/>
      <c r="BM54" s="53"/>
      <c r="GB54" s="81"/>
    </row>
    <row r="55" spans="1:184" ht="30" customHeight="1" x14ac:dyDescent="0.25">
      <c r="B55" s="83"/>
      <c r="AH55" s="84"/>
      <c r="AI55" s="84"/>
      <c r="AJ55" s="84"/>
      <c r="AK55" s="84"/>
      <c r="AL55" s="84"/>
      <c r="AM55" s="84"/>
      <c r="GB55" s="81"/>
    </row>
    <row r="56" spans="1:184" s="77" customFormat="1" ht="18" customHeight="1" x14ac:dyDescent="0.25">
      <c r="A56" s="86"/>
      <c r="B56" s="87"/>
      <c r="BM56" s="85"/>
      <c r="EZ56" s="78"/>
      <c r="FA56" s="78"/>
      <c r="GB56" s="78"/>
    </row>
    <row r="57" spans="1:184" ht="18" customHeight="1" x14ac:dyDescent="0.25">
      <c r="B57" s="88"/>
      <c r="GB57" s="81"/>
    </row>
    <row r="58" spans="1:184" ht="18" customHeight="1" x14ac:dyDescent="0.25">
      <c r="B58" s="88"/>
      <c r="GB58" s="81"/>
    </row>
    <row r="59" spans="1:184" ht="18" customHeight="1" x14ac:dyDescent="0.25">
      <c r="B59" s="88"/>
      <c r="GB59" s="81"/>
    </row>
    <row r="60" spans="1:184" ht="18" customHeight="1" x14ac:dyDescent="0.25">
      <c r="B60" s="89"/>
      <c r="GB60" s="81"/>
    </row>
    <row r="61" spans="1:184" ht="18" customHeight="1" x14ac:dyDescent="0.25">
      <c r="B61" s="88"/>
      <c r="M61" s="90"/>
      <c r="GB61" s="81"/>
    </row>
    <row r="62" spans="1:184" ht="18" customHeight="1" x14ac:dyDescent="0.25">
      <c r="B62" s="89"/>
      <c r="DA62" s="101"/>
      <c r="DB62" s="101"/>
      <c r="DC62" s="101"/>
      <c r="GB62" s="81"/>
    </row>
    <row r="63" spans="1:184" ht="18" customHeight="1" x14ac:dyDescent="0.25">
      <c r="B63" s="88"/>
      <c r="DA63" s="101"/>
      <c r="DB63" s="101"/>
      <c r="DC63" s="101"/>
      <c r="GB63" s="81"/>
    </row>
    <row r="64" spans="1:184" ht="18" customHeight="1" x14ac:dyDescent="0.25">
      <c r="B64" s="89"/>
      <c r="DA64" s="101"/>
      <c r="DB64" s="101"/>
      <c r="DC64" s="101"/>
      <c r="GB64" s="81"/>
    </row>
    <row r="65" spans="1:184" ht="18" customHeight="1" x14ac:dyDescent="0.25">
      <c r="B65" s="88"/>
      <c r="GB65" s="81"/>
    </row>
    <row r="66" spans="1:184" ht="18" customHeight="1" x14ac:dyDescent="0.25">
      <c r="B66" s="89"/>
      <c r="GB66" s="81"/>
    </row>
    <row r="67" spans="1:184" ht="18" customHeight="1" x14ac:dyDescent="0.25">
      <c r="B67" s="88"/>
      <c r="GB67" s="81"/>
    </row>
    <row r="68" spans="1:184" ht="18" customHeight="1" x14ac:dyDescent="0.25">
      <c r="B68" s="89"/>
      <c r="GB68" s="81"/>
    </row>
    <row r="69" spans="1:184" ht="18" hidden="1" customHeight="1" x14ac:dyDescent="0.25">
      <c r="B69" s="88"/>
      <c r="GB69" s="81"/>
    </row>
    <row r="70" spans="1:184" ht="18" hidden="1" customHeight="1" thickBot="1" x14ac:dyDescent="0.3">
      <c r="B70" s="89"/>
      <c r="GB70" s="81"/>
    </row>
    <row r="71" spans="1:184" ht="18" customHeight="1" x14ac:dyDescent="0.25">
      <c r="B71" s="88"/>
      <c r="GB71" s="81"/>
    </row>
    <row r="72" spans="1:184" ht="18" customHeight="1" x14ac:dyDescent="0.25">
      <c r="B72" s="89"/>
      <c r="GB72" s="81"/>
    </row>
    <row r="73" spans="1:184" ht="18" customHeight="1" x14ac:dyDescent="0.25">
      <c r="B73" s="88"/>
      <c r="GB73" s="81"/>
    </row>
    <row r="74" spans="1:184" ht="18" customHeight="1" x14ac:dyDescent="0.25">
      <c r="B74" s="89"/>
      <c r="GB74" s="81"/>
    </row>
    <row r="75" spans="1:184" ht="18" customHeight="1" x14ac:dyDescent="0.25">
      <c r="B75" s="88"/>
      <c r="GB75" s="81"/>
    </row>
    <row r="76" spans="1:184" ht="18" customHeight="1" x14ac:dyDescent="0.25">
      <c r="B76" s="89"/>
      <c r="GB76" s="81"/>
    </row>
    <row r="77" spans="1:184" ht="18" customHeight="1" x14ac:dyDescent="0.25">
      <c r="GB77" s="81"/>
    </row>
    <row r="78" spans="1:184" ht="30" customHeight="1" x14ac:dyDescent="0.25">
      <c r="B78" s="83"/>
      <c r="BL78" s="91"/>
      <c r="GB78" s="81"/>
    </row>
    <row r="79" spans="1:184" s="77" customFormat="1" ht="18" customHeight="1" x14ac:dyDescent="0.25">
      <c r="A79" s="86"/>
      <c r="B79" s="87"/>
      <c r="BM79" s="85"/>
      <c r="EZ79" s="78"/>
      <c r="FA79" s="78"/>
      <c r="GB79" s="78"/>
    </row>
    <row r="80" spans="1:184" ht="18" customHeight="1" x14ac:dyDescent="0.25">
      <c r="B80" s="88"/>
      <c r="GB80" s="81"/>
    </row>
    <row r="81" spans="2:184" ht="18" customHeight="1" x14ac:dyDescent="0.25">
      <c r="B81" s="88"/>
      <c r="GB81" s="81"/>
    </row>
    <row r="82" spans="2:184" ht="18" customHeight="1" x14ac:dyDescent="0.25">
      <c r="B82" s="88"/>
      <c r="GB82" s="81"/>
    </row>
    <row r="83" spans="2:184" ht="18" customHeight="1" x14ac:dyDescent="0.25">
      <c r="B83" s="89"/>
      <c r="GB83" s="81"/>
    </row>
    <row r="84" spans="2:184" ht="18" customHeight="1" x14ac:dyDescent="0.25">
      <c r="B84" s="88"/>
      <c r="GB84" s="81"/>
    </row>
    <row r="85" spans="2:184" ht="18" customHeight="1" x14ac:dyDescent="0.25">
      <c r="B85" s="89"/>
      <c r="GB85" s="81"/>
    </row>
    <row r="86" spans="2:184" ht="18" customHeight="1" x14ac:dyDescent="0.25">
      <c r="B86" s="88"/>
      <c r="GB86" s="81"/>
    </row>
    <row r="87" spans="2:184" ht="18" customHeight="1" x14ac:dyDescent="0.25">
      <c r="B87" s="89"/>
      <c r="GB87" s="81"/>
    </row>
    <row r="88" spans="2:184" ht="18" customHeight="1" x14ac:dyDescent="0.25">
      <c r="B88" s="88"/>
      <c r="GB88" s="81"/>
    </row>
    <row r="89" spans="2:184" ht="18" customHeight="1" x14ac:dyDescent="0.25">
      <c r="B89" s="89"/>
      <c r="GB89" s="81"/>
    </row>
    <row r="90" spans="2:184" ht="18" customHeight="1" x14ac:dyDescent="0.25">
      <c r="B90" s="88"/>
      <c r="GB90" s="81"/>
    </row>
    <row r="91" spans="2:184" ht="18" customHeight="1" x14ac:dyDescent="0.25">
      <c r="B91" s="89"/>
      <c r="GB91" s="81"/>
    </row>
    <row r="92" spans="2:184" ht="18" hidden="1" customHeight="1" x14ac:dyDescent="0.25">
      <c r="B92" s="88"/>
      <c r="GB92" s="81"/>
    </row>
    <row r="93" spans="2:184" ht="18" hidden="1" customHeight="1" thickBot="1" x14ac:dyDescent="0.3">
      <c r="B93" s="89"/>
      <c r="GB93" s="81"/>
    </row>
    <row r="94" spans="2:184" ht="18" customHeight="1" x14ac:dyDescent="0.25">
      <c r="B94" s="88"/>
      <c r="GB94" s="81"/>
    </row>
    <row r="95" spans="2:184" ht="18" customHeight="1" x14ac:dyDescent="0.25">
      <c r="B95" s="89"/>
      <c r="GB95" s="81"/>
    </row>
    <row r="96" spans="2:184" ht="18" customHeight="1" x14ac:dyDescent="0.25">
      <c r="B96" s="88"/>
      <c r="GB96" s="81"/>
    </row>
    <row r="97" spans="1:184" ht="18" customHeight="1" x14ac:dyDescent="0.25">
      <c r="B97" s="89"/>
      <c r="GB97" s="81"/>
    </row>
    <row r="98" spans="1:184" ht="18" customHeight="1" x14ac:dyDescent="0.25">
      <c r="B98" s="88"/>
      <c r="GB98" s="81"/>
    </row>
    <row r="99" spans="1:184" ht="18" customHeight="1" x14ac:dyDescent="0.25">
      <c r="B99" s="89"/>
      <c r="GB99" s="81"/>
    </row>
    <row r="100" spans="1:184" ht="18" customHeight="1" x14ac:dyDescent="0.25">
      <c r="GB100" s="81"/>
    </row>
    <row r="101" spans="1:184" s="93" customFormat="1" ht="30" customHeight="1" x14ac:dyDescent="0.25">
      <c r="A101" s="92"/>
      <c r="B101" s="83"/>
      <c r="BM101" s="85"/>
      <c r="EZ101" s="94"/>
      <c r="FA101" s="94"/>
      <c r="GB101" s="94"/>
    </row>
    <row r="102" spans="1:184" s="58" customFormat="1" ht="18" customHeight="1" x14ac:dyDescent="0.25">
      <c r="A102" s="95"/>
      <c r="B102" s="96"/>
      <c r="BM102" s="97"/>
      <c r="EZ102" s="98"/>
      <c r="FA102" s="98"/>
      <c r="GB102" s="98"/>
    </row>
    <row r="103" spans="1:184" ht="18" customHeight="1" x14ac:dyDescent="0.25">
      <c r="B103" s="88"/>
      <c r="GB103" s="81"/>
    </row>
    <row r="104" spans="1:184" ht="18" customHeight="1" x14ac:dyDescent="0.25">
      <c r="B104" s="88"/>
      <c r="GB104" s="81"/>
    </row>
    <row r="105" spans="1:184" ht="18" customHeight="1" x14ac:dyDescent="0.25">
      <c r="B105" s="88"/>
      <c r="GB105" s="81"/>
    </row>
    <row r="106" spans="1:184" ht="18" customHeight="1" x14ac:dyDescent="0.25">
      <c r="B106" s="89"/>
      <c r="GB106" s="81"/>
    </row>
    <row r="107" spans="1:184" ht="18" customHeight="1" x14ac:dyDescent="0.25">
      <c r="B107" s="88"/>
      <c r="GB107" s="81"/>
    </row>
    <row r="108" spans="1:184" ht="18" customHeight="1" x14ac:dyDescent="0.25">
      <c r="B108" s="89"/>
      <c r="GB108" s="81"/>
    </row>
    <row r="109" spans="1:184" ht="18" customHeight="1" x14ac:dyDescent="0.25">
      <c r="B109" s="88"/>
      <c r="GB109" s="81"/>
    </row>
    <row r="110" spans="1:184" ht="18" customHeight="1" x14ac:dyDescent="0.25">
      <c r="B110" s="89"/>
      <c r="GB110" s="81"/>
    </row>
    <row r="111" spans="1:184" ht="18" customHeight="1" x14ac:dyDescent="0.25">
      <c r="B111" s="88"/>
      <c r="GB111" s="81"/>
    </row>
    <row r="112" spans="1:184" ht="18" customHeight="1" x14ac:dyDescent="0.25">
      <c r="B112" s="89"/>
      <c r="GB112" s="81"/>
    </row>
    <row r="113" spans="1:184" ht="18" customHeight="1" x14ac:dyDescent="0.25">
      <c r="B113" s="88"/>
      <c r="GB113" s="81"/>
    </row>
    <row r="114" spans="1:184" ht="18" customHeight="1" x14ac:dyDescent="0.25">
      <c r="B114" s="89"/>
      <c r="GB114" s="81"/>
    </row>
    <row r="115" spans="1:184" ht="18" hidden="1" customHeight="1" x14ac:dyDescent="0.25">
      <c r="B115" s="88"/>
      <c r="GB115" s="81"/>
    </row>
    <row r="116" spans="1:184" ht="18" hidden="1" customHeight="1" thickBot="1" x14ac:dyDescent="0.3">
      <c r="B116" s="89"/>
      <c r="GB116" s="81"/>
    </row>
    <row r="117" spans="1:184" ht="18" customHeight="1" x14ac:dyDescent="0.25">
      <c r="B117" s="88"/>
      <c r="GB117" s="81"/>
    </row>
    <row r="118" spans="1:184" ht="18" customHeight="1" x14ac:dyDescent="0.25">
      <c r="B118" s="89"/>
      <c r="GB118" s="81"/>
    </row>
    <row r="119" spans="1:184" ht="18" customHeight="1" x14ac:dyDescent="0.25">
      <c r="B119" s="88"/>
      <c r="GB119" s="81"/>
    </row>
    <row r="120" spans="1:184" ht="18" customHeight="1" x14ac:dyDescent="0.25">
      <c r="B120" s="89"/>
      <c r="GB120" s="81"/>
    </row>
    <row r="121" spans="1:184" ht="18" customHeight="1" x14ac:dyDescent="0.25">
      <c r="B121" s="88"/>
      <c r="GB121" s="81"/>
    </row>
    <row r="122" spans="1:184" ht="18" customHeight="1" x14ac:dyDescent="0.25">
      <c r="B122" s="89"/>
      <c r="GB122" s="81"/>
    </row>
    <row r="123" spans="1:184" ht="18" customHeight="1" x14ac:dyDescent="0.25">
      <c r="GB123" s="81"/>
    </row>
    <row r="124" spans="1:184" ht="30" customHeight="1" x14ac:dyDescent="0.25">
      <c r="B124" s="83"/>
      <c r="GB124" s="81"/>
    </row>
    <row r="125" spans="1:184" s="58" customFormat="1" ht="18" customHeight="1" x14ac:dyDescent="0.25">
      <c r="A125" s="95"/>
      <c r="B125" s="96"/>
      <c r="AI125" s="99"/>
      <c r="BM125" s="97"/>
      <c r="EZ125" s="98"/>
      <c r="FA125" s="98"/>
      <c r="GB125" s="98"/>
    </row>
    <row r="126" spans="1:184" ht="18" customHeight="1" x14ac:dyDescent="0.25">
      <c r="B126" s="88"/>
      <c r="GB126" s="81"/>
    </row>
    <row r="127" spans="1:184" ht="18" customHeight="1" x14ac:dyDescent="0.25">
      <c r="B127" s="88"/>
      <c r="GB127" s="81"/>
    </row>
    <row r="128" spans="1:184" ht="18" customHeight="1" x14ac:dyDescent="0.25">
      <c r="B128" s="88"/>
      <c r="GB128" s="81"/>
    </row>
    <row r="129" spans="2:184" ht="18" customHeight="1" x14ac:dyDescent="0.25">
      <c r="B129" s="89"/>
      <c r="GB129" s="81"/>
    </row>
    <row r="130" spans="2:184" ht="18" customHeight="1" x14ac:dyDescent="0.25">
      <c r="B130" s="88"/>
      <c r="GB130" s="81"/>
    </row>
    <row r="131" spans="2:184" ht="18" customHeight="1" x14ac:dyDescent="0.25">
      <c r="B131" s="89"/>
      <c r="GB131" s="81"/>
    </row>
    <row r="132" spans="2:184" ht="18" customHeight="1" x14ac:dyDescent="0.25">
      <c r="B132" s="88"/>
      <c r="GB132" s="81"/>
    </row>
    <row r="133" spans="2:184" ht="18" customHeight="1" x14ac:dyDescent="0.25">
      <c r="B133" s="89"/>
      <c r="AN133" s="100"/>
      <c r="AO133" s="100"/>
      <c r="AP133" s="101"/>
      <c r="AQ133" s="101"/>
      <c r="AR133" s="101"/>
      <c r="AS133" s="101"/>
      <c r="GB133" s="81"/>
    </row>
    <row r="134" spans="2:184" ht="18" customHeight="1" x14ac:dyDescent="0.25">
      <c r="B134" s="88"/>
      <c r="GB134" s="81"/>
    </row>
    <row r="135" spans="2:184" ht="18" customHeight="1" x14ac:dyDescent="0.25">
      <c r="B135" s="89"/>
      <c r="GB135" s="81"/>
    </row>
    <row r="136" spans="2:184" ht="18" customHeight="1" x14ac:dyDescent="0.25">
      <c r="B136" s="88"/>
      <c r="GB136" s="81"/>
    </row>
    <row r="137" spans="2:184" ht="18" customHeight="1" x14ac:dyDescent="0.25">
      <c r="B137" s="89"/>
      <c r="GB137" s="81"/>
    </row>
    <row r="138" spans="2:184" ht="18" customHeight="1" x14ac:dyDescent="0.25">
      <c r="B138" s="88"/>
      <c r="GB138" s="81"/>
    </row>
    <row r="139" spans="2:184" ht="18" customHeight="1" x14ac:dyDescent="0.25">
      <c r="B139" s="89"/>
      <c r="GB139" s="81"/>
    </row>
    <row r="140" spans="2:184" ht="18" customHeight="1" x14ac:dyDescent="0.25">
      <c r="B140" s="88"/>
      <c r="GB140" s="81"/>
    </row>
    <row r="141" spans="2:184" ht="18" customHeight="1" x14ac:dyDescent="0.25">
      <c r="B141" s="89"/>
      <c r="GB141" s="81"/>
    </row>
    <row r="142" spans="2:184" ht="18" customHeight="1" x14ac:dyDescent="0.25">
      <c r="B142" s="88"/>
      <c r="GB142" s="81"/>
    </row>
    <row r="143" spans="2:184" ht="18" customHeight="1" x14ac:dyDescent="0.25">
      <c r="B143" s="89"/>
      <c r="GB143" s="81"/>
    </row>
    <row r="144" spans="2:184" ht="18" customHeight="1" x14ac:dyDescent="0.25">
      <c r="B144" s="89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GB144" s="81"/>
    </row>
    <row r="145" spans="2:184" ht="18" customHeight="1" x14ac:dyDescent="0.25">
      <c r="B145" s="88"/>
      <c r="C145" s="67"/>
      <c r="D145" s="91"/>
      <c r="E145" s="91"/>
      <c r="F145" s="91"/>
      <c r="G145" s="91"/>
      <c r="H145" s="91"/>
      <c r="I145" s="67"/>
      <c r="J145" s="67"/>
      <c r="K145" s="91"/>
      <c r="L145" s="91"/>
      <c r="M145" s="91"/>
      <c r="N145" s="91"/>
      <c r="O145" s="91"/>
      <c r="P145" s="67"/>
      <c r="Q145" s="67"/>
      <c r="R145" s="91"/>
      <c r="S145" s="91"/>
      <c r="T145" s="91"/>
      <c r="U145" s="91"/>
      <c r="V145" s="91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GB145" s="81"/>
    </row>
    <row r="146" spans="2:184" ht="18" customHeight="1" x14ac:dyDescent="0.25">
      <c r="B146" s="89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GB146" s="81"/>
    </row>
    <row r="147" spans="2:184" ht="18" customHeight="1" x14ac:dyDescent="0.25">
      <c r="B147" s="88"/>
      <c r="C147" s="67"/>
      <c r="D147" s="91"/>
      <c r="E147" s="91"/>
      <c r="F147" s="91"/>
      <c r="G147" s="91"/>
      <c r="H147" s="91"/>
      <c r="I147" s="67"/>
      <c r="J147" s="67"/>
      <c r="K147" s="91"/>
      <c r="L147" s="91"/>
      <c r="M147" s="91"/>
      <c r="N147" s="91"/>
      <c r="O147" s="91"/>
      <c r="P147" s="67"/>
      <c r="Q147" s="67"/>
      <c r="R147" s="91"/>
      <c r="S147" s="91"/>
      <c r="T147" s="91"/>
      <c r="U147" s="91"/>
      <c r="V147" s="91"/>
      <c r="W147" s="67"/>
      <c r="X147" s="67"/>
      <c r="Y147" s="67"/>
      <c r="Z147" s="67"/>
      <c r="AA147" s="67"/>
      <c r="AB147" s="67"/>
      <c r="AC147" s="102"/>
      <c r="AD147" s="67"/>
      <c r="AE147" s="67"/>
      <c r="AF147" s="67"/>
      <c r="AG147" s="82"/>
      <c r="GB147" s="81"/>
    </row>
    <row r="148" spans="2:184" ht="18" customHeight="1" x14ac:dyDescent="0.25">
      <c r="B148" s="89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102"/>
      <c r="AD148" s="67"/>
      <c r="AE148" s="67"/>
      <c r="AF148" s="67"/>
      <c r="AG148" s="103"/>
      <c r="GB148" s="81"/>
    </row>
    <row r="149" spans="2:184" ht="18" customHeight="1" x14ac:dyDescent="0.25">
      <c r="B149" s="88"/>
      <c r="C149" s="67"/>
      <c r="D149" s="91"/>
      <c r="E149" s="91"/>
      <c r="F149" s="91"/>
      <c r="G149" s="91"/>
      <c r="H149" s="91"/>
      <c r="I149" s="67"/>
      <c r="J149" s="67"/>
      <c r="K149" s="91"/>
      <c r="L149" s="91"/>
      <c r="M149" s="91"/>
      <c r="N149" s="91"/>
      <c r="O149" s="91"/>
      <c r="P149" s="67"/>
      <c r="Q149" s="67"/>
      <c r="R149" s="91"/>
      <c r="S149" s="91"/>
      <c r="T149" s="91"/>
      <c r="U149" s="91"/>
      <c r="V149" s="91"/>
      <c r="W149" s="67"/>
      <c r="X149" s="67"/>
      <c r="Y149" s="67"/>
      <c r="Z149" s="67"/>
      <c r="AA149" s="67"/>
      <c r="AB149" s="67"/>
      <c r="AC149" s="102"/>
      <c r="AD149" s="67"/>
      <c r="AE149" s="67"/>
      <c r="AF149" s="67"/>
      <c r="AG149" s="67"/>
      <c r="GB149" s="81"/>
    </row>
    <row r="150" spans="2:184" ht="18" customHeight="1" x14ac:dyDescent="0.25">
      <c r="B150" s="89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102"/>
      <c r="AD150" s="67"/>
      <c r="AE150" s="67"/>
      <c r="AF150" s="67"/>
      <c r="AG150" s="67"/>
      <c r="GB150" s="81"/>
    </row>
    <row r="151" spans="2:184" ht="18" customHeight="1" x14ac:dyDescent="0.25">
      <c r="B151" s="88"/>
      <c r="C151" s="67"/>
      <c r="D151" s="91"/>
      <c r="E151" s="91"/>
      <c r="F151" s="91"/>
      <c r="G151" s="91"/>
      <c r="H151" s="91"/>
      <c r="I151" s="67"/>
      <c r="J151" s="67"/>
      <c r="K151" s="91"/>
      <c r="L151" s="91"/>
      <c r="M151" s="91"/>
      <c r="N151" s="91"/>
      <c r="O151" s="91"/>
      <c r="P151" s="67"/>
      <c r="Q151" s="67"/>
      <c r="R151" s="91"/>
      <c r="S151" s="91"/>
      <c r="T151" s="91"/>
      <c r="U151" s="91"/>
      <c r="V151" s="91"/>
      <c r="W151" s="67"/>
      <c r="X151" s="67"/>
      <c r="Y151" s="67"/>
      <c r="Z151" s="67"/>
      <c r="AA151" s="67"/>
      <c r="AB151" s="67"/>
      <c r="AC151" s="102"/>
      <c r="AD151" s="67"/>
      <c r="AE151" s="67"/>
      <c r="AF151" s="67"/>
      <c r="AG151" s="67"/>
      <c r="GB151" s="81"/>
    </row>
    <row r="152" spans="2:184" ht="18" customHeight="1" x14ac:dyDescent="0.25">
      <c r="B152" s="89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102"/>
      <c r="AD152" s="67"/>
      <c r="AE152" s="67"/>
      <c r="AF152" s="67"/>
      <c r="AG152" s="67"/>
      <c r="GB152" s="81"/>
    </row>
    <row r="153" spans="2:184" ht="18" customHeight="1" x14ac:dyDescent="0.25">
      <c r="H153" s="67"/>
      <c r="GB153" s="81"/>
    </row>
    <row r="154" spans="2:184" ht="18" customHeight="1" x14ac:dyDescent="0.25">
      <c r="B154" s="88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GB154" s="81"/>
    </row>
    <row r="155" spans="2:184" ht="18" customHeight="1" x14ac:dyDescent="0.25">
      <c r="B155" s="88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J155" s="67"/>
      <c r="AK155" s="91"/>
      <c r="AL155" s="91"/>
      <c r="AM155" s="67"/>
      <c r="AN155" s="67"/>
      <c r="GB155" s="81"/>
    </row>
    <row r="156" spans="2:184" ht="18" customHeight="1" x14ac:dyDescent="0.25">
      <c r="B156" s="88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  <c r="AF156" s="91"/>
      <c r="AI156" s="67"/>
      <c r="AJ156" s="67"/>
      <c r="AK156" s="67"/>
      <c r="AL156" s="67"/>
      <c r="AM156" s="67"/>
      <c r="AN156" s="67"/>
      <c r="GB156" s="81"/>
    </row>
    <row r="157" spans="2:184" ht="18" customHeight="1" x14ac:dyDescent="0.25">
      <c r="B157" s="89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  <c r="AF157" s="67"/>
      <c r="AI157" s="67"/>
      <c r="AJ157" s="67"/>
      <c r="AK157" s="67"/>
      <c r="AL157" s="67"/>
      <c r="GB157" s="81"/>
    </row>
    <row r="158" spans="2:184" ht="18" customHeight="1" x14ac:dyDescent="0.25">
      <c r="B158" s="88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91"/>
      <c r="Y158" s="91"/>
      <c r="Z158" s="67"/>
      <c r="AA158" s="67"/>
      <c r="AB158" s="67"/>
      <c r="AC158" s="67"/>
      <c r="AD158" s="67"/>
      <c r="AE158" s="67"/>
      <c r="AF158" s="67"/>
      <c r="GB158" s="81"/>
    </row>
    <row r="159" spans="2:184" ht="18" customHeight="1" x14ac:dyDescent="0.25">
      <c r="B159" s="89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  <c r="AF159" s="67"/>
      <c r="GB159" s="81"/>
    </row>
    <row r="160" spans="2:184" ht="18" customHeight="1" x14ac:dyDescent="0.25">
      <c r="B160" s="88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91"/>
      <c r="Q160" s="91"/>
      <c r="R160" s="91"/>
      <c r="S160" s="91"/>
      <c r="T160" s="67"/>
      <c r="U160" s="67"/>
      <c r="V160" s="67"/>
      <c r="W160" s="91"/>
      <c r="X160" s="67"/>
      <c r="Y160" s="67"/>
      <c r="Z160" s="91"/>
      <c r="AA160" s="67"/>
      <c r="AB160" s="67"/>
      <c r="AC160" s="67"/>
      <c r="AD160" s="67"/>
      <c r="AE160" s="91"/>
      <c r="AF160" s="67"/>
      <c r="GB160" s="81"/>
    </row>
    <row r="161" spans="2:184" ht="18" customHeight="1" x14ac:dyDescent="0.25">
      <c r="B161" s="89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GB161" s="81"/>
    </row>
    <row r="162" spans="2:184" ht="18" customHeight="1" x14ac:dyDescent="0.25">
      <c r="B162" s="88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91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91"/>
      <c r="AE162" s="67"/>
      <c r="AF162" s="67"/>
      <c r="GB162" s="81"/>
    </row>
    <row r="163" spans="2:184" ht="18" customHeight="1" x14ac:dyDescent="0.25">
      <c r="B163" s="89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80"/>
      <c r="AE163" s="67"/>
      <c r="AF163" s="67"/>
      <c r="GB163" s="81"/>
    </row>
    <row r="164" spans="2:184" ht="18" customHeight="1" x14ac:dyDescent="0.25">
      <c r="B164" s="88"/>
      <c r="C164" s="67"/>
      <c r="D164" s="67"/>
      <c r="E164" s="67"/>
      <c r="F164" s="67"/>
      <c r="G164" s="67"/>
      <c r="H164" s="67"/>
      <c r="I164" s="91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91"/>
      <c r="AE164" s="67"/>
      <c r="AF164" s="67"/>
      <c r="GB164" s="81"/>
    </row>
    <row r="165" spans="2:184" ht="18" customHeight="1" x14ac:dyDescent="0.25">
      <c r="B165" s="89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91"/>
      <c r="AE165" s="67"/>
      <c r="AF165" s="67"/>
      <c r="GB165" s="81"/>
    </row>
    <row r="166" spans="2:184" ht="18" customHeight="1" x14ac:dyDescent="0.25">
      <c r="B166" s="88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GB166" s="81"/>
    </row>
    <row r="167" spans="2:184" ht="18" customHeight="1" x14ac:dyDescent="0.25">
      <c r="B167" s="89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GB167" s="81"/>
    </row>
    <row r="168" spans="2:184" ht="18" customHeight="1" x14ac:dyDescent="0.25">
      <c r="B168" s="88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H168" s="67"/>
      <c r="AI168" s="67"/>
      <c r="AJ168" s="67"/>
      <c r="AK168" s="67"/>
      <c r="AL168" s="67"/>
      <c r="AM168" s="67"/>
      <c r="AN168" s="67"/>
      <c r="AO168" s="67"/>
      <c r="AP168" s="82"/>
      <c r="AQ168" s="67"/>
      <c r="AR168" s="67"/>
      <c r="GB168" s="81"/>
    </row>
    <row r="169" spans="2:184" ht="18" customHeight="1" x14ac:dyDescent="0.25">
      <c r="B169" s="89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H169" s="67"/>
      <c r="AI169" s="67"/>
      <c r="AJ169" s="67"/>
      <c r="AK169" s="67"/>
      <c r="AL169" s="67"/>
      <c r="AM169" s="67"/>
      <c r="AN169" s="67"/>
      <c r="AO169" s="67"/>
      <c r="AP169" s="67"/>
      <c r="AQ169" s="67"/>
      <c r="AR169" s="67"/>
      <c r="GB169" s="81"/>
    </row>
    <row r="170" spans="2:184" ht="18" customHeight="1" x14ac:dyDescent="0.25">
      <c r="B170" s="88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GB170" s="81"/>
    </row>
    <row r="171" spans="2:184" ht="18" customHeight="1" x14ac:dyDescent="0.25">
      <c r="B171" s="89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GB171" s="81"/>
    </row>
    <row r="172" spans="2:184" ht="18" customHeight="1" x14ac:dyDescent="0.25">
      <c r="GB172" s="81"/>
    </row>
    <row r="173" spans="2:184" ht="18" customHeight="1" x14ac:dyDescent="0.25">
      <c r="B173" s="88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GB173" s="81"/>
    </row>
    <row r="174" spans="2:184" ht="18" customHeight="1" x14ac:dyDescent="0.25">
      <c r="B174" s="88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GB174" s="81"/>
    </row>
    <row r="175" spans="2:184" ht="18" customHeight="1" x14ac:dyDescent="0.25">
      <c r="B175" s="88"/>
      <c r="C175" s="91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105"/>
      <c r="P175" s="105"/>
      <c r="Q175" s="105"/>
      <c r="R175" s="67"/>
      <c r="S175" s="67"/>
      <c r="T175" s="67"/>
      <c r="U175" s="105"/>
      <c r="V175" s="105"/>
      <c r="W175" s="105"/>
      <c r="X175" s="82"/>
      <c r="Y175" s="67"/>
      <c r="Z175" s="67"/>
      <c r="AA175" s="67"/>
      <c r="AB175" s="91"/>
      <c r="AC175" s="91"/>
      <c r="AD175" s="91"/>
      <c r="AE175" s="91"/>
      <c r="AF175" s="67"/>
      <c r="AG175" s="67"/>
      <c r="AH175" s="106"/>
      <c r="GB175" s="81"/>
    </row>
    <row r="176" spans="2:184" ht="18" customHeight="1" x14ac:dyDescent="0.25">
      <c r="B176" s="89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82"/>
      <c r="P176" s="82"/>
      <c r="Q176" s="82"/>
      <c r="R176" s="67"/>
      <c r="S176" s="67"/>
      <c r="T176" s="67"/>
      <c r="U176" s="67"/>
      <c r="V176" s="105"/>
      <c r="W176" s="82"/>
      <c r="X176" s="107"/>
      <c r="Y176" s="67"/>
      <c r="Z176" s="67"/>
      <c r="AA176" s="67"/>
      <c r="AB176" s="67"/>
      <c r="AC176" s="67"/>
      <c r="AD176" s="67"/>
      <c r="AE176" s="67"/>
      <c r="AF176" s="67"/>
      <c r="AG176" s="67"/>
      <c r="GB176" s="81"/>
    </row>
    <row r="177" spans="2:184" ht="18" customHeight="1" x14ac:dyDescent="0.25">
      <c r="B177" s="88"/>
      <c r="C177" s="67"/>
      <c r="D177" s="67"/>
      <c r="E177" s="67"/>
      <c r="F177" s="67"/>
      <c r="G177" s="91"/>
      <c r="H177" s="91"/>
      <c r="I177" s="91"/>
      <c r="J177" s="91"/>
      <c r="K177" s="67"/>
      <c r="L177" s="67"/>
      <c r="M177" s="67"/>
      <c r="N177" s="67"/>
      <c r="O177" s="91"/>
      <c r="P177" s="91"/>
      <c r="Q177" s="67"/>
      <c r="R177" s="67"/>
      <c r="S177" s="67"/>
      <c r="T177" s="67"/>
      <c r="U177" s="67"/>
      <c r="V177" s="91"/>
      <c r="W177" s="91"/>
      <c r="X177" s="91"/>
      <c r="Y177" s="67"/>
      <c r="Z177" s="67"/>
      <c r="AA177" s="67"/>
      <c r="AB177" s="67"/>
      <c r="AC177" s="67"/>
      <c r="AD177" s="67"/>
      <c r="AE177" s="103"/>
      <c r="AF177" s="67"/>
      <c r="AG177" s="67"/>
      <c r="GB177" s="81"/>
    </row>
    <row r="178" spans="2:184" ht="18" customHeight="1" x14ac:dyDescent="0.25">
      <c r="B178" s="89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103"/>
      <c r="AF178" s="67"/>
      <c r="AG178" s="67"/>
      <c r="GB178" s="81"/>
    </row>
    <row r="179" spans="2:184" ht="18" customHeight="1" x14ac:dyDescent="0.25">
      <c r="B179" s="88"/>
      <c r="C179" s="67"/>
      <c r="D179" s="67"/>
      <c r="E179" s="67"/>
      <c r="F179" s="67"/>
      <c r="G179" s="91"/>
      <c r="H179" s="91"/>
      <c r="I179" s="91"/>
      <c r="J179" s="91"/>
      <c r="K179" s="67"/>
      <c r="L179" s="67"/>
      <c r="M179" s="67"/>
      <c r="N179" s="67"/>
      <c r="O179" s="67"/>
      <c r="P179" s="67"/>
      <c r="Q179" s="103"/>
      <c r="R179" s="67"/>
      <c r="S179" s="67"/>
      <c r="T179" s="67"/>
      <c r="U179" s="91"/>
      <c r="V179" s="91"/>
      <c r="W179" s="67"/>
      <c r="X179" s="67"/>
      <c r="Y179" s="67"/>
      <c r="Z179" s="67"/>
      <c r="AA179" s="67"/>
      <c r="AB179" s="67"/>
      <c r="AC179" s="67"/>
      <c r="AD179" s="67"/>
      <c r="AE179" s="67"/>
      <c r="AF179" s="67"/>
      <c r="AG179" s="67"/>
      <c r="GB179" s="81"/>
    </row>
    <row r="180" spans="2:184" ht="18" customHeight="1" x14ac:dyDescent="0.25">
      <c r="B180" s="89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103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  <c r="AF180" s="67"/>
      <c r="AG180" s="67"/>
      <c r="GB180" s="81"/>
    </row>
    <row r="181" spans="2:184" ht="18" customHeight="1" x14ac:dyDescent="0.25">
      <c r="B181" s="88"/>
      <c r="C181" s="67"/>
      <c r="D181" s="67"/>
      <c r="E181" s="67"/>
      <c r="F181" s="67"/>
      <c r="G181" s="67"/>
      <c r="H181" s="67"/>
      <c r="I181" s="67"/>
      <c r="J181" s="103"/>
      <c r="K181" s="67"/>
      <c r="L181" s="67"/>
      <c r="M181" s="67"/>
      <c r="N181" s="67"/>
      <c r="O181" s="67"/>
      <c r="P181" s="67"/>
      <c r="Q181" s="91"/>
      <c r="R181" s="67"/>
      <c r="S181" s="67"/>
      <c r="T181" s="67"/>
      <c r="U181" s="67"/>
      <c r="V181" s="67"/>
      <c r="W181" s="67"/>
      <c r="X181" s="103"/>
      <c r="Y181" s="67"/>
      <c r="Z181" s="67"/>
      <c r="AA181" s="67"/>
      <c r="AB181" s="67"/>
      <c r="AC181" s="67"/>
      <c r="AD181" s="67"/>
      <c r="AE181" s="67"/>
      <c r="AF181" s="67"/>
      <c r="AG181" s="67"/>
      <c r="GB181" s="81"/>
    </row>
    <row r="182" spans="2:184" ht="18" customHeight="1" x14ac:dyDescent="0.25">
      <c r="B182" s="89"/>
      <c r="C182" s="67"/>
      <c r="D182" s="67"/>
      <c r="E182" s="67"/>
      <c r="F182" s="67"/>
      <c r="G182" s="67"/>
      <c r="H182" s="67"/>
      <c r="I182" s="67"/>
      <c r="J182" s="103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103"/>
      <c r="Y182" s="67"/>
      <c r="Z182" s="67"/>
      <c r="AA182" s="67"/>
      <c r="AB182" s="67"/>
      <c r="AC182" s="67"/>
      <c r="AD182" s="67"/>
      <c r="AE182" s="67"/>
      <c r="AF182" s="67"/>
      <c r="AG182" s="67"/>
      <c r="GB182" s="81"/>
    </row>
    <row r="183" spans="2:184" ht="18" customHeight="1" x14ac:dyDescent="0.25">
      <c r="B183" s="88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91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105"/>
      <c r="AC183" s="105"/>
      <c r="AD183" s="105"/>
      <c r="AE183" s="105"/>
      <c r="AF183" s="67"/>
      <c r="AG183" s="67"/>
      <c r="GB183" s="81"/>
    </row>
    <row r="184" spans="2:184" ht="18" customHeight="1" x14ac:dyDescent="0.25">
      <c r="B184" s="89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108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  <c r="AF184" s="67"/>
      <c r="AG184" s="67"/>
      <c r="GB184" s="81"/>
    </row>
    <row r="185" spans="2:184" ht="18" customHeight="1" x14ac:dyDescent="0.25">
      <c r="B185" s="88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7"/>
      <c r="GB185" s="81"/>
    </row>
    <row r="186" spans="2:184" ht="18" customHeight="1" x14ac:dyDescent="0.25">
      <c r="B186" s="89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GB186" s="81"/>
    </row>
    <row r="187" spans="2:184" ht="18" customHeight="1" x14ac:dyDescent="0.25">
      <c r="B187" s="88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91"/>
      <c r="P187" s="91"/>
      <c r="Q187" s="91"/>
      <c r="R187" s="67"/>
      <c r="S187" s="67"/>
      <c r="T187" s="67"/>
      <c r="U187" s="91"/>
      <c r="V187" s="91"/>
      <c r="W187" s="91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GB187" s="81"/>
    </row>
    <row r="188" spans="2:184" ht="18" customHeight="1" x14ac:dyDescent="0.25">
      <c r="B188" s="89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  <c r="AF188" s="67"/>
      <c r="AG188" s="67"/>
      <c r="GB188" s="81"/>
    </row>
    <row r="189" spans="2:184" ht="18" customHeight="1" x14ac:dyDescent="0.25">
      <c r="B189" s="88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91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GB189" s="81"/>
    </row>
    <row r="190" spans="2:184" ht="18" customHeight="1" x14ac:dyDescent="0.25">
      <c r="B190" s="89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GB190" s="81"/>
    </row>
    <row r="191" spans="2:184" ht="18" customHeight="1" x14ac:dyDescent="0.25">
      <c r="GB191" s="81"/>
    </row>
    <row r="192" spans="2:184" ht="18" customHeight="1" x14ac:dyDescent="0.25">
      <c r="B192" s="88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GB192" s="81"/>
    </row>
    <row r="193" spans="2:184" ht="18" customHeight="1" x14ac:dyDescent="0.25">
      <c r="B193" s="88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GB193" s="81"/>
    </row>
    <row r="194" spans="2:184" ht="18" customHeight="1" x14ac:dyDescent="0.25">
      <c r="B194" s="88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103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  <c r="AF194" s="67"/>
      <c r="GB194" s="81"/>
    </row>
    <row r="195" spans="2:184" ht="18" customHeight="1" x14ac:dyDescent="0.25">
      <c r="B195" s="89"/>
      <c r="C195" s="67"/>
      <c r="D195" s="103"/>
      <c r="E195" s="103"/>
      <c r="F195" s="103"/>
      <c r="G195" s="103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103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  <c r="AF195" s="67"/>
      <c r="GB195" s="81"/>
    </row>
    <row r="196" spans="2:184" ht="18" customHeight="1" x14ac:dyDescent="0.25">
      <c r="B196" s="88"/>
      <c r="C196" s="67"/>
      <c r="D196" s="67"/>
      <c r="E196" s="67"/>
      <c r="F196" s="67"/>
      <c r="G196" s="67"/>
      <c r="H196" s="67"/>
      <c r="I196" s="67"/>
      <c r="J196" s="67"/>
      <c r="K196" s="91"/>
      <c r="L196" s="91"/>
      <c r="M196" s="91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105"/>
      <c r="AA196" s="105"/>
      <c r="AB196" s="67"/>
      <c r="AC196" s="67"/>
      <c r="AD196" s="67"/>
      <c r="AE196" s="67"/>
      <c r="AF196" s="67"/>
      <c r="GB196" s="81"/>
    </row>
    <row r="197" spans="2:184" ht="18" customHeight="1" x14ac:dyDescent="0.25">
      <c r="B197" s="89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  <c r="AF197" s="67"/>
      <c r="GB197" s="81"/>
    </row>
    <row r="198" spans="2:184" ht="18" customHeight="1" x14ac:dyDescent="0.25">
      <c r="B198" s="88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91"/>
      <c r="O198" s="67"/>
      <c r="P198" s="67"/>
      <c r="Q198" s="67"/>
      <c r="R198" s="91"/>
      <c r="S198" s="91"/>
      <c r="T198" s="91"/>
      <c r="U198" s="91"/>
      <c r="V198" s="67"/>
      <c r="W198" s="67"/>
      <c r="X198" s="67"/>
      <c r="Y198" s="105"/>
      <c r="Z198" s="67"/>
      <c r="AA198" s="67"/>
      <c r="AB198" s="67"/>
      <c r="AC198" s="67"/>
      <c r="AD198" s="67"/>
      <c r="AE198" s="67"/>
      <c r="AF198" s="103"/>
      <c r="GB198" s="81"/>
    </row>
    <row r="199" spans="2:184" ht="18" customHeight="1" x14ac:dyDescent="0.25">
      <c r="B199" s="89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GB199" s="81"/>
    </row>
    <row r="200" spans="2:184" ht="18" customHeight="1" x14ac:dyDescent="0.25">
      <c r="B200" s="88"/>
      <c r="C200" s="67"/>
      <c r="D200" s="91"/>
      <c r="E200" s="67"/>
      <c r="F200" s="67"/>
      <c r="G200" s="67"/>
      <c r="H200" s="67"/>
      <c r="I200" s="67"/>
      <c r="J200" s="67"/>
      <c r="K200" s="67"/>
      <c r="L200" s="67"/>
      <c r="M200" s="67"/>
      <c r="N200" s="103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105"/>
      <c r="AB200" s="67"/>
      <c r="AC200" s="67"/>
      <c r="AD200" s="67"/>
      <c r="AE200" s="67"/>
      <c r="AF200" s="91"/>
      <c r="GB200" s="81"/>
    </row>
    <row r="201" spans="2:184" ht="18" customHeight="1" x14ac:dyDescent="0.25">
      <c r="B201" s="89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103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GB201" s="81"/>
    </row>
    <row r="202" spans="2:184" ht="18" customHeight="1" x14ac:dyDescent="0.25">
      <c r="B202" s="88"/>
      <c r="C202" s="67"/>
      <c r="D202" s="67"/>
      <c r="E202" s="67"/>
      <c r="F202" s="91"/>
      <c r="G202" s="91"/>
      <c r="H202" s="67"/>
      <c r="I202" s="67"/>
      <c r="J202" s="67"/>
      <c r="K202" s="67"/>
      <c r="L202" s="67"/>
      <c r="M202" s="91"/>
      <c r="N202" s="67"/>
      <c r="O202" s="67"/>
      <c r="P202" s="67"/>
      <c r="Q202" s="67"/>
      <c r="R202" s="67"/>
      <c r="S202" s="67"/>
      <c r="T202" s="67"/>
      <c r="U202" s="91"/>
      <c r="V202" s="67"/>
      <c r="W202" s="67"/>
      <c r="X202" s="67"/>
      <c r="Y202" s="91"/>
      <c r="Z202" s="91"/>
      <c r="AA202" s="91"/>
      <c r="AB202" s="91"/>
      <c r="AC202" s="67"/>
      <c r="AD202" s="67"/>
      <c r="AE202" s="67"/>
      <c r="AF202" s="67"/>
      <c r="GB202" s="81"/>
    </row>
    <row r="203" spans="2:184" ht="18" customHeight="1" x14ac:dyDescent="0.25">
      <c r="B203" s="89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91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GB203" s="81"/>
    </row>
    <row r="204" spans="2:184" ht="18" customHeight="1" x14ac:dyDescent="0.25">
      <c r="B204" s="88"/>
      <c r="C204" s="67"/>
      <c r="D204" s="67"/>
      <c r="E204" s="67"/>
      <c r="F204" s="67"/>
      <c r="G204" s="91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103"/>
      <c r="V204" s="67"/>
      <c r="W204" s="67"/>
      <c r="X204" s="67"/>
      <c r="Y204" s="67"/>
      <c r="Z204" s="67"/>
      <c r="AA204" s="67"/>
      <c r="AB204" s="105"/>
      <c r="AC204" s="67"/>
      <c r="AD204" s="67"/>
      <c r="AE204" s="67"/>
      <c r="AF204" s="67"/>
      <c r="GB204" s="81"/>
    </row>
    <row r="205" spans="2:184" ht="18" customHeight="1" x14ac:dyDescent="0.25">
      <c r="B205" s="89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GB205" s="81"/>
    </row>
    <row r="206" spans="2:184" ht="18" customHeight="1" x14ac:dyDescent="0.25">
      <c r="B206" s="88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105"/>
      <c r="AC206" s="67"/>
      <c r="AD206" s="67"/>
      <c r="AE206" s="67"/>
      <c r="AF206" s="67"/>
      <c r="AG206" s="67"/>
      <c r="GB206" s="81"/>
    </row>
    <row r="207" spans="2:184" ht="18" customHeight="1" x14ac:dyDescent="0.25">
      <c r="B207" s="89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  <c r="AF207" s="67"/>
      <c r="AG207" s="67"/>
      <c r="GB207" s="81"/>
    </row>
    <row r="208" spans="2:184" ht="18" customHeight="1" x14ac:dyDescent="0.25">
      <c r="B208" s="88"/>
      <c r="C208" s="67"/>
      <c r="D208" s="91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  <c r="AA208" s="67"/>
      <c r="AB208" s="67"/>
      <c r="AC208" s="67"/>
      <c r="AD208" s="67"/>
      <c r="AE208" s="67"/>
      <c r="AF208" s="67"/>
      <c r="AG208" s="67"/>
      <c r="GB208" s="81"/>
    </row>
    <row r="209" spans="2:184" ht="18" customHeight="1" x14ac:dyDescent="0.25">
      <c r="B209" s="89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  <c r="AA209" s="67"/>
      <c r="AB209" s="67"/>
      <c r="AC209" s="67"/>
      <c r="AD209" s="67"/>
      <c r="AE209" s="67"/>
      <c r="AF209" s="67"/>
      <c r="AG209" s="67"/>
      <c r="GB209" s="81"/>
    </row>
    <row r="210" spans="2:184" ht="18" customHeight="1" x14ac:dyDescent="0.25">
      <c r="GB210" s="81"/>
    </row>
    <row r="211" spans="2:184" ht="18" customHeight="1" x14ac:dyDescent="0.25">
      <c r="B211" s="88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GB211" s="81"/>
    </row>
    <row r="212" spans="2:184" ht="18" customHeight="1" x14ac:dyDescent="0.25">
      <c r="B212" s="88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GB212" s="81"/>
    </row>
    <row r="213" spans="2:184" ht="18" customHeight="1" x14ac:dyDescent="0.25">
      <c r="B213" s="88"/>
      <c r="C213" s="67"/>
      <c r="D213" s="67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  <c r="AA213" s="67"/>
      <c r="AB213" s="67"/>
      <c r="AC213" s="67"/>
      <c r="AD213" s="91"/>
      <c r="AE213" s="91"/>
      <c r="AF213" s="91"/>
      <c r="AG213" s="67"/>
      <c r="GB213" s="81"/>
    </row>
    <row r="214" spans="2:184" ht="18" customHeight="1" x14ac:dyDescent="0.25">
      <c r="B214" s="89"/>
      <c r="C214" s="67"/>
      <c r="D214" s="67"/>
      <c r="E214" s="67"/>
      <c r="F214" s="67"/>
      <c r="G214" s="67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  <c r="AA214" s="67"/>
      <c r="AB214" s="67"/>
      <c r="AC214" s="67"/>
      <c r="AD214" s="67"/>
      <c r="AE214" s="67"/>
      <c r="AF214" s="67"/>
      <c r="AG214" s="67"/>
      <c r="GB214" s="81"/>
    </row>
    <row r="215" spans="2:184" ht="18" customHeight="1" x14ac:dyDescent="0.25">
      <c r="B215" s="88"/>
      <c r="C215" s="67"/>
      <c r="D215" s="67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67"/>
      <c r="P215" s="67"/>
      <c r="Q215" s="91"/>
      <c r="R215" s="91"/>
      <c r="S215" s="67"/>
      <c r="T215" s="67"/>
      <c r="U215" s="67"/>
      <c r="V215" s="67"/>
      <c r="W215" s="91"/>
      <c r="X215" s="91"/>
      <c r="Y215" s="91"/>
      <c r="Z215" s="67"/>
      <c r="AA215" s="67"/>
      <c r="AB215" s="67"/>
      <c r="AC215" s="67"/>
      <c r="AD215" s="91"/>
      <c r="AE215" s="91"/>
      <c r="AF215" s="91"/>
      <c r="AG215" s="67"/>
      <c r="GB215" s="81"/>
    </row>
    <row r="216" spans="2:184" ht="18" customHeight="1" x14ac:dyDescent="0.25">
      <c r="B216" s="89"/>
      <c r="C216" s="67"/>
      <c r="D216" s="67"/>
      <c r="E216" s="67"/>
      <c r="F216" s="67"/>
      <c r="G216" s="67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  <c r="AA216" s="67"/>
      <c r="AB216" s="67"/>
      <c r="AC216" s="67"/>
      <c r="AD216" s="67"/>
      <c r="AE216" s="67"/>
      <c r="AF216" s="67"/>
      <c r="AG216" s="67"/>
      <c r="GB216" s="81"/>
    </row>
    <row r="217" spans="2:184" ht="18" customHeight="1" x14ac:dyDescent="0.25">
      <c r="B217" s="88"/>
      <c r="C217" s="67"/>
      <c r="D217" s="67"/>
      <c r="E217" s="91"/>
      <c r="F217" s="67"/>
      <c r="G217" s="67"/>
      <c r="H217" s="91"/>
      <c r="I217" s="91"/>
      <c r="J217" s="91"/>
      <c r="K217" s="91"/>
      <c r="L217" s="91"/>
      <c r="M217" s="67"/>
      <c r="N217" s="67"/>
      <c r="O217" s="67"/>
      <c r="P217" s="67"/>
      <c r="Q217" s="67"/>
      <c r="R217" s="67"/>
      <c r="S217" s="67"/>
      <c r="T217" s="67"/>
      <c r="U217" s="67"/>
      <c r="V217" s="67"/>
      <c r="W217" s="91"/>
      <c r="X217" s="91"/>
      <c r="Y217" s="91"/>
      <c r="Z217" s="67"/>
      <c r="AA217" s="67"/>
      <c r="AB217" s="67"/>
      <c r="AC217" s="67"/>
      <c r="AD217" s="91"/>
      <c r="AE217" s="91"/>
      <c r="AF217" s="91"/>
      <c r="AG217" s="67"/>
      <c r="GB217" s="81"/>
    </row>
    <row r="218" spans="2:184" ht="18" customHeight="1" x14ac:dyDescent="0.25">
      <c r="B218" s="89"/>
      <c r="C218" s="67"/>
      <c r="D218" s="67"/>
      <c r="E218" s="67"/>
      <c r="F218" s="67"/>
      <c r="G218" s="67"/>
      <c r="H218" s="67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  <c r="AA218" s="67"/>
      <c r="AB218" s="67"/>
      <c r="AC218" s="67"/>
      <c r="AD218" s="67"/>
      <c r="AE218" s="67"/>
      <c r="AF218" s="67"/>
      <c r="AG218" s="67"/>
      <c r="GB218" s="81"/>
    </row>
    <row r="219" spans="2:184" ht="18" customHeight="1" x14ac:dyDescent="0.25">
      <c r="B219" s="88"/>
      <c r="C219" s="91"/>
      <c r="D219" s="91"/>
      <c r="E219" s="91"/>
      <c r="F219" s="67"/>
      <c r="G219" s="67"/>
      <c r="H219" s="67"/>
      <c r="I219" s="91"/>
      <c r="J219" s="67"/>
      <c r="K219" s="67"/>
      <c r="L219" s="67"/>
      <c r="M219" s="67"/>
      <c r="N219" s="67"/>
      <c r="O219" s="67"/>
      <c r="P219" s="91"/>
      <c r="Q219" s="91"/>
      <c r="R219" s="91"/>
      <c r="S219" s="91"/>
      <c r="T219" s="67"/>
      <c r="U219" s="67"/>
      <c r="V219" s="67"/>
      <c r="W219" s="91"/>
      <c r="X219" s="91"/>
      <c r="Y219" s="91"/>
      <c r="Z219" s="67"/>
      <c r="AA219" s="67"/>
      <c r="AB219" s="67"/>
      <c r="AC219" s="67"/>
      <c r="AD219" s="91"/>
      <c r="AE219" s="91"/>
      <c r="AF219" s="91"/>
      <c r="AG219" s="67"/>
      <c r="GB219" s="81"/>
    </row>
    <row r="220" spans="2:184" ht="18" customHeight="1" x14ac:dyDescent="0.25">
      <c r="B220" s="89"/>
      <c r="C220" s="67"/>
      <c r="D220" s="67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  <c r="AA220" s="67"/>
      <c r="AB220" s="67"/>
      <c r="AC220" s="67"/>
      <c r="AD220" s="67"/>
      <c r="AE220" s="67"/>
      <c r="AF220" s="67"/>
      <c r="AG220" s="67"/>
      <c r="GB220" s="81"/>
    </row>
    <row r="221" spans="2:184" ht="18" customHeight="1" x14ac:dyDescent="0.25">
      <c r="B221" s="88"/>
      <c r="C221" s="67"/>
      <c r="D221" s="67"/>
      <c r="E221" s="67"/>
      <c r="F221" s="67"/>
      <c r="G221" s="67"/>
      <c r="H221" s="105"/>
      <c r="I221" s="67"/>
      <c r="J221" s="67"/>
      <c r="K221" s="67"/>
      <c r="L221" s="67"/>
      <c r="M221" s="67"/>
      <c r="N221" s="67"/>
      <c r="O221" s="67"/>
      <c r="P221" s="91"/>
      <c r="Q221" s="91"/>
      <c r="R221" s="91"/>
      <c r="S221" s="91"/>
      <c r="T221" s="67"/>
      <c r="U221" s="67"/>
      <c r="V221" s="67"/>
      <c r="W221" s="91"/>
      <c r="X221" s="91"/>
      <c r="Y221" s="91"/>
      <c r="Z221" s="67"/>
      <c r="AA221" s="67"/>
      <c r="AB221" s="67"/>
      <c r="AC221" s="67"/>
      <c r="AD221" s="91"/>
      <c r="AE221" s="91"/>
      <c r="AF221" s="91"/>
      <c r="AG221" s="67"/>
      <c r="GB221" s="81"/>
    </row>
    <row r="222" spans="2:184" ht="18" customHeight="1" x14ac:dyDescent="0.25">
      <c r="B222" s="89"/>
      <c r="C222" s="67"/>
      <c r="D222" s="67"/>
      <c r="E222" s="67"/>
      <c r="F222" s="67"/>
      <c r="G222" s="67"/>
      <c r="H222" s="105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B222" s="67"/>
      <c r="AC222" s="67"/>
      <c r="AD222" s="67"/>
      <c r="AE222" s="67"/>
      <c r="AF222" s="67"/>
      <c r="AG222" s="67"/>
      <c r="GB222" s="81"/>
    </row>
    <row r="223" spans="2:184" ht="18" customHeight="1" x14ac:dyDescent="0.25">
      <c r="B223" s="88"/>
      <c r="C223" s="67"/>
      <c r="D223" s="67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91"/>
      <c r="X223" s="91"/>
      <c r="Y223" s="91"/>
      <c r="Z223" s="67"/>
      <c r="AA223" s="67"/>
      <c r="AB223" s="67"/>
      <c r="AC223" s="67"/>
      <c r="AD223" s="91"/>
      <c r="AE223" s="91"/>
      <c r="AF223" s="91"/>
      <c r="AG223" s="67"/>
      <c r="GB223" s="81"/>
    </row>
    <row r="224" spans="2:184" ht="18" customHeight="1" x14ac:dyDescent="0.25">
      <c r="B224" s="89"/>
      <c r="C224" s="67"/>
      <c r="D224" s="67"/>
      <c r="E224" s="67"/>
      <c r="F224" s="67"/>
      <c r="G224" s="67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  <c r="AA224" s="67"/>
      <c r="AB224" s="67"/>
      <c r="AC224" s="67"/>
      <c r="AD224" s="67"/>
      <c r="AE224" s="67"/>
      <c r="AF224" s="67"/>
      <c r="AG224" s="67"/>
      <c r="GB224" s="81"/>
    </row>
    <row r="225" spans="2:184" ht="18" customHeight="1" x14ac:dyDescent="0.25">
      <c r="B225" s="88"/>
      <c r="C225" s="67"/>
      <c r="D225" s="67"/>
      <c r="E225" s="91"/>
      <c r="F225" s="67"/>
      <c r="G225" s="67"/>
      <c r="H225" s="67"/>
      <c r="I225" s="91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91"/>
      <c r="X225" s="91"/>
      <c r="Y225" s="91"/>
      <c r="Z225" s="67"/>
      <c r="AA225" s="67"/>
      <c r="AB225" s="67"/>
      <c r="AC225" s="67"/>
      <c r="AD225" s="91"/>
      <c r="AE225" s="91"/>
      <c r="AF225" s="91"/>
      <c r="AG225" s="67"/>
      <c r="GB225" s="81"/>
    </row>
    <row r="226" spans="2:184" ht="18" customHeight="1" x14ac:dyDescent="0.25">
      <c r="B226" s="89"/>
      <c r="C226" s="67"/>
      <c r="D226" s="67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  <c r="AF226" s="67"/>
      <c r="AG226" s="67"/>
      <c r="GB226" s="81"/>
    </row>
    <row r="227" spans="2:184" ht="18" customHeight="1" x14ac:dyDescent="0.25">
      <c r="B227" s="88"/>
      <c r="C227" s="67"/>
      <c r="D227" s="67"/>
      <c r="E227" s="67"/>
      <c r="F227" s="67"/>
      <c r="G227" s="67"/>
      <c r="H227" s="67"/>
      <c r="I227" s="91"/>
      <c r="J227" s="91"/>
      <c r="K227" s="91"/>
      <c r="L227" s="91"/>
      <c r="M227" s="67"/>
      <c r="N227" s="67"/>
      <c r="O227" s="67"/>
      <c r="P227" s="91"/>
      <c r="Q227" s="91"/>
      <c r="R227" s="91"/>
      <c r="S227" s="91"/>
      <c r="T227" s="67"/>
      <c r="U227" s="67"/>
      <c r="V227" s="67"/>
      <c r="W227" s="91"/>
      <c r="X227" s="91"/>
      <c r="Y227" s="91"/>
      <c r="Z227" s="67"/>
      <c r="AA227" s="67"/>
      <c r="AB227" s="67"/>
      <c r="AC227" s="67"/>
      <c r="AD227" s="91"/>
      <c r="AE227" s="91"/>
      <c r="AF227" s="91"/>
      <c r="AG227" s="67"/>
      <c r="GB227" s="81"/>
    </row>
    <row r="228" spans="2:184" ht="18" customHeight="1" x14ac:dyDescent="0.25">
      <c r="B228" s="89"/>
      <c r="C228" s="67"/>
      <c r="D228" s="67"/>
      <c r="E228" s="67"/>
      <c r="F228" s="67"/>
      <c r="G228" s="67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  <c r="AF228" s="67"/>
      <c r="AG228" s="67"/>
      <c r="GB228" s="81"/>
    </row>
    <row r="229" spans="2:184" ht="18" customHeight="1" x14ac:dyDescent="0.25">
      <c r="GB229" s="81"/>
    </row>
    <row r="230" spans="2:184" ht="18" customHeight="1" x14ac:dyDescent="0.25">
      <c r="B230" s="88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GB230" s="81"/>
    </row>
    <row r="231" spans="2:184" ht="18" customHeight="1" x14ac:dyDescent="0.25">
      <c r="B231" s="88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GB231" s="81"/>
    </row>
    <row r="232" spans="2:184" ht="18" customHeight="1" x14ac:dyDescent="0.25">
      <c r="B232" s="88"/>
      <c r="C232" s="67"/>
      <c r="D232" s="67"/>
      <c r="E232" s="67"/>
      <c r="F232" s="91"/>
      <c r="G232" s="91"/>
      <c r="H232" s="67"/>
      <c r="I232" s="91"/>
      <c r="J232" s="67"/>
      <c r="K232" s="67"/>
      <c r="L232" s="67"/>
      <c r="M232" s="103"/>
      <c r="N232" s="103"/>
      <c r="O232" s="103"/>
      <c r="P232" s="103"/>
      <c r="Q232" s="67"/>
      <c r="R232" s="67"/>
      <c r="S232" s="67"/>
      <c r="T232" s="67"/>
      <c r="U232" s="67"/>
      <c r="V232" s="67"/>
      <c r="W232" s="67"/>
      <c r="X232" s="67"/>
      <c r="Y232" s="67"/>
      <c r="Z232" s="67"/>
      <c r="AA232" s="67"/>
      <c r="AB232" s="67"/>
      <c r="AC232" s="67"/>
      <c r="AD232" s="67"/>
      <c r="AE232" s="67"/>
      <c r="AF232" s="67"/>
      <c r="AG232" s="67"/>
      <c r="GB232" s="81"/>
    </row>
    <row r="233" spans="2:184" ht="18" customHeight="1" x14ac:dyDescent="0.25">
      <c r="B233" s="89"/>
      <c r="C233" s="67"/>
      <c r="D233" s="67"/>
      <c r="E233" s="67"/>
      <c r="F233" s="67"/>
      <c r="G233" s="67"/>
      <c r="H233" s="67"/>
      <c r="I233" s="67"/>
      <c r="J233" s="67"/>
      <c r="K233" s="67"/>
      <c r="L233" s="67"/>
      <c r="M233" s="103"/>
      <c r="N233" s="103"/>
      <c r="O233" s="103"/>
      <c r="P233" s="103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AD233" s="67"/>
      <c r="AE233" s="67"/>
      <c r="AF233" s="67"/>
      <c r="AG233" s="67"/>
      <c r="GB233" s="81"/>
    </row>
    <row r="234" spans="2:184" ht="18" customHeight="1" x14ac:dyDescent="0.25">
      <c r="B234" s="88"/>
      <c r="C234" s="67"/>
      <c r="D234" s="67"/>
      <c r="E234" s="67"/>
      <c r="F234" s="91"/>
      <c r="G234" s="91"/>
      <c r="H234" s="67"/>
      <c r="I234" s="91"/>
      <c r="J234" s="67"/>
      <c r="K234" s="67"/>
      <c r="L234" s="67"/>
      <c r="M234" s="103"/>
      <c r="N234" s="103"/>
      <c r="O234" s="103"/>
      <c r="P234" s="103"/>
      <c r="Q234" s="67"/>
      <c r="R234" s="67"/>
      <c r="S234" s="67"/>
      <c r="T234" s="67"/>
      <c r="U234" s="67"/>
      <c r="V234" s="67"/>
      <c r="W234" s="67"/>
      <c r="X234" s="67"/>
      <c r="Y234" s="67"/>
      <c r="Z234" s="67"/>
      <c r="AA234" s="67"/>
      <c r="AB234" s="67"/>
      <c r="AC234" s="67"/>
      <c r="AD234" s="67"/>
      <c r="AE234" s="67"/>
      <c r="AF234" s="67"/>
      <c r="AG234" s="67"/>
      <c r="GB234" s="81"/>
    </row>
    <row r="235" spans="2:184" ht="18" customHeight="1" x14ac:dyDescent="0.25">
      <c r="B235" s="89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103"/>
      <c r="N235" s="103"/>
      <c r="O235" s="103"/>
      <c r="P235" s="103"/>
      <c r="Q235" s="67"/>
      <c r="R235" s="67"/>
      <c r="S235" s="67"/>
      <c r="T235" s="67"/>
      <c r="U235" s="67"/>
      <c r="V235" s="67"/>
      <c r="W235" s="67"/>
      <c r="X235" s="67"/>
      <c r="Y235" s="67"/>
      <c r="Z235" s="67"/>
      <c r="AA235" s="67"/>
      <c r="AB235" s="67"/>
      <c r="AC235" s="67"/>
      <c r="AD235" s="67"/>
      <c r="AE235" s="67"/>
      <c r="AF235" s="67"/>
      <c r="AG235" s="67"/>
      <c r="GB235" s="81"/>
    </row>
    <row r="236" spans="2:184" ht="18" customHeight="1" x14ac:dyDescent="0.25">
      <c r="B236" s="88"/>
      <c r="C236" s="67"/>
      <c r="D236" s="67"/>
      <c r="E236" s="67"/>
      <c r="F236" s="91"/>
      <c r="G236" s="91"/>
      <c r="H236" s="67"/>
      <c r="I236" s="91"/>
      <c r="J236" s="67"/>
      <c r="K236" s="67"/>
      <c r="L236" s="67"/>
      <c r="M236" s="103"/>
      <c r="N236" s="103"/>
      <c r="O236" s="67"/>
      <c r="P236" s="103"/>
      <c r="Q236" s="67"/>
      <c r="R236" s="67"/>
      <c r="S236" s="67"/>
      <c r="T236" s="67"/>
      <c r="U236" s="67"/>
      <c r="V236" s="67"/>
      <c r="W236" s="67"/>
      <c r="X236" s="67"/>
      <c r="Y236" s="67"/>
      <c r="Z236" s="67"/>
      <c r="AA236" s="67"/>
      <c r="AB236" s="67"/>
      <c r="AC236" s="67"/>
      <c r="AD236" s="67"/>
      <c r="AE236" s="67"/>
      <c r="AF236" s="67"/>
      <c r="AG236" s="67"/>
      <c r="GB236" s="81"/>
    </row>
    <row r="237" spans="2:184" ht="18" customHeight="1" x14ac:dyDescent="0.25">
      <c r="B237" s="89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103"/>
      <c r="N237" s="103"/>
      <c r="O237" s="67"/>
      <c r="P237" s="103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7"/>
      <c r="AG237" s="67"/>
      <c r="GB237" s="81"/>
    </row>
    <row r="238" spans="2:184" ht="18" customHeight="1" x14ac:dyDescent="0.25">
      <c r="B238" s="88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103"/>
      <c r="N238" s="103"/>
      <c r="O238" s="103"/>
      <c r="P238" s="103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  <c r="AF238" s="67"/>
      <c r="AG238" s="67"/>
      <c r="GB238" s="81"/>
    </row>
    <row r="239" spans="2:184" ht="18" customHeight="1" x14ac:dyDescent="0.25">
      <c r="B239" s="89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103"/>
      <c r="N239" s="103"/>
      <c r="O239" s="103"/>
      <c r="P239" s="103"/>
      <c r="Q239" s="67"/>
      <c r="R239" s="67"/>
      <c r="S239" s="67"/>
      <c r="T239" s="67"/>
      <c r="U239" s="67"/>
      <c r="V239" s="67"/>
      <c r="W239" s="67"/>
      <c r="X239" s="67"/>
      <c r="Y239" s="67"/>
      <c r="Z239" s="67"/>
      <c r="AA239" s="67"/>
      <c r="AB239" s="67"/>
      <c r="AC239" s="67"/>
      <c r="AD239" s="67"/>
      <c r="AE239" s="67"/>
      <c r="AF239" s="67"/>
      <c r="AG239" s="67"/>
      <c r="GB239" s="81"/>
    </row>
    <row r="240" spans="2:184" ht="18" customHeight="1" x14ac:dyDescent="0.25">
      <c r="B240" s="88"/>
      <c r="C240" s="67"/>
      <c r="D240" s="67"/>
      <c r="E240" s="67"/>
      <c r="F240" s="91"/>
      <c r="G240" s="91"/>
      <c r="H240" s="67"/>
      <c r="I240" s="91"/>
      <c r="J240" s="67"/>
      <c r="K240" s="67"/>
      <c r="L240" s="67"/>
      <c r="M240" s="103"/>
      <c r="N240" s="103"/>
      <c r="O240" s="103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  <c r="AB240" s="67"/>
      <c r="AC240" s="67"/>
      <c r="AD240" s="67"/>
      <c r="AE240" s="67"/>
      <c r="AF240" s="67"/>
      <c r="AG240" s="67"/>
      <c r="GB240" s="81"/>
    </row>
    <row r="241" spans="2:184" ht="18" customHeight="1" x14ac:dyDescent="0.25">
      <c r="B241" s="89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103"/>
      <c r="N241" s="103"/>
      <c r="O241" s="103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  <c r="AA241" s="67"/>
      <c r="AB241" s="67"/>
      <c r="AC241" s="67"/>
      <c r="AD241" s="67"/>
      <c r="AE241" s="67"/>
      <c r="AF241" s="67"/>
      <c r="AG241" s="67"/>
      <c r="GB241" s="81"/>
    </row>
    <row r="242" spans="2:184" ht="18" customHeight="1" x14ac:dyDescent="0.25">
      <c r="B242" s="88"/>
      <c r="C242" s="67"/>
      <c r="D242" s="67"/>
      <c r="E242" s="67"/>
      <c r="F242" s="91"/>
      <c r="G242" s="91"/>
      <c r="H242" s="67"/>
      <c r="I242" s="91"/>
      <c r="J242" s="67"/>
      <c r="K242" s="67"/>
      <c r="L242" s="67"/>
      <c r="M242" s="67"/>
      <c r="N242" s="67"/>
      <c r="O242" s="103"/>
      <c r="P242" s="103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A242" s="67"/>
      <c r="AB242" s="67"/>
      <c r="AC242" s="67"/>
      <c r="AD242" s="67"/>
      <c r="AE242" s="67"/>
      <c r="AF242" s="67"/>
      <c r="AG242" s="67"/>
      <c r="GB242" s="81"/>
    </row>
    <row r="243" spans="2:184" ht="18" customHeight="1" x14ac:dyDescent="0.25">
      <c r="B243" s="89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103"/>
      <c r="P243" s="103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  <c r="AF243" s="67"/>
      <c r="AG243" s="67"/>
      <c r="GB243" s="81"/>
    </row>
    <row r="244" spans="2:184" ht="18" customHeight="1" x14ac:dyDescent="0.25">
      <c r="B244" s="88"/>
      <c r="C244" s="67"/>
      <c r="D244" s="67"/>
      <c r="E244" s="67"/>
      <c r="F244" s="91"/>
      <c r="G244" s="91"/>
      <c r="H244" s="67"/>
      <c r="I244" s="91"/>
      <c r="J244" s="67"/>
      <c r="K244" s="67"/>
      <c r="L244" s="67"/>
      <c r="M244" s="103"/>
      <c r="N244" s="103"/>
      <c r="O244" s="103"/>
      <c r="P244" s="103"/>
      <c r="Q244" s="67"/>
      <c r="R244" s="67"/>
      <c r="S244" s="67"/>
      <c r="T244" s="67"/>
      <c r="U244" s="67"/>
      <c r="V244" s="67"/>
      <c r="W244" s="67"/>
      <c r="X244" s="67"/>
      <c r="Y244" s="67"/>
      <c r="Z244" s="67"/>
      <c r="AA244" s="67"/>
      <c r="AB244" s="67"/>
      <c r="AC244" s="67"/>
      <c r="AD244" s="67"/>
      <c r="AE244" s="67"/>
      <c r="AF244" s="67"/>
      <c r="AG244" s="67"/>
      <c r="GB244" s="81"/>
    </row>
    <row r="245" spans="2:184" ht="18" customHeight="1" x14ac:dyDescent="0.25">
      <c r="B245" s="89"/>
      <c r="C245" s="67"/>
      <c r="D245" s="67"/>
      <c r="E245" s="67"/>
      <c r="F245" s="67"/>
      <c r="G245" s="67"/>
      <c r="H245" s="67"/>
      <c r="I245" s="67"/>
      <c r="J245" s="67"/>
      <c r="K245" s="67"/>
      <c r="L245" s="67"/>
      <c r="M245" s="103"/>
      <c r="N245" s="103"/>
      <c r="O245" s="103"/>
      <c r="P245" s="103"/>
      <c r="Q245" s="67"/>
      <c r="R245" s="67"/>
      <c r="S245" s="67"/>
      <c r="T245" s="67"/>
      <c r="U245" s="67"/>
      <c r="V245" s="67"/>
      <c r="W245" s="67"/>
      <c r="X245" s="67"/>
      <c r="Y245" s="67"/>
      <c r="Z245" s="67"/>
      <c r="AA245" s="67"/>
      <c r="AB245" s="67"/>
      <c r="AC245" s="67"/>
      <c r="AD245" s="67"/>
      <c r="AE245" s="67"/>
      <c r="AF245" s="67"/>
      <c r="AG245" s="67"/>
      <c r="GB245" s="81"/>
    </row>
    <row r="246" spans="2:184" ht="18" customHeight="1" x14ac:dyDescent="0.25">
      <c r="B246" s="88"/>
      <c r="C246" s="67"/>
      <c r="D246" s="67"/>
      <c r="E246" s="67"/>
      <c r="F246" s="91"/>
      <c r="G246" s="91"/>
      <c r="H246" s="67"/>
      <c r="I246" s="91"/>
      <c r="J246" s="67"/>
      <c r="K246" s="67"/>
      <c r="L246" s="67"/>
      <c r="M246" s="103"/>
      <c r="N246" s="103"/>
      <c r="O246" s="103"/>
      <c r="P246" s="103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  <c r="AF246" s="67"/>
      <c r="AG246" s="67"/>
      <c r="GB246" s="81"/>
    </row>
    <row r="247" spans="2:184" ht="18" customHeight="1" x14ac:dyDescent="0.25">
      <c r="B247" s="89"/>
      <c r="C247" s="67"/>
      <c r="D247" s="67"/>
      <c r="E247" s="67"/>
      <c r="F247" s="67"/>
      <c r="G247" s="67"/>
      <c r="H247" s="67"/>
      <c r="I247" s="67"/>
      <c r="J247" s="67"/>
      <c r="K247" s="67"/>
      <c r="L247" s="67"/>
      <c r="M247" s="103"/>
      <c r="N247" s="103"/>
      <c r="O247" s="103"/>
      <c r="P247" s="103"/>
      <c r="Q247" s="67"/>
      <c r="R247" s="67"/>
      <c r="S247" s="67"/>
      <c r="T247" s="67"/>
      <c r="U247" s="67"/>
      <c r="V247" s="67"/>
      <c r="W247" s="67"/>
      <c r="X247" s="67"/>
      <c r="Y247" s="67"/>
      <c r="Z247" s="67"/>
      <c r="AA247" s="67"/>
      <c r="AB247" s="67"/>
      <c r="AC247" s="67"/>
      <c r="AD247" s="67"/>
      <c r="AE247" s="67"/>
      <c r="AF247" s="67"/>
      <c r="AG247" s="67"/>
      <c r="GB247" s="81"/>
    </row>
    <row r="248" spans="2:184" x14ac:dyDescent="0.25">
      <c r="GB248" s="81"/>
    </row>
    <row r="249" spans="2:184" x14ac:dyDescent="0.25">
      <c r="GB249" s="81"/>
    </row>
    <row r="250" spans="2:184" x14ac:dyDescent="0.25">
      <c r="GB250" s="81"/>
    </row>
    <row r="251" spans="2:184" x14ac:dyDescent="0.25">
      <c r="GB251" s="81"/>
    </row>
    <row r="252" spans="2:184" x14ac:dyDescent="0.25">
      <c r="GB252" s="81"/>
    </row>
    <row r="253" spans="2:184" x14ac:dyDescent="0.25">
      <c r="GB253" s="81"/>
    </row>
    <row r="254" spans="2:184" x14ac:dyDescent="0.25">
      <c r="GB254" s="81"/>
    </row>
    <row r="255" spans="2:184" x14ac:dyDescent="0.25">
      <c r="GB255" s="81"/>
    </row>
    <row r="256" spans="2:184" x14ac:dyDescent="0.25">
      <c r="GB256" s="81"/>
    </row>
    <row r="257" spans="184:184" x14ac:dyDescent="0.25">
      <c r="GB257" s="81"/>
    </row>
    <row r="258" spans="184:184" x14ac:dyDescent="0.25">
      <c r="GB258" s="81"/>
    </row>
    <row r="259" spans="184:184" x14ac:dyDescent="0.25">
      <c r="GB259" s="81"/>
    </row>
    <row r="260" spans="184:184" x14ac:dyDescent="0.25">
      <c r="GB260" s="174"/>
    </row>
    <row r="261" spans="184:184" x14ac:dyDescent="0.25">
      <c r="GB261" s="174"/>
    </row>
    <row r="262" spans="184:184" x14ac:dyDescent="0.25">
      <c r="GB262" s="174"/>
    </row>
    <row r="263" spans="184:184" x14ac:dyDescent="0.25">
      <c r="GB263" s="174"/>
    </row>
    <row r="264" spans="184:184" x14ac:dyDescent="0.25">
      <c r="GB264" s="174"/>
    </row>
    <row r="265" spans="184:184" x14ac:dyDescent="0.25">
      <c r="GB265" s="174"/>
    </row>
    <row r="266" spans="184:184" x14ac:dyDescent="0.25">
      <c r="GB266" s="174"/>
    </row>
    <row r="267" spans="184:184" x14ac:dyDescent="0.25">
      <c r="GB267" s="174"/>
    </row>
    <row r="268" spans="184:184" x14ac:dyDescent="0.25">
      <c r="GB268" s="174"/>
    </row>
    <row r="269" spans="184:184" x14ac:dyDescent="0.25">
      <c r="GB269" s="174"/>
    </row>
    <row r="270" spans="184:184" x14ac:dyDescent="0.25">
      <c r="GB270" s="174"/>
    </row>
    <row r="271" spans="184:184" x14ac:dyDescent="0.25">
      <c r="GB271" s="174"/>
    </row>
    <row r="272" spans="184:184" x14ac:dyDescent="0.25">
      <c r="GB272" s="174"/>
    </row>
    <row r="273" spans="184:184" x14ac:dyDescent="0.25">
      <c r="GB273" s="174"/>
    </row>
    <row r="274" spans="184:184" x14ac:dyDescent="0.25">
      <c r="GB274" s="174"/>
    </row>
    <row r="275" spans="184:184" x14ac:dyDescent="0.25">
      <c r="GB275" s="174"/>
    </row>
    <row r="276" spans="184:184" x14ac:dyDescent="0.25">
      <c r="GB276" s="174"/>
    </row>
    <row r="277" spans="184:184" x14ac:dyDescent="0.25">
      <c r="GB277" s="174"/>
    </row>
    <row r="278" spans="184:184" x14ac:dyDescent="0.25">
      <c r="GB278" s="174"/>
    </row>
    <row r="279" spans="184:184" x14ac:dyDescent="0.25">
      <c r="GB279" s="174"/>
    </row>
    <row r="280" spans="184:184" x14ac:dyDescent="0.25">
      <c r="GB280" s="174"/>
    </row>
    <row r="281" spans="184:184" x14ac:dyDescent="0.25">
      <c r="GB281" s="174"/>
    </row>
    <row r="282" spans="184:184" x14ac:dyDescent="0.25">
      <c r="GB282" s="174"/>
    </row>
    <row r="283" spans="184:184" x14ac:dyDescent="0.25">
      <c r="GB283" s="174"/>
    </row>
    <row r="284" spans="184:184" x14ac:dyDescent="0.25">
      <c r="GB284" s="174"/>
    </row>
    <row r="285" spans="184:184" x14ac:dyDescent="0.25">
      <c r="GB285" s="174"/>
    </row>
    <row r="286" spans="184:184" x14ac:dyDescent="0.25">
      <c r="GB286" s="174"/>
    </row>
    <row r="287" spans="184:184" x14ac:dyDescent="0.25">
      <c r="GB287" s="174"/>
    </row>
    <row r="288" spans="184:184" x14ac:dyDescent="0.25">
      <c r="GB288" s="174"/>
    </row>
    <row r="289" spans="184:184" x14ac:dyDescent="0.25">
      <c r="GB289" s="174"/>
    </row>
    <row r="290" spans="184:184" x14ac:dyDescent="0.25">
      <c r="GB290" s="174"/>
    </row>
    <row r="291" spans="184:184" x14ac:dyDescent="0.25">
      <c r="GB291" s="174"/>
    </row>
    <row r="292" spans="184:184" x14ac:dyDescent="0.25">
      <c r="GB292" s="174"/>
    </row>
    <row r="293" spans="184:184" x14ac:dyDescent="0.25">
      <c r="GB293" s="174"/>
    </row>
    <row r="294" spans="184:184" x14ac:dyDescent="0.25">
      <c r="GB294" s="174"/>
    </row>
    <row r="295" spans="184:184" x14ac:dyDescent="0.25">
      <c r="GB295" s="174"/>
    </row>
    <row r="296" spans="184:184" x14ac:dyDescent="0.25">
      <c r="GB296" s="174"/>
    </row>
    <row r="297" spans="184:184" x14ac:dyDescent="0.25">
      <c r="GB297" s="174"/>
    </row>
    <row r="298" spans="184:184" x14ac:dyDescent="0.25">
      <c r="GB298" s="174"/>
    </row>
    <row r="299" spans="184:184" x14ac:dyDescent="0.25">
      <c r="GB299" s="174"/>
    </row>
    <row r="300" spans="184:184" x14ac:dyDescent="0.25">
      <c r="GB300" s="174"/>
    </row>
    <row r="301" spans="184:184" x14ac:dyDescent="0.25">
      <c r="GB301" s="174"/>
    </row>
    <row r="302" spans="184:184" x14ac:dyDescent="0.25">
      <c r="GB302" s="174"/>
    </row>
    <row r="303" spans="184:184" x14ac:dyDescent="0.25">
      <c r="GB303" s="174"/>
    </row>
    <row r="304" spans="184:184" x14ac:dyDescent="0.25">
      <c r="GB304" s="174"/>
    </row>
    <row r="305" spans="184:184" x14ac:dyDescent="0.25">
      <c r="GB305" s="174"/>
    </row>
    <row r="306" spans="184:184" x14ac:dyDescent="0.25">
      <c r="GB306" s="174"/>
    </row>
    <row r="307" spans="184:184" x14ac:dyDescent="0.25">
      <c r="GB307" s="174"/>
    </row>
  </sheetData>
  <sheetProtection selectLockedCells="1" selectUnlockedCells="1"/>
  <mergeCells count="122">
    <mergeCell ref="FZ5:GA5"/>
    <mergeCell ref="FS5:FY5"/>
    <mergeCell ref="FL5:FR5"/>
    <mergeCell ref="FE5:FK5"/>
    <mergeCell ref="EX5:FD5"/>
    <mergeCell ref="EQ5:EW5"/>
    <mergeCell ref="EJ5:EP5"/>
    <mergeCell ref="EC5:EI5"/>
    <mergeCell ref="EF8:EF19"/>
    <mergeCell ref="FA8:FA19"/>
    <mergeCell ref="EP8:EP19"/>
    <mergeCell ref="EQ8:EQ19"/>
    <mergeCell ref="C2:F2"/>
    <mergeCell ref="S20:V20"/>
    <mergeCell ref="O20:R20"/>
    <mergeCell ref="BX3:CA3"/>
    <mergeCell ref="AR3:AU3"/>
    <mergeCell ref="AR20:AT20"/>
    <mergeCell ref="AU20:AW20"/>
    <mergeCell ref="M3:P3"/>
    <mergeCell ref="AV3:AY3"/>
    <mergeCell ref="C8:C19"/>
    <mergeCell ref="H8:H19"/>
    <mergeCell ref="BY20:CA20"/>
    <mergeCell ref="C5:F5"/>
    <mergeCell ref="G5:M5"/>
    <mergeCell ref="U5:AA5"/>
    <mergeCell ref="N5:T5"/>
    <mergeCell ref="AB5:AH5"/>
    <mergeCell ref="AI5:AO5"/>
    <mergeCell ref="AP5:AV5"/>
    <mergeCell ref="AW5:BC5"/>
    <mergeCell ref="BD5:BJ5"/>
    <mergeCell ref="BY5:CE5"/>
    <mergeCell ref="BR5:BX5"/>
    <mergeCell ref="BK5:BQ5"/>
    <mergeCell ref="B40:B41"/>
    <mergeCell ref="S37:V37"/>
    <mergeCell ref="O37:R37"/>
    <mergeCell ref="C21:E21"/>
    <mergeCell ref="C42:C53"/>
    <mergeCell ref="H42:H53"/>
    <mergeCell ref="CS25:CS36"/>
    <mergeCell ref="FW25:FW36"/>
    <mergeCell ref="DV25:DV36"/>
    <mergeCell ref="N39:T39"/>
    <mergeCell ref="G39:M39"/>
    <mergeCell ref="C39:F39"/>
    <mergeCell ref="DB22:DH22"/>
    <mergeCell ref="CU22:DA22"/>
    <mergeCell ref="CN22:CT22"/>
    <mergeCell ref="CG22:CM22"/>
    <mergeCell ref="AF21:BY21"/>
    <mergeCell ref="DN21:DV21"/>
    <mergeCell ref="FV21:GD21"/>
    <mergeCell ref="C38:L38"/>
    <mergeCell ref="GA22:GD22"/>
    <mergeCell ref="FT22:FZ22"/>
    <mergeCell ref="FM22:FS22"/>
    <mergeCell ref="FF22:FL22"/>
    <mergeCell ref="DC3:DF3"/>
    <mergeCell ref="BT3:BW3"/>
    <mergeCell ref="Q3:T3"/>
    <mergeCell ref="AX37:BA37"/>
    <mergeCell ref="AT37:AW37"/>
    <mergeCell ref="EK20:EM20"/>
    <mergeCell ref="FK20:FM20"/>
    <mergeCell ref="FN20:FP20"/>
    <mergeCell ref="DB20:DD20"/>
    <mergeCell ref="DE20:DG20"/>
    <mergeCell ref="EH20:EJ20"/>
    <mergeCell ref="BZ22:CF22"/>
    <mergeCell ref="BS22:BY22"/>
    <mergeCell ref="BL22:BR22"/>
    <mergeCell ref="BE22:BK22"/>
    <mergeCell ref="AX22:BD22"/>
    <mergeCell ref="AQ22:AW22"/>
    <mergeCell ref="CB20:CD20"/>
    <mergeCell ref="FL3:FO3"/>
    <mergeCell ref="EE3:EH3"/>
    <mergeCell ref="EI3:EL3"/>
    <mergeCell ref="CY3:DB3"/>
    <mergeCell ref="FH3:FK3"/>
    <mergeCell ref="CS8:CS19"/>
    <mergeCell ref="GG24:GH24"/>
    <mergeCell ref="BD39:BI39"/>
    <mergeCell ref="AW39:BC39"/>
    <mergeCell ref="AP39:AV39"/>
    <mergeCell ref="C4:H4"/>
    <mergeCell ref="DV5:EB5"/>
    <mergeCell ref="DO5:DU5"/>
    <mergeCell ref="DH5:DN5"/>
    <mergeCell ref="DA5:DG5"/>
    <mergeCell ref="EO4:FD4"/>
    <mergeCell ref="AU4:BC4"/>
    <mergeCell ref="AB39:AH39"/>
    <mergeCell ref="U39:AA39"/>
    <mergeCell ref="CK4:CZ4"/>
    <mergeCell ref="CQ8:CQ19"/>
    <mergeCell ref="V22:AB22"/>
    <mergeCell ref="O22:U22"/>
    <mergeCell ref="H22:N22"/>
    <mergeCell ref="C22:G22"/>
    <mergeCell ref="CT8:CT19"/>
    <mergeCell ref="CT5:CZ5"/>
    <mergeCell ref="CM5:CS5"/>
    <mergeCell ref="CF5:CL5"/>
    <mergeCell ref="DS8:DS19"/>
    <mergeCell ref="AI39:AO39"/>
    <mergeCell ref="GD25:GD36"/>
    <mergeCell ref="FX25:FX36"/>
    <mergeCell ref="FY25:FY36"/>
    <mergeCell ref="GE24:GF24"/>
    <mergeCell ref="EY22:FE22"/>
    <mergeCell ref="ER22:EX22"/>
    <mergeCell ref="EK22:EQ22"/>
    <mergeCell ref="ED22:EJ22"/>
    <mergeCell ref="DW22:EC22"/>
    <mergeCell ref="AJ22:AP22"/>
    <mergeCell ref="AC22:AI22"/>
    <mergeCell ref="DP22:DV22"/>
    <mergeCell ref="DI22:DO22"/>
  </mergeCells>
  <phoneticPr fontId="0" type="noConversion"/>
  <printOptions horizontalCentered="1"/>
  <pageMargins left="0.78740157480314965" right="0.78740157480314965" top="1.5748031496062993" bottom="0.98425196850393704" header="0.51181102362204722" footer="0.51181102362204722"/>
  <pageSetup paperSize="9" scale="67" pageOrder="overThenDown" orientation="landscape" r:id="rId1"/>
  <headerFooter alignWithMargins="0">
    <oddHeader>&amp;S&amp;"Arial,Fett"&amp;36Dienstplan WD Rastatt&amp;R&amp;O</oddHeader>
  </headerFooter>
  <colBreaks count="4" manualBreakCount="4">
    <brk id="33" min="2" max="15" man="1"/>
    <brk id="94" min="19" max="32" man="1"/>
    <brk id="122" min="2" max="15" man="1"/>
    <brk id="155" min="19" max="32" man="1"/>
  </colBreaks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B1:T16"/>
  <sheetViews>
    <sheetView workbookViewId="0">
      <selection activeCell="F25" sqref="F25"/>
    </sheetView>
  </sheetViews>
  <sheetFormatPr baseColWidth="10" defaultColWidth="11.44140625" defaultRowHeight="13.2" x14ac:dyDescent="0.25"/>
  <cols>
    <col min="2" max="2" width="13.109375" bestFit="1" customWidth="1"/>
    <col min="3" max="20" width="6.88671875" customWidth="1"/>
  </cols>
  <sheetData>
    <row r="1" spans="2:2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20" x14ac:dyDescent="0.25">
      <c r="B2" s="3" t="s">
        <v>31</v>
      </c>
      <c r="C2">
        <f>Dienstplan!C2</f>
        <v>2026</v>
      </c>
    </row>
    <row r="3" spans="2:20" x14ac:dyDescent="0.25">
      <c r="C3" s="4" t="str">
        <f>Monat!AB3</f>
        <v>FI</v>
      </c>
      <c r="D3" s="4" t="str">
        <f>Monat!AB4</f>
        <v>FII</v>
      </c>
      <c r="E3" s="4" t="str">
        <f>Monat!AB5</f>
        <v>SI</v>
      </c>
      <c r="F3" s="4" t="str">
        <f>Monat!AB6</f>
        <v>NI</v>
      </c>
      <c r="G3" s="4" t="str">
        <f>Monat!AB7</f>
        <v>DI</v>
      </c>
      <c r="H3" s="4" t="str">
        <f>Monat!AB8</f>
        <v>DII</v>
      </c>
      <c r="I3" s="4" t="str">
        <f>Monat!AB9</f>
        <v>SD</v>
      </c>
      <c r="J3" s="4" t="str">
        <f>Monat!AB10</f>
        <v>GT</v>
      </c>
      <c r="K3" s="4" t="str">
        <f>Monat!AB11</f>
        <v>U</v>
      </c>
      <c r="L3" s="4" t="str">
        <f>Monat!AB12</f>
        <v>EH</v>
      </c>
      <c r="M3" s="4" t="str">
        <f>Monat!AB13</f>
        <v>KT</v>
      </c>
      <c r="N3" s="4" t="str">
        <f>Monat!AB14</f>
        <v>Sek</v>
      </c>
      <c r="O3" s="4" t="str">
        <f>Monat!AB15</f>
        <v>Fobi</v>
      </c>
      <c r="P3" s="4" t="str">
        <f>Monat!AB16</f>
        <v>A</v>
      </c>
      <c r="Q3" s="4" t="str">
        <f>Monat!AB17</f>
        <v>Kur</v>
      </c>
      <c r="R3" s="4" t="str">
        <f>Monat!AB18</f>
        <v>FZC</v>
      </c>
      <c r="S3" s="4" t="str">
        <f>Monat!AB19</f>
        <v>NST</v>
      </c>
      <c r="T3" s="2"/>
    </row>
    <row r="4" spans="2:20" x14ac:dyDescent="0.25">
      <c r="B4" s="2" t="str">
        <f>Dienstplan!B8</f>
        <v>Breig</v>
      </c>
      <c r="C4" s="6">
        <f>SUM(Monat!C4,Monat!C20,Monat!C36,Monat!C52,Monat!C68,Monat!C84,Monat!C100+Monat!C116,Monat!C132,Monat!C148,Monat!C164,Monat!C180)</f>
        <v>15</v>
      </c>
      <c r="D4">
        <f>SUM(Monat!D4,Monat!D20,Monat!D36,Monat!D52,Monat!D68,Monat!D84,Monat!D100+Monat!D116,Monat!D132,Monat!D148,Monat!D164,Monat!D180)</f>
        <v>12</v>
      </c>
      <c r="E4" s="6">
        <f>SUM(Monat!E4,Monat!E20,Monat!E36,Monat!E52,Monat!E68,Monat!E84,Monat!E100,Monat!E116,Monat!E132,Monat!E148,Monat!E164,Monat!E180)</f>
        <v>18</v>
      </c>
      <c r="F4">
        <f>SUM(Monat!F4,Monat!F20,Monat!F36,Monat!F52,Monat!F68,Monat!F84,Monat!F100+Monat!F116,Monat!F132,Monat!F148,Monat!F164,Monat!F180)</f>
        <v>43</v>
      </c>
      <c r="G4">
        <f>SUM(Monat!G4,Monat!G20,Monat!G36,Monat!G52,Monat!G68,Monat!G84,Monat!G100+Monat!G116,Monat!G132,Monat!G148,Monat!G164,Monat!G180)</f>
        <v>8</v>
      </c>
      <c r="H4">
        <f>SUM(Monat!H4,Monat!H20,Monat!H36,Monat!H52,Monat!H68,Monat!H84,Monat!H100+Monat!H116,Monat!H132,Monat!H148,Monat!H164,Monat!H180)</f>
        <v>0</v>
      </c>
      <c r="I4" s="6">
        <f>SUM(Monat!I4,Monat!I20,Monat!I36,Monat!I52,Monat!I68,Monat!I84,Monat!I100+Monat!I116,Monat!I132,Monat!I148,Monat!I164,Monat!I180)</f>
        <v>1</v>
      </c>
      <c r="J4">
        <f>SUM(Monat!J4,Monat!J20,Monat!J36,Monat!J52,Monat!J68,Monat!J84,Monat!J100+Monat!J116,Monat!J132,Monat!J148,Monat!J164,Monat!J180)</f>
        <v>2</v>
      </c>
      <c r="K4" s="6">
        <f>SUM(Monat!K4,Monat!K20,Monat!K36,Monat!K52,Monat!K68,Monat!K84,Monat!K100+Monat!K116,Monat!K132,Monat!K148,Monat!K164,Monat!K180)</f>
        <v>43</v>
      </c>
      <c r="L4" s="23">
        <f>SUM(Monat!L4,Monat!L20,Monat!L36,Monat!L52,Monat!L68,Monat!L84,Monat!L100+Monat!L116,Monat!L132,Monat!L148,Monat!L164,Monat!L180)</f>
        <v>2</v>
      </c>
      <c r="M4" s="6">
        <f>SUM(Monat!M4,Monat!M20,Monat!M36,Monat!M52,Monat!M68,Monat!M84,Monat!M100+Monat!M116,Monat!M132,Monat!M148,Monat!M164,Monat!M180)</f>
        <v>0</v>
      </c>
      <c r="N4">
        <f>SUM(Monat!N4,Monat!N20,Monat!N36,Monat!N52,Monat!N68,Monat!N84,Monat!N100+Monat!N116,Monat!N132,Monat!N148,Monat!N164,Monat!N180)</f>
        <v>0</v>
      </c>
      <c r="O4" s="6">
        <f>SUM(Monat!O4,Monat!O20,Monat!O36,Monat!O52,Monat!O68,Monat!O84,Monat!O100+Monat!O116,Monat!O132,Monat!O148,Monat!O164,Monat!O180)</f>
        <v>2</v>
      </c>
      <c r="P4" s="23">
        <f>SUM(Monat!P4,Monat!P20,Monat!P36,Monat!P52,Monat!P68,Monat!P84,Monat!P100+Monat!P116,Monat!P132,Monat!P148,Monat!P164,Monat!P180)</f>
        <v>2</v>
      </c>
      <c r="Q4" s="6">
        <f>SUM(Monat!Q4,Monat!Q20,Monat!Q36,Monat!Q52,Monat!Q68,Monat!Q84,Monat!Q100+Monat!Q116,Monat!Q132,Monat!Q148,Monat!Q164,Monat!Q180)</f>
        <v>0</v>
      </c>
      <c r="R4" s="23">
        <f>SUM(Monat!R4,Monat!R20,Monat!R36,Monat!R52,Monat!R68,Monat!R84,Monat!R100+Monat!R116,Monat!R132,Monat!R148,Monat!R164,Monat!R180)</f>
        <v>0</v>
      </c>
      <c r="S4" s="6">
        <f>SUM(Monat!S4,Monat!S20,Monat!S36,Monat!S52,Monat!S68,Monat!S84,Monat!S100+Monat!S116,Monat!S132,Monat!S148,Monat!S164,Monat!S180)</f>
        <v>8</v>
      </c>
    </row>
    <row r="5" spans="2:20" x14ac:dyDescent="0.25">
      <c r="B5" s="2" t="str">
        <f>Dienstplan!B9</f>
        <v>Siebert</v>
      </c>
      <c r="C5" s="6">
        <f>SUM(Monat!C5,Monat!C21,Monat!C37,Monat!C53,Monat!C69,Monat!C85,Monat!C101+Monat!C117,Monat!C133,Monat!C149,Monat!C165,Monat!C181)</f>
        <v>11</v>
      </c>
      <c r="D5">
        <f>SUM(Monat!D5,Monat!D21,Monat!D37,Monat!D53,Monat!D69,Monat!D85,Monat!D101+Monat!D117,Monat!D133,Monat!D149,Monat!D165,Monat!D181)</f>
        <v>6</v>
      </c>
      <c r="E5" s="6">
        <f>SUM(Monat!E5,Monat!E21,Monat!E37,Monat!E53,Monat!E69,Monat!E85,Monat!E101+Monat!E117,Monat!E133,Monat!E149,Monat!E165,Monat!E181)</f>
        <v>29</v>
      </c>
      <c r="F5">
        <f>SUM(Monat!F5,Monat!F21,Monat!F37,Monat!F53,Monat!F69,Monat!F85,Monat!F101+Monat!F117,Monat!F133,Monat!F149,Monat!F165,Monat!F181)</f>
        <v>49</v>
      </c>
      <c r="G5">
        <f>SUM(Monat!G5,Monat!G21,Monat!G37,Monat!G53,Monat!G69,Monat!G85,Monat!G101+Monat!G117,Monat!G133,Monat!G149,Monat!G165,Monat!G181)</f>
        <v>5</v>
      </c>
      <c r="H5">
        <f>SUM(Monat!H5,Monat!H21,Monat!H37,Monat!H53,Monat!H69,Monat!H85,Monat!H101+Monat!H117,Monat!H133,Monat!H149,Monat!H165,Monat!H181)</f>
        <v>0</v>
      </c>
      <c r="I5" s="6">
        <f>SUM(Monat!I5,Monat!I21,Monat!I37,Monat!I53,Monat!I69,Monat!I85,Monat!I101+Monat!I117,Monat!I133,Monat!I149,Monat!I165,Monat!I181)</f>
        <v>1</v>
      </c>
      <c r="J5">
        <f>SUM(Monat!J5,Monat!J21,Monat!J37,Monat!J53,Monat!J69,Monat!J85,Monat!J101+Monat!J117,Monat!J133,Monat!J149,Monat!J165,Monat!J181)</f>
        <v>0</v>
      </c>
      <c r="K5" s="6">
        <f>SUM(Monat!K5,Monat!K21,Monat!K37,Monat!K53,Monat!K69,Monat!K85,Monat!K101+Monat!K117,Monat!K133,Monat!K149,Monat!K165,Monat!K181)</f>
        <v>48</v>
      </c>
      <c r="L5" s="23">
        <f>SUM(Monat!L5,Monat!L21,Monat!L37,Monat!L53,Monat!L69,Monat!L85,Monat!L101+Monat!L117,Monat!L133,Monat!L149,Monat!L165,Monat!L181)</f>
        <v>2</v>
      </c>
      <c r="M5" s="6">
        <f>SUM(Monat!M5,Monat!M21,Monat!M37,Monat!M53,Monat!M69,Monat!M85,Monat!M101+Monat!M117,Monat!M133,Monat!M149,Monat!M165,Monat!M181)</f>
        <v>0</v>
      </c>
      <c r="N5">
        <f>SUM(Monat!N5,Monat!N21,Monat!N37,Monat!N53,Monat!N69,Monat!N85,Monat!N101+Monat!N117,Monat!N133,Monat!N149,Monat!N165,Monat!N181)</f>
        <v>0</v>
      </c>
      <c r="O5" s="6">
        <f>SUM(Monat!O5,Monat!O21,Monat!O37,Monat!O53,Monat!O69,Monat!O85,Monat!O101+Monat!O117,Monat!O133,Monat!O149,Monat!O165,Monat!O181)</f>
        <v>2</v>
      </c>
      <c r="P5" s="23">
        <f>SUM(Monat!P5,Monat!P21,Monat!P37,Monat!P53,Monat!P69,Monat!P85,Monat!P101+Monat!P117,Monat!P133,Monat!P149,Monat!P165,Monat!P181)</f>
        <v>1</v>
      </c>
      <c r="Q5" s="6">
        <f>SUM(Monat!Q5,Monat!Q21,Monat!Q37,Monat!Q53,Monat!Q69,Monat!Q85,Monat!Q101+Monat!Q117,Monat!Q133,Monat!Q149,Monat!Q165,Monat!Q181)</f>
        <v>0</v>
      </c>
      <c r="R5" s="23">
        <f>SUM(Monat!R5,Monat!R21,Monat!R37,Monat!R53,Monat!R69,Monat!R85,Monat!R101+Monat!R117,Monat!R133,Monat!R149,Monat!R165,Monat!R181)</f>
        <v>0</v>
      </c>
      <c r="S5" s="6">
        <f>SUM(Monat!S5,Monat!S21,Monat!S37,Monat!S53,Monat!S69,Monat!S85,Monat!S101+Monat!S117,Monat!S133,Monat!S149,Monat!S165,Monat!S181)</f>
        <v>10</v>
      </c>
    </row>
    <row r="6" spans="2:20" x14ac:dyDescent="0.25">
      <c r="B6" s="2" t="str">
        <f>Dienstplan!B10</f>
        <v>Jochim</v>
      </c>
      <c r="C6" s="6">
        <f>SUM(Monat!C6,Monat!C22,Monat!C38,Monat!C54,Monat!C70,Monat!C86,Monat!C102+Monat!C118,Monat!C134,Monat!C150,Monat!C166,Monat!C182)</f>
        <v>2</v>
      </c>
      <c r="D6">
        <f>SUM(Monat!D6,Monat!D22,Monat!D38,Monat!D54,Monat!D70,Monat!D86,Monat!D102+Monat!D118,Monat!D134,Monat!D150,Monat!D166,Monat!D182)</f>
        <v>10</v>
      </c>
      <c r="E6" s="6">
        <f>SUM(Monat!E6,Monat!E22,Monat!E38,Monat!E54,Monat!E70,Monat!E86,Monat!E102+Monat!E118,Monat!E134,Monat!E150,Monat!E166,Monat!E182)</f>
        <v>4</v>
      </c>
      <c r="F6">
        <f>SUM(Monat!F6,Monat!F22,Monat!F38,Monat!F54,Monat!F70,Monat!F86,Monat!F102+Monat!F118,Monat!F134,Monat!F150,Monat!F166,Monat!F182)</f>
        <v>5</v>
      </c>
      <c r="G6">
        <f>SUM(Monat!G6,Monat!G22,Monat!G38,Monat!G54,Monat!G70,Monat!G86,Monat!G102+Monat!G118,Monat!G134,Monat!G150,Monat!G166,Monat!G182)</f>
        <v>6</v>
      </c>
      <c r="H6">
        <f>SUM(Monat!H6,Monat!H22,Monat!H38,Monat!H54,Monat!H70,Monat!H86,Monat!H102+Monat!H118,Monat!H134,Monat!H150,Monat!H166,Monat!H182)</f>
        <v>7</v>
      </c>
      <c r="I6" s="6">
        <f>SUM(Monat!I6,Monat!I22,Monat!I38,Monat!I54,Monat!I70,Monat!I86,Monat!I102+Monat!I118,Monat!I134,Monat!I150,Monat!I166,Monat!I182)</f>
        <v>2</v>
      </c>
      <c r="J6">
        <f>SUM(Monat!J6,Monat!J22,Monat!J38,Monat!J54,Monat!J70,Monat!J86,Monat!J102+Monat!J118,Monat!J134,Monat!J150,Monat!J166,Monat!J182)</f>
        <v>0</v>
      </c>
      <c r="K6" s="6">
        <f>SUM(Monat!K6,Monat!K22,Monat!K38,Monat!K54,Monat!K70,Monat!K86,Monat!K102+Monat!K118,Monat!K134,Monat!K150,Monat!K166,Monat!K182)</f>
        <v>0</v>
      </c>
      <c r="L6" s="23">
        <f>SUM(Monat!L6,Monat!L22,Monat!L38,Monat!L54,Monat!L70,Monat!L86,Monat!L102+Monat!L118,Monat!L134,Monat!L150,Monat!L166,Monat!L182)</f>
        <v>0</v>
      </c>
      <c r="M6" s="6">
        <f>SUM(Monat!M6,Monat!M22,Monat!M38,Monat!M54,Monat!M70,Monat!M86,Monat!M102+Monat!M118,Monat!M134,Monat!M150,Monat!M166,Monat!M182)</f>
        <v>0</v>
      </c>
      <c r="N6">
        <f>SUM(Monat!N6,Monat!N22,Monat!N38,Monat!N54,Monat!N70,Monat!N86,Monat!N102+Monat!N118,Monat!N134,Monat!N150,Monat!N166,Monat!N182)</f>
        <v>0</v>
      </c>
      <c r="O6" s="6">
        <f>SUM(Monat!O6,Monat!O22,Monat!O38,Monat!O54,Monat!O70,Monat!O86,Monat!O102+Monat!O118,Monat!O134,Monat!O150,Monat!O166,Monat!O182)</f>
        <v>0</v>
      </c>
      <c r="P6" s="23">
        <f>SUM(Monat!P6,Monat!P22,Monat!P38,Monat!P54,Monat!P70,Monat!P86,Monat!P102+Monat!P118,Monat!P134,Monat!P150,Monat!P166,Monat!P182)</f>
        <v>0</v>
      </c>
      <c r="Q6" s="6">
        <f>SUM(Monat!Q6,Monat!Q22,Monat!Q38,Monat!Q54,Monat!Q70,Monat!Q86,Monat!Q102+Monat!Q118,Monat!Q134,Monat!Q150,Monat!Q166,Monat!Q182)</f>
        <v>0</v>
      </c>
      <c r="R6" s="23">
        <f>SUM(Monat!R6,Monat!R22,Monat!R38,Monat!R54,Monat!R70,Monat!R86,Monat!R102+Monat!R118,Monat!R134,Monat!R150,Monat!R166,Monat!R182)</f>
        <v>0</v>
      </c>
      <c r="S6" s="6">
        <f>SUM(Monat!S6,Monat!S22,Monat!S38,Monat!S54,Monat!S70,Monat!S86,Monat!S102+Monat!S118,Monat!S134,Monat!S150,Monat!S166,Monat!S182)</f>
        <v>1</v>
      </c>
    </row>
    <row r="7" spans="2:20" x14ac:dyDescent="0.25">
      <c r="B7" s="2" t="str">
        <f>Dienstplan!B11</f>
        <v>Wunsch</v>
      </c>
      <c r="C7" s="6">
        <f>SUM(Monat!C7,Monat!C23,Monat!C39,Monat!C55,Monat!C71,Monat!C87,Monat!C103+Monat!C119,Monat!C135,Monat!C151,Monat!C167,Monat!C183)</f>
        <v>21</v>
      </c>
      <c r="D7">
        <f>SUM(Monat!D7,Monat!D23,Monat!D39,Monat!D55,Monat!D71,Monat!D87,Monat!D103+Monat!D119,Monat!D135,Monat!D151,Monat!D167,Monat!D183)</f>
        <v>4</v>
      </c>
      <c r="E7" s="6">
        <f>SUM(Monat!E7,Monat!E23,Monat!E39,Monat!E55,Monat!E71,Monat!E87,Monat!E103+Monat!E119,Monat!E135,Monat!E151,Monat!E167,Monat!E183)</f>
        <v>14</v>
      </c>
      <c r="F7">
        <f>SUM(Monat!F7,Monat!F23,Monat!F39,Monat!F55,Monat!F71,Monat!F87,Monat!F103+Monat!F119,Monat!F135,Monat!F151,Monat!F167,Monat!F183)</f>
        <v>43</v>
      </c>
      <c r="G7">
        <f>SUM(Monat!G7,Monat!G23,Monat!G39,Monat!G55,Monat!G71,Monat!G87,Monat!G103+Monat!G119,Monat!G135,Monat!G151,Monat!G167,Monat!G183)</f>
        <v>5</v>
      </c>
      <c r="H7">
        <f>SUM(Monat!H7,Monat!H23,Monat!H39,Monat!H55,Monat!H71,Monat!H87,Monat!H103+Monat!H119,Monat!H135,Monat!H151,Monat!H167,Monat!H183)</f>
        <v>0</v>
      </c>
      <c r="I7" s="6">
        <f>SUM(Monat!I7,Monat!I23,Monat!I39,Monat!I55,Monat!I71,Monat!I87,Monat!I103+Monat!I119,Monat!I135,Monat!I151,Monat!I167,Monat!I183)</f>
        <v>8</v>
      </c>
      <c r="J7">
        <f>SUM(Monat!J7,Monat!J23,Monat!J39,Monat!J55,Monat!J71,Monat!J87,Monat!J103+Monat!J119,Monat!J135,Monat!J151,Monat!J167,Monat!J183)</f>
        <v>1</v>
      </c>
      <c r="K7" s="6">
        <f>SUM(Monat!K7,Monat!K23,Monat!K39,Monat!K55,Monat!K71,Monat!K87,Monat!K103+Monat!K119,Monat!K135,Monat!K151,Monat!K167,Monat!K183)</f>
        <v>45</v>
      </c>
      <c r="L7" s="23">
        <f>SUM(Monat!L7,Monat!L23,Monat!L39,Monat!L55,Monat!L71,Monat!L87,Monat!L103+Monat!L119,Monat!L135,Monat!L151,Monat!L167,Monat!L183)</f>
        <v>2</v>
      </c>
      <c r="M7" s="6">
        <f>SUM(Monat!M7,Monat!M23,Monat!M39,Monat!M55,Monat!M71,Monat!M87,Monat!M103+Monat!M119,Monat!M135,Monat!M151,Monat!M167,Monat!M183)</f>
        <v>0</v>
      </c>
      <c r="N7">
        <f>SUM(Monat!N7,Monat!N23,Monat!N39,Monat!N55,Monat!N71,Monat!N87,Monat!N103+Monat!N119,Monat!N135,Monat!N151,Monat!N167,Monat!N183)</f>
        <v>0</v>
      </c>
      <c r="O7" s="6">
        <f>SUM(Monat!O7,Monat!O23,Monat!O39,Monat!O55,Monat!O71,Monat!O87,Monat!O103+Monat!O119,Monat!O135,Monat!O151,Monat!O167,Monat!O183)</f>
        <v>3</v>
      </c>
      <c r="P7" s="23">
        <f>SUM(Monat!P7,Monat!P23,Monat!P39,Monat!P55,Monat!P71,Monat!P87,Monat!P103+Monat!P119,Monat!P135,Monat!P151,Monat!P167,Monat!P183)</f>
        <v>0</v>
      </c>
      <c r="Q7" s="6">
        <f>SUM(Monat!Q7,Monat!Q23,Monat!Q39,Monat!Q55,Monat!Q71,Monat!Q87,Monat!Q103+Monat!Q119,Monat!Q135,Monat!Q151,Monat!Q167,Monat!Q183)</f>
        <v>0</v>
      </c>
      <c r="R7" s="23">
        <f>SUM(Monat!R7,Monat!R23,Monat!R39,Monat!R55,Monat!R71,Monat!R87,Monat!R103+Monat!R119,Monat!R135,Monat!R151,Monat!R167,Monat!R183)</f>
        <v>0</v>
      </c>
      <c r="S7" s="6">
        <f>SUM(Monat!S7,Monat!S23,Monat!S39,Monat!S55,Monat!S71,Monat!S87,Monat!S103+Monat!S119,Monat!S135,Monat!S151,Monat!S167,Monat!S183)</f>
        <v>9</v>
      </c>
    </row>
    <row r="8" spans="2:20" x14ac:dyDescent="0.25">
      <c r="B8" s="2" t="str">
        <f>Dienstplan!B12</f>
        <v>Göpfrich</v>
      </c>
      <c r="C8" s="6">
        <f>SUM(Monat!C8,Monat!C24,Monat!C40,Monat!C56,Monat!C72,Monat!C88,Monat!C104+Monat!C120,Monat!C136,Monat!C152,Monat!C168,Monat!C184)</f>
        <v>5</v>
      </c>
      <c r="D8">
        <f>SUM(Monat!D8,Monat!D24,Monat!D40,Monat!D56,Monat!D72,Monat!D88,Monat!D104+Monat!D120,Monat!D136,Monat!D152,Monat!D168,Monat!D184)</f>
        <v>0</v>
      </c>
      <c r="E8" s="6">
        <f>SUM(Monat!E8,Monat!E24,Monat!E40,Monat!E56,Monat!E72,Monat!E88,Monat!E104+Monat!E120,Monat!E136,Monat!E152,Monat!E168,Monat!E184)</f>
        <v>37</v>
      </c>
      <c r="F8">
        <f>SUM(Monat!F8,Monat!F24,Monat!F40,Monat!F56,Monat!F72,Monat!F88,Monat!F104+Monat!F120,Monat!F136,Monat!F152,Monat!F168,Monat!F184)</f>
        <v>47</v>
      </c>
      <c r="G8">
        <f>SUM(Monat!G8,Monat!G24,Monat!G40,Monat!G56,Monat!G72,Monat!G88,Monat!G104+Monat!G120,Monat!G136,Monat!G152,Monat!G168,Monat!G184)</f>
        <v>9</v>
      </c>
      <c r="H8">
        <f>SUM(Monat!H8,Monat!H24,Monat!H40,Monat!H56,Monat!H72,Monat!H88,Monat!H104+Monat!H120,Monat!H136,Monat!H152,Monat!H168,Monat!H184)</f>
        <v>0</v>
      </c>
      <c r="I8" s="6">
        <f>SUM(Monat!I8,Monat!I24,Monat!I40,Monat!I56,Monat!I72,Monat!I88,Monat!I104+Monat!I120,Monat!I136,Monat!I152,Monat!I168,Monat!I184)</f>
        <v>4</v>
      </c>
      <c r="J8">
        <f>SUM(Monat!J8,Monat!J24,Monat!J40,Monat!J56,Monat!J72,Monat!J88,Monat!J104+Monat!J120,Monat!J136,Monat!J152,Monat!J168,Monat!J184)</f>
        <v>6</v>
      </c>
      <c r="K8" s="6">
        <f>SUM(Monat!K8,Monat!K24,Monat!K40,Monat!K56,Monat!K72,Monat!K88,Monat!K104+Monat!K120,Monat!K136,Monat!K152,Monat!K168,Monat!K184)</f>
        <v>35</v>
      </c>
      <c r="L8" s="23">
        <f>SUM(Monat!L8,Monat!L24,Monat!L40,Monat!L56,Monat!L72,Monat!L88,Monat!L104+Monat!L120,Monat!L136,Monat!L152,Monat!L168,Monat!L184)</f>
        <v>2</v>
      </c>
      <c r="M8" s="6">
        <f>SUM(Monat!M8,Monat!M24,Monat!M40,Monat!M56,Monat!M72,Monat!M88,Monat!M104+Monat!M120,Monat!M136,Monat!M152,Monat!M168,Monat!M184)</f>
        <v>0</v>
      </c>
      <c r="N8">
        <f>SUM(Monat!N8,Monat!N24,Monat!N40,Monat!N56,Monat!N72,Monat!N88,Monat!N104+Monat!N120,Monat!N136,Monat!N152,Monat!N168,Monat!N184)</f>
        <v>0</v>
      </c>
      <c r="O8" s="6">
        <f>SUM(Monat!O8,Monat!O24,Monat!O40,Monat!O56,Monat!O72,Monat!O88,Monat!O104+Monat!O120,Monat!O136,Monat!O152,Monat!O168,Monat!O184)</f>
        <v>7</v>
      </c>
      <c r="P8" s="23">
        <f>SUM(Monat!P8,Monat!P24,Monat!P40,Monat!P56,Monat!P72,Monat!P88,Monat!P104+Monat!P120,Monat!P136,Monat!P152,Monat!P168,Monat!P184)</f>
        <v>2</v>
      </c>
      <c r="Q8" s="6">
        <f>SUM(Monat!Q8,Monat!Q24,Monat!Q40,Monat!Q56,Monat!Q72,Monat!Q88,Monat!Q104+Monat!Q120,Monat!Q136,Monat!Q152,Monat!Q168,Monat!Q184)</f>
        <v>0</v>
      </c>
      <c r="R8" s="23">
        <f>SUM(Monat!R8,Monat!R24,Monat!R40,Monat!R56,Monat!R72,Monat!R88,Monat!R104+Monat!R120,Monat!R136,Monat!R152,Monat!R168,Monat!R184)</f>
        <v>0</v>
      </c>
      <c r="S8" s="6">
        <f>SUM(Monat!S8,Monat!S24,Monat!S40,Monat!S56,Monat!S72,Monat!S88,Monat!S104+Monat!S120,Monat!S136,Monat!S152,Monat!S168,Monat!S184)</f>
        <v>8</v>
      </c>
    </row>
    <row r="9" spans="2:20" x14ac:dyDescent="0.25">
      <c r="B9" s="2" t="str">
        <f>Dienstplan!B13</f>
        <v>Zeller</v>
      </c>
      <c r="C9" s="6">
        <f>SUM(Monat!C9,Monat!C25,Monat!C41,Monat!C57,Monat!C73,Monat!C89,Monat!C105+Monat!C121,Monat!C137,Monat!C153,Monat!C169,Monat!C185)</f>
        <v>25</v>
      </c>
      <c r="D9">
        <f>SUM(Monat!D9,Monat!D25,Monat!D41,Monat!D57,Monat!D73,Monat!D89,Monat!D105+Monat!D121,Monat!D137,Monat!D153,Monat!D169,Monat!D185)</f>
        <v>12</v>
      </c>
      <c r="E9" s="6">
        <f>SUM(Monat!E9,Monat!E25,Monat!E41,Monat!E57,Monat!E73,Monat!E89,Monat!E105+Monat!E121,Monat!E137,Monat!E153,Monat!E169,Monat!E185)</f>
        <v>12</v>
      </c>
      <c r="F9">
        <f>SUM(Monat!F9,Monat!F25,Monat!F41,Monat!F57,Monat!F73,Monat!F89,Monat!F105+Monat!F121,Monat!F137,Monat!F153,Monat!F169,Monat!F185)</f>
        <v>33</v>
      </c>
      <c r="G9">
        <f>SUM(Monat!G9,Monat!G25,Monat!G41,Monat!G57,Monat!G73,Monat!G89,Monat!G105+Monat!G121,Monat!G137,Monat!G153,Monat!G169,Monat!G185)</f>
        <v>11</v>
      </c>
      <c r="H9">
        <f>SUM(Monat!H9,Monat!H25,Monat!H41,Monat!H57,Monat!H73,Monat!H89,Monat!H105+Monat!H121,Monat!H137,Monat!H153,Monat!H169,Monat!H185)</f>
        <v>3</v>
      </c>
      <c r="I9" s="6">
        <f>SUM(Monat!I9,Monat!I25,Monat!I41,Monat!I57,Monat!I73,Monat!I89,Monat!I105+Monat!I121,Monat!I137,Monat!I153,Monat!I169,Monat!I185)</f>
        <v>0</v>
      </c>
      <c r="J9">
        <f>SUM(Monat!J9,Monat!J25,Monat!J41,Monat!J57,Monat!J73,Monat!J89,Monat!J105+Monat!J121,Monat!J137,Monat!J153,Monat!J169,Monat!J185)</f>
        <v>4</v>
      </c>
      <c r="K9" s="6">
        <f>SUM(Monat!K9,Monat!K25,Monat!K41,Monat!K57,Monat!K73,Monat!K89,Monat!K105+Monat!K121,Monat!K137,Monat!K153,Monat!K169,Monat!K185)</f>
        <v>37</v>
      </c>
      <c r="L9" s="23">
        <f>SUM(Monat!L9,Monat!L25,Monat!L41,Monat!L57,Monat!L73,Monat!L89,Monat!L105+Monat!L121,Monat!L137,Monat!L153,Monat!L169,Monat!L185)</f>
        <v>0</v>
      </c>
      <c r="M9" s="6">
        <f>SUM(Monat!M9,Monat!M25,Monat!M41,Monat!M57,Monat!M73,Monat!M89,Monat!M105+Monat!M121,Monat!M137,Monat!M153,Monat!M169,Monat!M185)</f>
        <v>0</v>
      </c>
      <c r="N9">
        <f>SUM(Monat!N9,Monat!N25,Monat!N41,Monat!N57,Monat!N73,Monat!N89,Monat!N105+Monat!N121,Monat!N137,Monat!N153,Monat!N169,Monat!N185)</f>
        <v>0</v>
      </c>
      <c r="O9" s="6">
        <f>SUM(Monat!O9,Monat!O25,Monat!O41,Monat!O57,Monat!O73,Monat!O89,Monat!O105+Monat!O121,Monat!O137,Monat!O153,Monat!O169,Monat!O185)</f>
        <v>5</v>
      </c>
      <c r="P9" s="23">
        <f>SUM(Monat!P9,Monat!P25,Monat!P41,Monat!P57,Monat!P73,Monat!P89,Monat!P105+Monat!P121,Monat!P137,Monat!P153,Monat!P169,Monat!P185)</f>
        <v>1</v>
      </c>
      <c r="Q9" s="6">
        <f>SUM(Monat!Q9,Monat!Q25,Monat!Q41,Monat!Q57,Monat!Q73,Monat!Q89,Monat!Q105+Monat!Q121,Monat!Q137,Monat!Q153,Monat!Q169,Monat!Q185)</f>
        <v>0</v>
      </c>
      <c r="R9" s="23">
        <f>SUM(Monat!R9,Monat!R25,Monat!R41,Monat!R57,Monat!R73,Monat!R89,Monat!R105+Monat!R121,Monat!R137,Monat!R153,Monat!R169,Monat!R185)</f>
        <v>0</v>
      </c>
      <c r="S9" s="6">
        <f>SUM(Monat!S9,Monat!S25,Monat!S41,Monat!S57,Monat!S73,Monat!S89,Monat!S105+Monat!S121,Monat!S137,Monat!S153,Monat!S169,Monat!S185)</f>
        <v>10</v>
      </c>
    </row>
    <row r="10" spans="2:20" x14ac:dyDescent="0.25">
      <c r="B10" s="2" t="str">
        <f>Dienstplan!B14</f>
        <v>Behrendt</v>
      </c>
      <c r="C10" s="6">
        <f>SUM(Monat!C10,Monat!C26,Monat!C42,Monat!C58,Monat!C74,Monat!C90,Monat!C106+Monat!C122,Monat!C138,Monat!C154,Monat!C170,Monat!C186)</f>
        <v>13</v>
      </c>
      <c r="D10">
        <f>SUM(Monat!D10,Monat!D26,Monat!D42,Monat!D58,Monat!D74,Monat!D90,Monat!D106+Monat!D122,Monat!D138,Monat!D154,Monat!D170,Monat!D186)</f>
        <v>17</v>
      </c>
      <c r="E10" s="6">
        <f>SUM(Monat!E10,Monat!E26,Monat!E42,Monat!E58,Monat!E74,Monat!E90,Monat!E106+Monat!E122,Monat!E138,Monat!E154,Monat!E170,Monat!E186)</f>
        <v>23</v>
      </c>
      <c r="F10">
        <f>SUM(Monat!F10,Monat!F26,Monat!F42,Monat!F58,Monat!F74,Monat!F90,Monat!F106+Monat!F122,Monat!F138,Monat!F154,Monat!F170,Monat!F186)</f>
        <v>39</v>
      </c>
      <c r="G10">
        <f>SUM(Monat!G10,Monat!G26,Monat!G42,Monat!G58,Monat!G74,Monat!G90,Monat!G106+Monat!G122,Monat!G138,Monat!G154,Monat!G170,Monat!G186)</f>
        <v>0</v>
      </c>
      <c r="H10">
        <f>SUM(Monat!H10,Monat!H26,Monat!H42,Monat!H58,Monat!H74,Monat!H90,Monat!H106+Monat!H122,Monat!H138,Monat!H154,Monat!H170,Monat!H186)</f>
        <v>0</v>
      </c>
      <c r="I10" s="6">
        <f>SUM(Monat!I10,Monat!I26,Monat!I42,Monat!I58,Monat!I74,Monat!I90,Monat!I106+Monat!I122,Monat!I138,Monat!I154,Monat!I170,Monat!I186)</f>
        <v>0</v>
      </c>
      <c r="J10">
        <f>SUM(Monat!J10,Monat!J26,Monat!J42,Monat!J58,Monat!J74,Monat!J90,Monat!J106+Monat!J122,Monat!J138,Monat!J154,Monat!J170,Monat!J186)</f>
        <v>1</v>
      </c>
      <c r="K10" s="6">
        <f>SUM(Monat!K10,Monat!K26,Monat!K42,Monat!K58,Monat!K74,Monat!K90,Monat!K106+Monat!K122,Monat!K138,Monat!K154,Monat!K170,Monat!K186)</f>
        <v>18</v>
      </c>
      <c r="L10" s="23">
        <f>SUM(Monat!L10,Monat!L26,Monat!L42,Monat!L58,Monat!L74,Monat!L90,Monat!L106+Monat!L122,Monat!L138,Monat!L154,Monat!L170,Monat!L186)</f>
        <v>0</v>
      </c>
      <c r="M10" s="6">
        <f>SUM(Monat!M10,Monat!M26,Monat!M42,Monat!M58,Monat!M74,Monat!M90,Monat!M106+Monat!M122,Monat!M138,Monat!M154,Monat!M170,Monat!M186)</f>
        <v>0</v>
      </c>
      <c r="N10">
        <f>SUM(Monat!N10,Monat!N26,Monat!N42,Monat!N58,Monat!N74,Monat!N90,Monat!N106+Monat!N122,Monat!N138,Monat!N154,Monat!N170,Monat!N186)</f>
        <v>0</v>
      </c>
      <c r="O10" s="6">
        <f>SUM(Monat!O10,Monat!O26,Monat!O42,Monat!O58,Monat!O74,Monat!O90,Monat!O106+Monat!O122,Monat!O138,Monat!O154,Monat!O170,Monat!O186)</f>
        <v>5</v>
      </c>
      <c r="P10" s="23">
        <f>SUM(Monat!P10,Monat!P26,Monat!P42,Monat!P58,Monat!P74,Monat!P90,Monat!P106+Monat!P122,Monat!P138,Monat!P154,Monat!P170,Monat!P186)</f>
        <v>1</v>
      </c>
      <c r="Q10" s="6">
        <f>SUM(Monat!Q10,Monat!Q26,Monat!Q42,Monat!Q58,Monat!Q74,Monat!Q90,Monat!Q106+Monat!Q122,Monat!Q138,Monat!Q154,Monat!Q170,Monat!Q186)</f>
        <v>0</v>
      </c>
      <c r="R10" s="23">
        <f>SUM(Monat!R10,Monat!R26,Monat!R42,Monat!R58,Monat!R74,Monat!R90,Monat!R106+Monat!R122,Monat!R138,Monat!R154,Monat!R170,Monat!R186)</f>
        <v>0</v>
      </c>
      <c r="S10" s="6">
        <f>SUM(Monat!S10,Monat!S26,Monat!S42,Monat!S58,Monat!S74,Monat!S90,Monat!S106+Monat!S122,Monat!S138,Monat!S154,Monat!S170,Monat!S186)</f>
        <v>7</v>
      </c>
    </row>
    <row r="11" spans="2:20" x14ac:dyDescent="0.25">
      <c r="B11" s="2" t="str">
        <f>Dienstplan!B15</f>
        <v>Krempl</v>
      </c>
      <c r="C11" s="6">
        <f>SUM(Monat!C11,Monat!C27,Monat!C43,Monat!C59,Monat!C75,Monat!C91,Monat!C107+Monat!C123,Monat!C139,Monat!C155,Monat!C171,Monat!C187)</f>
        <v>0</v>
      </c>
      <c r="D11">
        <f>SUM(Monat!D11,Monat!D27,Monat!D43,Monat!D59,Monat!D75,Monat!D91,Monat!D107+Monat!D123,Monat!D139,Monat!D155,Monat!D171,Monat!D187)</f>
        <v>3</v>
      </c>
      <c r="E11" s="6">
        <f>SUM(Monat!E11,Monat!E27,Monat!E43,Monat!E59,Monat!E75,Monat!E91,Monat!E107+Monat!E123,Monat!E139,Monat!E155,Monat!E171,Monat!E187)</f>
        <v>0</v>
      </c>
      <c r="F11">
        <f>SUM(Monat!F11,Monat!F27,Monat!F43,Monat!F59,Monat!F75,Monat!F91,Monat!F107+Monat!F123,Monat!F139,Monat!F155,Monat!F171,Monat!F187)</f>
        <v>0</v>
      </c>
      <c r="G11">
        <f>SUM(Monat!G11,Monat!G27,Monat!G43,Monat!G59,Monat!G75,Monat!G91,Monat!G107+Monat!G123,Monat!G139,Monat!G155,Monat!G171,Monat!G187)</f>
        <v>13</v>
      </c>
      <c r="H11">
        <f>SUM(Monat!H11,Monat!H27,Monat!H43,Monat!H59,Monat!H75,Monat!H91,Monat!H107+Monat!H123,Monat!H139,Monat!H155,Monat!H171,Monat!H187)</f>
        <v>4</v>
      </c>
      <c r="I11" s="6">
        <f>SUM(Monat!I11,Monat!I27,Monat!I43,Monat!I59,Monat!I75,Monat!I91,Monat!I107+Monat!I123,Monat!I139,Monat!I155,Monat!I171,Monat!I187)</f>
        <v>1</v>
      </c>
      <c r="J11">
        <f>SUM(Monat!J11,Monat!J27,Monat!J43,Monat!J59,Monat!J75,Monat!J91,Monat!J107+Monat!J123,Monat!J139,Monat!J155,Monat!J171,Monat!J187)</f>
        <v>39</v>
      </c>
      <c r="K11" s="6">
        <f>SUM(Monat!K11,Monat!K27,Monat!K43,Monat!K59,Monat!K75,Monat!K91,Monat!K107+Monat!K123,Monat!K139,Monat!K155,Monat!K171,Monat!K187)</f>
        <v>44</v>
      </c>
      <c r="L11" s="23">
        <f>SUM(Monat!L11,Monat!L27,Monat!L43,Monat!L59,Monat!L75,Monat!L91,Monat!L107+Monat!L123,Monat!L139,Monat!L155,Monat!L171,Monat!L187)</f>
        <v>2</v>
      </c>
      <c r="M11" s="6">
        <f>SUM(Monat!M11,Monat!M27,Monat!M43,Monat!M59,Monat!M75,Monat!M91,Monat!M107+Monat!M123,Monat!M139,Monat!M155,Monat!M171,Monat!M187)</f>
        <v>0</v>
      </c>
      <c r="N11">
        <f>SUM(Monat!N11,Monat!N27,Monat!N43,Monat!N59,Monat!N75,Monat!N91,Monat!N107+Monat!N123,Monat!N139,Monat!N155,Monat!N171,Monat!N187)</f>
        <v>0</v>
      </c>
      <c r="O11" s="6">
        <f>SUM(Monat!O11,Monat!O27,Monat!O43,Monat!O59,Monat!O75,Monat!O91,Monat!O107+Monat!O123,Monat!O139,Monat!O155,Monat!O171,Monat!O187)</f>
        <v>7</v>
      </c>
      <c r="P11" s="23">
        <f>SUM(Monat!P11,Monat!P27,Monat!P43,Monat!P59,Monat!P75,Monat!P91,Monat!P107+Monat!P123,Monat!P139,Monat!P155,Monat!P171,Monat!P187)</f>
        <v>6</v>
      </c>
      <c r="Q11" s="6">
        <f>SUM(Monat!Q11,Monat!Q27,Monat!Q43,Monat!Q59,Monat!Q75,Monat!Q91,Monat!Q107+Monat!Q123,Monat!Q139,Monat!Q155,Monat!Q171,Monat!Q187)</f>
        <v>0</v>
      </c>
      <c r="R11" s="23">
        <f>SUM(Monat!R11,Monat!R27,Monat!R43,Monat!R59,Monat!R75,Monat!R91,Monat!R107+Monat!R123,Monat!R139,Monat!R155,Monat!R171,Monat!R187)</f>
        <v>0</v>
      </c>
      <c r="S11" s="6">
        <f>SUM(Monat!S11,Monat!S27,Monat!S43,Monat!S59,Monat!S75,Monat!S91,Monat!S107+Monat!S123,Monat!S139,Monat!S155,Monat!S171,Monat!S187)</f>
        <v>0</v>
      </c>
    </row>
    <row r="12" spans="2:20" x14ac:dyDescent="0.25">
      <c r="B12" s="2" t="str">
        <f>Dienstplan!B16</f>
        <v>Putschler</v>
      </c>
      <c r="C12" s="6">
        <f>SUM(Monat!C12,Monat!C28,Monat!C44,Monat!C60,Monat!C76,Monat!C92,Monat!C108+Monat!C124,Monat!C140,Monat!C156,Monat!C172,Monat!C188)</f>
        <v>2</v>
      </c>
      <c r="D12">
        <f>SUM(Monat!D12,Monat!D28,Monat!D44,Monat!D60,Monat!D76,Monat!D92,Monat!D108+Monat!D124,Monat!D140,Monat!D156,Monat!D172,Monat!D188)</f>
        <v>0</v>
      </c>
      <c r="E12" s="6">
        <f>SUM(Monat!E12,Monat!E28,Monat!E44,Monat!E60,Monat!E76,Monat!E92,Monat!E108+Monat!E124,Monat!E140,Monat!E156,Monat!E172,Monat!E188)</f>
        <v>0</v>
      </c>
      <c r="F12">
        <f>SUM(Monat!F12,Monat!F28,Monat!F44,Monat!F60,Monat!F76,Monat!F92,Monat!F108+Monat!F124,Monat!F140,Monat!F156,Monat!F172,Monat!F188)</f>
        <v>0</v>
      </c>
      <c r="G12">
        <f>SUM(Monat!G12,Monat!G28,Monat!G44,Monat!G60,Monat!G76,Monat!G92,Monat!G108+Monat!G124,Monat!G140,Monat!G156,Monat!G172,Monat!G188)</f>
        <v>0</v>
      </c>
      <c r="H12">
        <f>SUM(Monat!H12,Monat!H28,Monat!H44,Monat!H60,Monat!H76,Monat!H92,Monat!H108+Monat!H124,Monat!H140,Monat!H156,Monat!H172,Monat!H188)</f>
        <v>0</v>
      </c>
      <c r="I12" s="6">
        <f>SUM(Monat!I12,Monat!I28,Monat!I44,Monat!I60,Monat!I76,Monat!I92,Monat!I108+Monat!I124,Monat!I140,Monat!I156,Monat!I172,Monat!I188)</f>
        <v>0</v>
      </c>
      <c r="J12">
        <f>SUM(Monat!J12,Monat!J28,Monat!J44,Monat!J60,Monat!J76,Monat!J92,Monat!J108+Monat!J124,Monat!J140,Monat!J156,Monat!J172,Monat!J188)</f>
        <v>2</v>
      </c>
      <c r="K12" s="6">
        <f>SUM(Monat!K12,Monat!K28,Monat!K44,Monat!K60,Monat!K76,Monat!K92,Monat!K108+Monat!K124,Monat!K140,Monat!K156,Monat!K172,Monat!K188)</f>
        <v>39</v>
      </c>
      <c r="L12" s="23">
        <f>SUM(Monat!L12,Monat!L28,Monat!L44,Monat!L60,Monat!L76,Monat!L92,Monat!L108+Monat!L124,Monat!L140,Monat!L156,Monat!L172,Monat!L188)</f>
        <v>1</v>
      </c>
      <c r="M12" s="6">
        <f>SUM(Monat!M12,Monat!M28,Monat!M44,Monat!M60,Monat!M76,Monat!M92,Monat!M108+Monat!M124,Monat!M140,Monat!M156,Monat!M172,Monat!M188)</f>
        <v>69</v>
      </c>
      <c r="N12">
        <f>SUM(Monat!N12,Monat!N28,Monat!N44,Monat!N60,Monat!N76,Monat!N92,Monat!N108+Monat!N124,Monat!N140,Monat!N156,Monat!N172,Monat!N188)</f>
        <v>0</v>
      </c>
      <c r="O12" s="6">
        <f>SUM(Monat!O12,Monat!O28,Monat!O44,Monat!O60,Monat!O76,Monat!O92,Monat!O108+Monat!O124,Monat!O140,Monat!O156,Monat!O172,Monat!O188)</f>
        <v>2</v>
      </c>
      <c r="P12" s="23">
        <f>SUM(Monat!P12,Monat!P28,Monat!P44,Monat!P60,Monat!P76,Monat!P92,Monat!P108+Monat!P124,Monat!P140,Monat!P156,Monat!P172,Monat!P188)</f>
        <v>2</v>
      </c>
      <c r="Q12" s="6">
        <f>SUM(Monat!Q12,Monat!Q28,Monat!Q44,Monat!Q60,Monat!Q76,Monat!Q92,Monat!Q108+Monat!Q124,Monat!Q140,Monat!Q156,Monat!Q172,Monat!Q188)</f>
        <v>0</v>
      </c>
      <c r="R12" s="23">
        <f>SUM(Monat!R12,Monat!R28,Monat!R44,Monat!R60,Monat!R76,Monat!R92,Monat!R108+Monat!R124,Monat!R140,Monat!R156,Monat!R172,Monat!R188)</f>
        <v>0</v>
      </c>
      <c r="S12" s="6">
        <f>SUM(Monat!S12,Monat!S28,Monat!S44,Monat!S60,Monat!S76,Monat!S92,Monat!S108+Monat!S124,Monat!S140,Monat!S156,Monat!S172,Monat!S188)</f>
        <v>0</v>
      </c>
    </row>
    <row r="13" spans="2:20" x14ac:dyDescent="0.25">
      <c r="B13" s="2" t="str">
        <f>Dienstplan!B18</f>
        <v>Schmidt</v>
      </c>
      <c r="C13" s="6">
        <f>SUM(Monat!C13,Monat!C29,Monat!C45,Monat!C61,Monat!C77,Monat!C93,Monat!C109+Monat!C125,Monat!C141,Monat!C157,Monat!C173,Monat!C189)</f>
        <v>0</v>
      </c>
      <c r="D13">
        <f>SUM(Monat!D13,Monat!D29,Monat!D45,Monat!D61,Monat!D77,Monat!D93,Monat!D109+Monat!D125,Monat!D141,Monat!D157,Monat!D173,Monat!D189)</f>
        <v>0</v>
      </c>
      <c r="E13" s="6">
        <f>SUM(Monat!E13,Monat!E29,Monat!E45,Monat!E61,Monat!E77,Monat!E93,Monat!E109+Monat!E125,Monat!E141,Monat!E157,Monat!E173,Monat!E189)</f>
        <v>0</v>
      </c>
      <c r="F13">
        <f>SUM(Monat!F13,Monat!F29,Monat!F45,Monat!F61,Monat!F77,Monat!F93,Monat!F109+Monat!F125,Monat!F141,Monat!F157,Monat!F173,Monat!F189)</f>
        <v>0</v>
      </c>
      <c r="G13">
        <f>SUM(Monat!G13,Monat!G29,Monat!G45,Monat!G61,Monat!G77,Monat!G93,Monat!G109+Monat!G125,Monat!G141,Monat!G157,Monat!G173,Monat!G189)</f>
        <v>0</v>
      </c>
      <c r="H13">
        <f>SUM(Monat!H13,Monat!H29,Monat!H45,Monat!H61,Monat!H77,Monat!H93,Monat!H109+Monat!H125,Monat!H141,Monat!H157,Monat!H173,Monat!H189)</f>
        <v>0</v>
      </c>
      <c r="I13" s="6">
        <f>SUM(Monat!I13,Monat!I29,Monat!I45,Monat!I61,Monat!I77,Monat!I93,Monat!I109+Monat!I125,Monat!I141,Monat!I157,Monat!I173,Monat!I189)</f>
        <v>0</v>
      </c>
      <c r="J13">
        <f>SUM(Monat!J13,Monat!J29,Monat!J45,Monat!J61,Monat!J77,Monat!J93,Monat!J109+Monat!J125,Monat!J141,Monat!J157,Monat!J173,Monat!J189)</f>
        <v>0</v>
      </c>
      <c r="K13" s="6">
        <f>SUM(Monat!K13,Monat!K29,Monat!K45,Monat!K61,Monat!K77,Monat!K93,Monat!K109+Monat!K125,Monat!K141,Monat!K157,Monat!K173,Monat!K189)</f>
        <v>39</v>
      </c>
      <c r="L13" s="23">
        <f>SUM(Monat!L13,Monat!L29,Monat!L45,Monat!L61,Monat!L77,Monat!L93,Monat!L109+Monat!L125,Monat!L141,Monat!L157,Monat!L173,Monat!L189)</f>
        <v>0</v>
      </c>
      <c r="M13" s="6">
        <f>SUM(Monat!M13,Monat!M29,Monat!M45,Monat!M61,Monat!M77,Monat!M93,Monat!M109+Monat!M125,Monat!M141,Monat!M157,Monat!M173,Monat!M189)</f>
        <v>0</v>
      </c>
      <c r="N13">
        <f>SUM(Monat!N13,Monat!N29,Monat!N45,Monat!N61,Monat!N77,Monat!N93,Monat!N109+Monat!N125,Monat!N141,Monat!N157,Monat!N173,Monat!N189)</f>
        <v>0</v>
      </c>
      <c r="O13" s="6">
        <f>SUM(Monat!O13,Monat!O29,Monat!O45,Monat!O61,Monat!O77,Monat!O93,Monat!O109+Monat!O125,Monat!O141,Monat!O157,Monat!O173,Monat!O189)</f>
        <v>0</v>
      </c>
      <c r="P13" s="23">
        <f>SUM(Monat!P13,Monat!P29,Monat!P45,Monat!P61,Monat!P77,Monat!P93,Monat!P109+Monat!P125,Monat!P141,Monat!P157,Monat!P173,Monat!P189)</f>
        <v>0</v>
      </c>
      <c r="Q13" s="6">
        <f>SUM(Monat!Q13,Monat!Q29,Monat!Q45,Monat!Q61,Monat!Q77,Monat!Q93,Monat!Q109+Monat!Q125,Monat!Q141,Monat!Q157,Monat!Q173,Monat!Q189)</f>
        <v>0</v>
      </c>
      <c r="R13" s="23">
        <f>SUM(Monat!R13,Monat!R29,Monat!R45,Monat!R61,Monat!R77,Monat!R93,Monat!R109+Monat!R125,Monat!R141,Monat!R157,Monat!R173,Monat!R189)</f>
        <v>0</v>
      </c>
      <c r="S13" s="6">
        <f>SUM(Monat!S13,Monat!S29,Monat!S45,Monat!S61,Monat!S77,Monat!S93,Monat!S109+Monat!S125,Monat!S141,Monat!S157,Monat!S173,Monat!S189)</f>
        <v>0</v>
      </c>
    </row>
    <row r="14" spans="2:20" x14ac:dyDescent="0.25">
      <c r="B14" s="2" t="str">
        <f>Dienstplan!B19</f>
        <v>Radimersky</v>
      </c>
      <c r="C14" s="6">
        <f>SUM(Monat!C14,Monat!C30,Monat!C46,Monat!C62,Monat!C78,Monat!C94,Monat!C110+Monat!C126,Monat!C142,Monat!C158,Monat!C174,Monat!C190)</f>
        <v>0</v>
      </c>
      <c r="D14">
        <f>SUM(Monat!D14,Monat!D30,Monat!D46,Monat!D62,Monat!D78,Monat!D94,Monat!D110+Monat!D126,Monat!D142,Monat!D158,Monat!D174,Monat!D190)</f>
        <v>0</v>
      </c>
      <c r="E14" s="6">
        <f>SUM(Monat!E14,Monat!E30,Monat!E46,Monat!E62,Monat!E78,Monat!E94,Monat!E110+Monat!E126,Monat!E142,Monat!E158,Monat!E174,Monat!E190)</f>
        <v>0</v>
      </c>
      <c r="F14">
        <f>SUM(Monat!F14,Monat!F30,Monat!F46,Monat!F62,Monat!F78,Monat!F94,Monat!F110+Monat!F126,Monat!F142,Monat!F158,Monat!F174,Monat!F190)</f>
        <v>0</v>
      </c>
      <c r="G14">
        <f>SUM(Monat!G14,Monat!G30,Monat!G46,Monat!G62,Monat!G78,Monat!G94,Monat!G110+Monat!G126,Monat!G142,Monat!G158,Monat!G174,Monat!G190)</f>
        <v>0</v>
      </c>
      <c r="H14">
        <f>SUM(Monat!H14,Monat!H30,Monat!H46,Monat!H62,Monat!H78,Monat!H94,Monat!H110+Monat!H126,Monat!H142,Monat!H158,Monat!H174,Monat!H190)</f>
        <v>0</v>
      </c>
      <c r="I14" s="6">
        <f>SUM(Monat!I14,Monat!I30,Monat!I46,Monat!I62,Monat!I78,Monat!I94,Monat!I110+Monat!I126,Monat!I142,Monat!I158,Monat!I174,Monat!I190)</f>
        <v>0</v>
      </c>
      <c r="J14">
        <f>SUM(Monat!J14,Monat!J30,Monat!J46,Monat!J62,Monat!J78,Monat!J94,Monat!J110+Monat!J126,Monat!J142,Monat!J158,Monat!J174,Monat!J190)</f>
        <v>0</v>
      </c>
      <c r="K14" s="6">
        <f>SUM(Monat!K14,Monat!K30,Monat!K46,Monat!K62,Monat!K78,Monat!K94,Monat!K110+Monat!K126,Monat!K142,Monat!K158,Monat!K174,Monat!K190)</f>
        <v>41</v>
      </c>
      <c r="L14" s="23">
        <f>SUM(Monat!L14,Monat!L30,Monat!L46,Monat!L62,Monat!L78,Monat!L94,Monat!L110+Monat!L126,Monat!L142,Monat!L158,Monat!L174,Monat!L190)</f>
        <v>0</v>
      </c>
      <c r="M14" s="6">
        <f>SUM(Monat!M14,Monat!M30,Monat!M46,Monat!M62,Monat!M78,Monat!M94,Monat!M110+Monat!M126,Monat!M142,Monat!M158,Monat!M174,Monat!M190)</f>
        <v>0</v>
      </c>
      <c r="N14">
        <f>SUM(Monat!N14,Monat!N30,Monat!N46,Monat!N62,Monat!N78,Monat!N94,Monat!N110+Monat!N126,Monat!N142,Monat!N158,Monat!N174,Monat!N190)</f>
        <v>0</v>
      </c>
      <c r="O14" s="6">
        <f>SUM(Monat!O14,Monat!O30,Monat!O46,Monat!O62,Monat!O78,Monat!O94,Monat!O110+Monat!O126,Monat!O142,Monat!O158,Monat!O174,Monat!O190)</f>
        <v>0</v>
      </c>
      <c r="P14" s="23">
        <f>SUM(Monat!P14,Monat!P30,Monat!P46,Monat!P62,Monat!P78,Monat!P94,Monat!P110+Monat!P126,Monat!P142,Monat!P158,Monat!P174,Monat!P190)</f>
        <v>0</v>
      </c>
      <c r="Q14" s="6">
        <f>SUM(Monat!Q14,Monat!Q30,Monat!Q46,Monat!Q62,Monat!Q78,Monat!Q94,Monat!Q110+Monat!Q126,Monat!Q142,Monat!Q158,Monat!Q174,Monat!Q190)</f>
        <v>0</v>
      </c>
      <c r="R14" s="23">
        <f>SUM(Monat!R14,Monat!R30,Monat!R46,Monat!R62,Monat!R78,Monat!R94,Monat!R110+Monat!R126,Monat!R142,Monat!R158,Monat!R174,Monat!R190)</f>
        <v>0</v>
      </c>
      <c r="S14" s="6">
        <f>SUM(Monat!S14,Monat!S30,Monat!S46,Monat!S62,Monat!S78,Monat!S94,Monat!S110+Monat!S126,Monat!S142,Monat!S158,Monat!S174,Monat!S190)</f>
        <v>0</v>
      </c>
    </row>
    <row r="15" spans="2:20" x14ac:dyDescent="0.25">
      <c r="B15" s="2" t="s">
        <v>23</v>
      </c>
      <c r="C15" s="5">
        <f>SUM(Monat!C16,Monat!C32,Monat!C48,Monat!C64,Monat!C80,Monat!C96,Monat!C112+Monat!C128,Monat!C144,Monat!C160,Monat!C176,Monat!C192)</f>
        <v>94</v>
      </c>
      <c r="D15" s="5">
        <f>SUM(Monat!D16,Monat!D32,Monat!D48,Monat!D64,Monat!D80,Monat!D96,Monat!D112+Monat!D128,Monat!D144,Monat!D160,Monat!D176,Monat!D192)</f>
        <v>64</v>
      </c>
      <c r="E15" s="5">
        <f>SUM(Monat!E16,Monat!E32,Monat!E48,Monat!E64,Monat!E80,Monat!E96,Monat!E112+Monat!E128,Monat!E144,Monat!E160,Monat!E176,Monat!E192)</f>
        <v>137</v>
      </c>
      <c r="F15" s="5">
        <f>SUM(Monat!F16,Monat!F32,Monat!F48,Monat!F64,Monat!F80,Monat!F96,Monat!F112+Monat!F128,Monat!F144,Monat!F160,Monat!F176,Monat!F192)</f>
        <v>259</v>
      </c>
      <c r="G15" s="5">
        <f>SUM(Monat!G16,Monat!G32,Monat!G48,Monat!G64,Monat!G80,Monat!G96,Monat!G112+Monat!G128,Monat!G144,Monat!G160,Monat!G176,Monat!G192)</f>
        <v>57</v>
      </c>
      <c r="H15" s="5">
        <f>SUM(Monat!H16,Monat!H32,Monat!H48,Monat!H64,Monat!H80,Monat!H96,Monat!H112+Monat!H128,Monat!H144,Monat!H160,Monat!H176,Monat!H192)</f>
        <v>14</v>
      </c>
      <c r="I15" s="5">
        <f>SUM(Monat!I16,Monat!I32,Monat!I48,Monat!I64,Monat!I80,Monat!I96,Monat!I112+Monat!I128,Monat!I144,Monat!I160,Monat!I176,Monat!I192)</f>
        <v>17</v>
      </c>
      <c r="J15" s="5">
        <f>SUM(Monat!J16,Monat!J32,Monat!J48,Monat!J64,Monat!J80,Monat!J96,Monat!J112+Monat!J128,Monat!J144,Monat!J160,Monat!J176,Monat!J192)</f>
        <v>55</v>
      </c>
      <c r="K15" s="5">
        <f>SUM(Monat!K16,Monat!K32,Monat!K48,Monat!K64,Monat!K80,Monat!K96,Monat!K112+Monat!K128,Monat!K144,Monat!K160,Monat!K176,Monat!K192)</f>
        <v>389</v>
      </c>
      <c r="L15" s="5">
        <f>SUM(Monat!L16,Monat!L32,Monat!L48,Monat!L64,Monat!L80,Monat!L96,Monat!L112+Monat!L128,Monat!L144,Monat!L160,Monat!L176,Monat!L192)</f>
        <v>11</v>
      </c>
      <c r="M15" s="5">
        <f>SUM(Monat!M16,Monat!M32,Monat!M48,Monat!M64,Monat!M80,Monat!M96,Monat!M112+Monat!M128,Monat!M144,Monat!M160,Monat!M176,Monat!M192)</f>
        <v>69</v>
      </c>
      <c r="N15" s="5">
        <f>SUM(Monat!N16,Monat!N32,Monat!N48,Monat!N64,Monat!N80,Monat!N96,Monat!N112+Monat!N128,Monat!N144,Monat!N160,Monat!N176,Monat!N192)</f>
        <v>0</v>
      </c>
      <c r="O15" s="5">
        <f>SUM(Monat!O16,Monat!O32,Monat!O48,Monat!O64,Monat!O80,Monat!O96,Monat!O112+Monat!O128,Monat!O144,Monat!O160,Monat!O176,Monat!O192)</f>
        <v>33</v>
      </c>
      <c r="P15" s="5">
        <f>SUM(Monat!P16,Monat!P32,Monat!P48,Monat!P64,Monat!P80,Monat!P96,Monat!P112+Monat!P128,Monat!P144,Monat!P160,Monat!P176,Monat!P192)</f>
        <v>15</v>
      </c>
      <c r="Q15" s="5">
        <f>SUM(Monat!Q16,Monat!Q32,Monat!Q48,Monat!Q64,Monat!Q80,Monat!Q96,Monat!Q112+Monat!Q128,Monat!Q144,Monat!Q160,Monat!Q176,Monat!Q192)</f>
        <v>0</v>
      </c>
      <c r="R15" s="5">
        <f>SUM(Monat!R16,Monat!R32,Monat!R48,Monat!R64,Monat!R80,Monat!R96,Monat!R112+Monat!R128,Monat!R144,Monat!R160,Monat!R176,Monat!R192)</f>
        <v>0</v>
      </c>
      <c r="S15" s="5">
        <f>SUM(Monat!S16,Monat!S32,Monat!S48,Monat!S64,Monat!S80,Monat!S96,Monat!S112+Monat!S128,Monat!S144,Monat!S160,Monat!S176,Monat!S192)</f>
        <v>53</v>
      </c>
    </row>
    <row r="16" spans="2:20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</sheetData>
  <phoneticPr fontId="21" type="noConversion"/>
  <printOptions horizontalCentered="1" gridLines="1"/>
  <pageMargins left="0.19685039370078741" right="0.78740157480314965" top="1.7716535433070868" bottom="0.98425196850393704" header="0.51181102362204722" footer="0.51181102362204722"/>
  <pageSetup paperSize="9" orientation="landscape" r:id="rId1"/>
  <headerFooter alignWithMargins="0">
    <oddHeader>&amp;S&amp;"Arial,Fett"&amp;20Statistik Dienstplan Jahr&amp;R&amp;O</oddHeader>
    <oddFooter>&amp;LDaimler AG
Werksärztlicher Dienst Rastatt
PER/HSW
&amp;CErstellt am: 07.10.2010
von: Manfred Velten
&amp;RVerantwortlich:
Dr.Frei
Druckdatum: &amp;D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AJ193"/>
  <sheetViews>
    <sheetView zoomScaleNormal="100" workbookViewId="0">
      <pane xSplit="2" topLeftCell="C1" activePane="topRight" state="frozen"/>
      <selection pane="topRight" activeCell="AE27" sqref="AE27"/>
    </sheetView>
  </sheetViews>
  <sheetFormatPr baseColWidth="10" defaultColWidth="11.44140625" defaultRowHeight="13.2" x14ac:dyDescent="0.25"/>
  <cols>
    <col min="1" max="1" width="3.109375" customWidth="1"/>
    <col min="2" max="2" width="13.109375" bestFit="1" customWidth="1"/>
    <col min="3" max="14" width="6.88671875" customWidth="1"/>
    <col min="15" max="17" width="6.6640625" customWidth="1"/>
    <col min="18" max="18" width="6.88671875" customWidth="1"/>
    <col min="19" max="19" width="6.6640625" customWidth="1"/>
    <col min="20" max="23" width="8.6640625" customWidth="1"/>
    <col min="24" max="24" width="3.109375" customWidth="1"/>
    <col min="25" max="25" width="13.109375" bestFit="1" customWidth="1"/>
    <col min="26" max="26" width="6.5546875" customWidth="1"/>
    <col min="28" max="28" width="10" bestFit="1" customWidth="1"/>
    <col min="29" max="29" width="6" bestFit="1" customWidth="1"/>
    <col min="30" max="30" width="13.44140625" bestFit="1" customWidth="1"/>
    <col min="32" max="32" width="6.33203125" bestFit="1" customWidth="1"/>
    <col min="34" max="34" width="6" bestFit="1" customWidth="1"/>
    <col min="35" max="35" width="13.44140625" bestFit="1" customWidth="1"/>
  </cols>
  <sheetData>
    <row r="1" spans="1:36" ht="13.8" thickBot="1" x14ac:dyDescent="0.3">
      <c r="A1" s="1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"/>
      <c r="T1" s="1"/>
      <c r="U1" s="1"/>
      <c r="V1" s="12"/>
      <c r="W1" s="17"/>
      <c r="Y1" s="16"/>
      <c r="Z1" s="16"/>
      <c r="AA1" s="16"/>
      <c r="AB1" s="16"/>
      <c r="AC1" s="16"/>
    </row>
    <row r="2" spans="1:36" ht="13.8" thickTop="1" x14ac:dyDescent="0.25">
      <c r="A2" s="11"/>
      <c r="B2" s="26" t="s">
        <v>0</v>
      </c>
      <c r="D2" s="365" t="s">
        <v>34</v>
      </c>
      <c r="E2" s="366"/>
      <c r="F2" s="36">
        <v>21</v>
      </c>
      <c r="G2" s="109"/>
      <c r="H2" s="18"/>
      <c r="I2" s="365" t="s">
        <v>51</v>
      </c>
      <c r="J2" s="366"/>
      <c r="K2" s="36">
        <v>4</v>
      </c>
      <c r="S2" s="11"/>
      <c r="V2" s="11"/>
      <c r="W2" s="20"/>
      <c r="Y2" s="32" t="s">
        <v>32</v>
      </c>
      <c r="Z2" s="33" t="s">
        <v>35</v>
      </c>
      <c r="AA2" s="34" t="s">
        <v>67</v>
      </c>
      <c r="AB2" s="35" t="s">
        <v>33</v>
      </c>
      <c r="AC2" s="33" t="s">
        <v>36</v>
      </c>
      <c r="AD2" s="34" t="s">
        <v>62</v>
      </c>
      <c r="AF2" s="2"/>
      <c r="AG2" s="2"/>
      <c r="AH2" s="2"/>
      <c r="AI2" s="2"/>
      <c r="AJ2" s="2"/>
    </row>
    <row r="3" spans="1:36" x14ac:dyDescent="0.25">
      <c r="A3" s="11"/>
      <c r="B3" s="11"/>
      <c r="C3" s="4" t="str">
        <f>Jahr!C3</f>
        <v>FI</v>
      </c>
      <c r="D3" s="4" t="str">
        <f>Jahr!D3</f>
        <v>FII</v>
      </c>
      <c r="E3" s="4" t="str">
        <f>Jahr!E3</f>
        <v>SI</v>
      </c>
      <c r="F3" s="4" t="str">
        <f>Jahr!F3</f>
        <v>NI</v>
      </c>
      <c r="G3" s="4" t="str">
        <f>Jahr!G3</f>
        <v>DI</v>
      </c>
      <c r="H3" s="4" t="str">
        <f>Jahr!H3</f>
        <v>DII</v>
      </c>
      <c r="I3" s="4" t="str">
        <f>Jahr!I3</f>
        <v>SD</v>
      </c>
      <c r="J3" s="4" t="str">
        <f>Jahr!J3</f>
        <v>GT</v>
      </c>
      <c r="K3" s="4" t="str">
        <f>Jahr!K3</f>
        <v>U</v>
      </c>
      <c r="L3" s="4" t="str">
        <f>Jahr!L3</f>
        <v>EH</v>
      </c>
      <c r="M3" s="4" t="str">
        <f>Jahr!M3</f>
        <v>KT</v>
      </c>
      <c r="N3" s="4" t="str">
        <f>Jahr!N3</f>
        <v>Sek</v>
      </c>
      <c r="O3" s="4" t="str">
        <f>Jahr!O3</f>
        <v>Fobi</v>
      </c>
      <c r="P3" s="4" t="str">
        <f>Jahr!P3</f>
        <v>A</v>
      </c>
      <c r="Q3" s="4" t="str">
        <f>Jahr!Q3</f>
        <v>Kur</v>
      </c>
      <c r="R3" s="4" t="str">
        <f>Jahr!R3</f>
        <v>FZC</v>
      </c>
      <c r="S3" s="4" t="str">
        <f>Jahr!S3</f>
        <v>NST</v>
      </c>
      <c r="T3" s="4" t="s">
        <v>37</v>
      </c>
      <c r="U3" s="4" t="s">
        <v>38</v>
      </c>
      <c r="V3" s="13" t="s">
        <v>39</v>
      </c>
      <c r="W3" s="21" t="s">
        <v>52</v>
      </c>
      <c r="X3" s="22"/>
      <c r="Y3" s="2" t="str">
        <f t="shared" ref="Y3:Y9" si="0">B4</f>
        <v>Breig</v>
      </c>
      <c r="Z3" s="37">
        <v>8</v>
      </c>
      <c r="AA3" s="38">
        <v>0</v>
      </c>
      <c r="AB3" s="28" t="s">
        <v>71</v>
      </c>
      <c r="AC3" s="37">
        <v>7.25</v>
      </c>
      <c r="AD3" s="39">
        <f>SUM(Z3*30)</f>
        <v>240</v>
      </c>
      <c r="AF3" s="23"/>
      <c r="AG3" s="23"/>
      <c r="AH3" s="23"/>
      <c r="AI3" s="23"/>
    </row>
    <row r="4" spans="1:36" x14ac:dyDescent="0.25">
      <c r="A4" s="11"/>
      <c r="B4" s="27" t="str">
        <f>Dienstplan!B8</f>
        <v>Breig</v>
      </c>
      <c r="C4">
        <f>SUMPRODUCT((ISNUMBER(SEARCH($Y3,Dienstplan!$B$8:$B$19))*(ISNUMBER(SEARCH($AB$3,Dienstplan!$C$8:$AG$19)))))-D4</f>
        <v>0</v>
      </c>
      <c r="D4">
        <f>SUMPRODUCT((ISNUMBER(SEARCH($Y3,Dienstplan!$B$8:$B$19))*(ISNUMBER(SEARCH($AB$4,Dienstplan!$C$8:$AG$19)))))</f>
        <v>6</v>
      </c>
      <c r="E4">
        <f>SUMPRODUCT((ISNUMBER(SEARCH($Y3,Dienstplan!$B$8:$B$19))*(ISNUMBER(SEARCH($AB$5,Dienstplan!$C$8:$AG$19)))))</f>
        <v>5</v>
      </c>
      <c r="F4">
        <f>SUMPRODUCT((ISNUMBER(SEARCH($Y3,Dienstplan!$B$8:$B$19))*(ISNUMBER(SEARCH($AB6,Dienstplan!$C$8:$AG$19)))))-1</f>
        <v>1</v>
      </c>
      <c r="G4">
        <f>SUMPRODUCT((ISNUMBER(SEARCH($Y3,Dienstplan!$B$8:$B$19))*(ISNUMBER(SEARCH(AB$7,Dienstplan!$C$8:$AG$19)))))-H4</f>
        <v>2</v>
      </c>
      <c r="H4">
        <f>SUMPRODUCT((ISNUMBER(SEARCH($Y3,Dienstplan!$B$8:$B$19))*(ISNUMBER(SEARCH(AB$8,Dienstplan!$C$8:$AG$19)))))</f>
        <v>0</v>
      </c>
      <c r="I4">
        <f>SUMPRODUCT((ISNUMBER(SEARCH($Y3,Dienstplan!$B$8:$B$19))*(ISNUMBER(SEARCH($AB$9,Dienstplan!$C$8:$AG$19)))))</f>
        <v>0</v>
      </c>
      <c r="J4">
        <f>SUMPRODUCT((ISNUMBER(SEARCH($Y3,Dienstplan!$B$8:$B$19))*(ISNUMBER(SEARCH($AB$10,Dienstplan!$C$8:$AG$19)))))</f>
        <v>1</v>
      </c>
      <c r="K4">
        <f>SUMPRODUCT((ISNUMBER(SEARCH($Y3,Dienstplan!$B$8:$B$19))*(ISNUMBER(SEARCH($AB$11,Dienstplan!$C$8:$AG$19)))))-$Q4</f>
        <v>4</v>
      </c>
      <c r="L4">
        <f>SUMPRODUCT((ISNUMBER(SEARCH($Y3,Dienstplan!$B$8:$B$19))*(ISNUMBER(SEARCH($AB$12,Dienstplan!$C$8:$AG$19)))))</f>
        <v>0</v>
      </c>
      <c r="M4">
        <f>SUMPRODUCT((ISNUMBER(SEARCH($Y3,Dienstplan!$B$8:$B$19))*(ISNUMBER(SEARCH($AB$13,Dienstplan!$C$8:$AG$19)))))</f>
        <v>0</v>
      </c>
      <c r="N4">
        <f>SUMPRODUCT((ISNUMBER(SEARCH($Y3,Dienstplan!$B$8:$B$19))*(ISNUMBER(SEARCH($AB$14,Dienstplan!$C$8:$AG$19)))))</f>
        <v>0</v>
      </c>
      <c r="O4">
        <f>SUMPRODUCT((ISNUMBER(SEARCH($Y3,Dienstplan!$B$8:$B$19))*(ISNUMBER(SEARCH($AB$15,Dienstplan!$C$8:$AG$19)))))</f>
        <v>0</v>
      </c>
      <c r="P4">
        <f>SUMPRODUCT((ISNUMBER(SEARCH($Y3,Dienstplan!$B$8:$B$19))*(ISNUMBER(SEARCH($AB$16,Dienstplan!$C$8:$AG$19)))))</f>
        <v>2</v>
      </c>
      <c r="Q4">
        <f>SUMPRODUCT((ISNUMBER(SEARCH($Y3,Dienstplan!$B$8:$B$19))*(ISNUMBER(SEARCH($AB$17,Dienstplan!$C$8:$AG$19)))))</f>
        <v>0</v>
      </c>
      <c r="R4">
        <f>SUMPRODUCT((ISNUMBER(SEARCH($Y3,Dienstplan!$B$8:$B$19))*(ISNUMBER(SEARCH($AB$18,Dienstplan!$C$8:$AG$19)))))</f>
        <v>0</v>
      </c>
      <c r="S4" s="11">
        <f>SUMPRODUCT((ISNUMBER(SEARCH($Y3,Dienstplan!$B$8:$B$19))*(ISNUMBER(SEARCH($AB$19,Dienstplan!$C$8:$AG$19)))))</f>
        <v>0</v>
      </c>
      <c r="T4">
        <f>SUM($F$2*$Z3)</f>
        <v>168</v>
      </c>
      <c r="U4" s="14">
        <f>SUM($C4*Frueh_1+$D4*Spaet_1+$E4*Nacht_1+$F4*Normal_1+$I4*Sonderd_1-$J4*Velten+$K4*Velten+$L4*EH_Kurs+$M4*Koor_taet+$N4*Sekre_1+$O4*Velten+$R4*Velten+$P4*Velten+$Q4*Velten+G4*Unt_I+H4*Unt_II)</f>
        <v>146</v>
      </c>
      <c r="V4" s="11">
        <f>SUM($U4-$T4)</f>
        <v>-22</v>
      </c>
      <c r="W4" s="20">
        <f>V4+AA3</f>
        <v>-22</v>
      </c>
      <c r="X4" s="22"/>
      <c r="Y4" s="2" t="str">
        <f t="shared" si="0"/>
        <v>Siebert</v>
      </c>
      <c r="Z4" s="37">
        <v>7</v>
      </c>
      <c r="AA4" s="38">
        <v>0</v>
      </c>
      <c r="AB4" s="28" t="s">
        <v>50</v>
      </c>
      <c r="AC4" s="37">
        <v>7.5</v>
      </c>
      <c r="AD4" s="39">
        <f t="shared" ref="AD4:AD8" si="1">SUM(Z4*30)</f>
        <v>210</v>
      </c>
      <c r="AF4" s="23"/>
      <c r="AG4" s="23"/>
      <c r="AH4" s="23"/>
      <c r="AI4" s="23"/>
    </row>
    <row r="5" spans="1:36" x14ac:dyDescent="0.25">
      <c r="A5" s="11"/>
      <c r="B5" s="27" t="str">
        <f>Dienstplan!B9</f>
        <v>Siebert</v>
      </c>
      <c r="C5">
        <f>SUMPRODUCT((ISNUMBER(SEARCH($Y4,Dienstplan!$B$8:$B$19))*(ISNUMBER(SEARCH($AB$3,Dienstplan!$C$8:$AG$19)))))-D5</f>
        <v>6</v>
      </c>
      <c r="D5">
        <f>SUMPRODUCT((ISNUMBER(SEARCH($Y4,Dienstplan!$B$8:$B$19))*(ISNUMBER(SEARCH($AB$4,Dienstplan!$C$8:$AG$19)))))</f>
        <v>3</v>
      </c>
      <c r="E5">
        <f>SUMPRODUCT((ISNUMBER(SEARCH($Y4,Dienstplan!$B$8:$B$19))*(ISNUMBER(SEARCH($AB$5,Dienstplan!$C$8:$AG$19)))))</f>
        <v>5</v>
      </c>
      <c r="F5">
        <f>SUMPRODUCT((ISNUMBER(SEARCH($Y4,Dienstplan!$B$8:$B$19))*(ISNUMBER(SEARCH($AB$6,Dienstplan!$C$8:$AG$19)))))</f>
        <v>5</v>
      </c>
      <c r="G5">
        <f>SUMPRODUCT((ISNUMBER(SEARCH($Y4,Dienstplan!$B$8:$B$19))*(ISNUMBER(SEARCH(AB$7,Dienstplan!$C$8:$AG$19)))))-H5</f>
        <v>0</v>
      </c>
      <c r="H5">
        <f>SUMPRODUCT((ISNUMBER(SEARCH($Y4,Dienstplan!$B$8:$B$19))*(ISNUMBER(SEARCH(AB$8,Dienstplan!$C$8:$AG$19)))))</f>
        <v>0</v>
      </c>
      <c r="I5">
        <f>SUMPRODUCT((ISNUMBER(SEARCH($Y4,Dienstplan!$B$8:$B$19))*(ISNUMBER(SEARCH($AB$9,Dienstplan!$C$8:$AG$19)))))</f>
        <v>0</v>
      </c>
      <c r="J5">
        <f>SUMPRODUCT((ISNUMBER(SEARCH($Y4,Dienstplan!$B$8:$B$19))*(ISNUMBER(SEARCH($AB$10,Dienstplan!$C$8:$AG$19)))))</f>
        <v>0</v>
      </c>
      <c r="K5">
        <f>SUMPRODUCT((ISNUMBER(SEARCH($Y4,Dienstplan!$B$8:$B$19))*(ISNUMBER(SEARCH($AB$11,Dienstplan!$C$8:$AG$19)))))-$Q5</f>
        <v>1</v>
      </c>
      <c r="L5">
        <f>SUMPRODUCT((ISNUMBER(SEARCH($Y4,Dienstplan!$B$8:$B$19))*(ISNUMBER(SEARCH($AB$12,Dienstplan!$C$8:$AG$19)))))</f>
        <v>0</v>
      </c>
      <c r="M5">
        <f>SUMPRODUCT((ISNUMBER(SEARCH($Y4,Dienstplan!$B$8:$B$19))*(ISNUMBER(SEARCH($AB$13,Dienstplan!$C$8:$AG$19)))))</f>
        <v>0</v>
      </c>
      <c r="N5">
        <f>SUMPRODUCT((ISNUMBER(SEARCH($Y4,Dienstplan!$B$8:$B$19))*(ISNUMBER(SEARCH($AB$14,Dienstplan!$C$8:$AG$19)))))</f>
        <v>0</v>
      </c>
      <c r="O5">
        <f>SUMPRODUCT((ISNUMBER(SEARCH($Y4,Dienstplan!$B$8:$B$19))*(ISNUMBER(SEARCH($AB$15,Dienstplan!$C$8:$AG$19)))))</f>
        <v>0</v>
      </c>
      <c r="P5">
        <f>SUMPRODUCT((ISNUMBER(SEARCH($Y4,Dienstplan!$B$8:$B$19))*(ISNUMBER(SEARCH($AB$16,Dienstplan!$C$8:$AG$19)))))</f>
        <v>1</v>
      </c>
      <c r="Q5">
        <f>SUMPRODUCT((ISNUMBER(SEARCH($Y4,Dienstplan!$B$8:$B$19))*(ISNUMBER(SEARCH($AB$17,Dienstplan!$C$8:$AG$19)))))</f>
        <v>0</v>
      </c>
      <c r="R5">
        <f>SUMPRODUCT((ISNUMBER(SEARCH($Y4,Dienstplan!$B$8:$B$19))*(ISNUMBER(SEARCH($AB$18,Dienstplan!$C$8:$AG$19)))))</f>
        <v>0</v>
      </c>
      <c r="S5" s="11">
        <f>SUMPRODUCT((ISNUMBER(SEARCH($Y4,Dienstplan!$B$8:$B$19))*(ISNUMBER(SEARCH($AB$19,Dienstplan!$C$8:$AG$19)))))</f>
        <v>2</v>
      </c>
      <c r="T5">
        <f t="shared" ref="T5:T9" si="2">SUM($F$2*$Z4)</f>
        <v>147</v>
      </c>
      <c r="U5" s="14">
        <f>SUM($C5*Frueh_1+$D5*Spaet_1+$E5*Nacht_1+$F5*Normal_1+$I5*Sonderd_1-$J5*Brue_H+$K5*Brue_H+$L5*EH_Kurs+$M5*Koor_taet+$N5*Sekre_1+$O5*Brue_H+$R5*Brue_H+$P5*Brue_H+$Q5*Brue_H+G5*Unt_I+H5*Unt_II)</f>
        <v>155</v>
      </c>
      <c r="V5" s="11">
        <f t="shared" ref="V5:V14" si="3">SUM($U5-$T5)</f>
        <v>8</v>
      </c>
      <c r="W5" s="20">
        <f t="shared" ref="W5:W9" si="4">V5+AA4</f>
        <v>8</v>
      </c>
      <c r="X5" s="22"/>
      <c r="Y5" s="2" t="str">
        <f t="shared" si="0"/>
        <v>Jochim</v>
      </c>
      <c r="Z5" s="37">
        <v>7</v>
      </c>
      <c r="AA5" s="38">
        <v>0</v>
      </c>
      <c r="AB5" s="28" t="s">
        <v>72</v>
      </c>
      <c r="AC5" s="37">
        <v>7.5</v>
      </c>
      <c r="AD5" s="39">
        <f t="shared" si="1"/>
        <v>210</v>
      </c>
      <c r="AF5" s="23"/>
      <c r="AG5" s="23"/>
      <c r="AH5" s="23"/>
      <c r="AI5" s="23"/>
    </row>
    <row r="6" spans="1:36" x14ac:dyDescent="0.25">
      <c r="A6" s="11"/>
      <c r="B6" s="27" t="str">
        <f>Dienstplan!B10</f>
        <v>Jochim</v>
      </c>
      <c r="C6">
        <f>SUMPRODUCT((ISNUMBER(SEARCH($Y5,Dienstplan!$B$8:$B$19))*(ISNUMBER(SEARCH($AB$3,Dienstplan!$C$8:$AG$19)))))-D6</f>
        <v>0</v>
      </c>
      <c r="D6">
        <f>SUMPRODUCT((ISNUMBER(SEARCH($Y5,Dienstplan!$B$8:$B$19))*(ISNUMBER(SEARCH($AB$4,Dienstplan!$C$8:$AG$19)))))</f>
        <v>0</v>
      </c>
      <c r="E6">
        <f>SUMPRODUCT((ISNUMBER(SEARCH($Y5,Dienstplan!$B$8:$B$19))*(ISNUMBER(SEARCH($AB$5,Dienstplan!$C$8:$AG$19)))))</f>
        <v>0</v>
      </c>
      <c r="F6">
        <f>SUMPRODUCT((ISNUMBER(SEARCH($Y5,Dienstplan!$B$8:$B$19))*(ISNUMBER(SEARCH($AB$6,Dienstplan!$C$8:$AG$19)))))</f>
        <v>0</v>
      </c>
      <c r="G6">
        <f>SUMPRODUCT((ISNUMBER(SEARCH($Y5,Dienstplan!$B$8:$B$19))*(ISNUMBER(SEARCH(AB$7,Dienstplan!$C$8:$AG$19)))))-H6</f>
        <v>0</v>
      </c>
      <c r="H6">
        <f>SUMPRODUCT((ISNUMBER(SEARCH($Y5,Dienstplan!$B$8:$B$19))*(ISNUMBER(SEARCH(AB$8,Dienstplan!$C$8:$AG$19)))))</f>
        <v>0</v>
      </c>
      <c r="I6">
        <f>SUMPRODUCT((ISNUMBER(SEARCH($Y5,Dienstplan!$B$8:$B$19))*(ISNUMBER(SEARCH($AB$9,Dienstplan!$C$8:$AG$19)))))</f>
        <v>0</v>
      </c>
      <c r="J6">
        <f>SUMPRODUCT((ISNUMBER(SEARCH($Y5,Dienstplan!$B$8:$B$19))*(ISNUMBER(SEARCH($AB$10,Dienstplan!$C$8:$AG$19)))))</f>
        <v>0</v>
      </c>
      <c r="K6">
        <f>SUMPRODUCT((ISNUMBER(SEARCH($Y5,Dienstplan!$B$8:$B$19))*(ISNUMBER(SEARCH($AB$11,Dienstplan!$C$8:$AG$19)))))-$Q6</f>
        <v>0</v>
      </c>
      <c r="L6">
        <f>SUMPRODUCT((ISNUMBER(SEARCH($Y5,Dienstplan!$B$8:$B$19))*(ISNUMBER(SEARCH($AB$12,Dienstplan!$C$8:$AG$19)))))</f>
        <v>0</v>
      </c>
      <c r="M6">
        <f>SUMPRODUCT((ISNUMBER(SEARCH($Y5,Dienstplan!$B$8:$B$19))*(ISNUMBER(SEARCH($AB$13,Dienstplan!$C$8:$AG$19)))))</f>
        <v>0</v>
      </c>
      <c r="N6">
        <f>SUMPRODUCT((ISNUMBER(SEARCH($Y5,Dienstplan!$B$8:$B$19))*(ISNUMBER(SEARCH($AB$14,Dienstplan!$C$8:$AG$19)))))</f>
        <v>0</v>
      </c>
      <c r="O6">
        <f>SUMPRODUCT((ISNUMBER(SEARCH($Y5,Dienstplan!$B$8:$B$19))*(ISNUMBER(SEARCH($AB$15,Dienstplan!$C$8:$AG$19)))))</f>
        <v>0</v>
      </c>
      <c r="P6">
        <f>SUMPRODUCT((ISNUMBER(SEARCH($Y5,Dienstplan!$B$8:$B$19))*(ISNUMBER(SEARCH($AB$16,Dienstplan!$C$8:$AG$19)))))</f>
        <v>0</v>
      </c>
      <c r="Q6">
        <f>SUMPRODUCT((ISNUMBER(SEARCH($Y5,Dienstplan!$B$8:$B$19))*(ISNUMBER(SEARCH($AB$17,Dienstplan!$C$8:$AG$19)))))</f>
        <v>0</v>
      </c>
      <c r="R6">
        <f>SUMPRODUCT((ISNUMBER(SEARCH($Y5,Dienstplan!$B$8:$B$19))*(ISNUMBER(SEARCH($AB$18,Dienstplan!$C$8:$AG$19)))))</f>
        <v>0</v>
      </c>
      <c r="S6" s="11">
        <f>SUMPRODUCT((ISNUMBER(SEARCH($Y5,Dienstplan!$B$8:$B$19))*(ISNUMBER(SEARCH($AB$19,Dienstplan!$C$8:$AG$19)))))</f>
        <v>0</v>
      </c>
      <c r="T6">
        <f t="shared" si="2"/>
        <v>147</v>
      </c>
      <c r="U6" s="14">
        <f>SUM($C6*Frueh_1+$D6*Spaet_1+$E6*Nacht_1+$F6*Normal_1+$I6*Sonderd_1-$J6*Rath_M+$K6*Rath_M+$L6*EH_Kurs+$M6*Koor_taet+$N6*Sekre_1+$O6*Rath_M+$R6*Rath_M+$P6*Rath_M+$Q6*Rath_M+G6*Unt_I+H6*Unt_II)</f>
        <v>0</v>
      </c>
      <c r="V6" s="11">
        <f t="shared" si="3"/>
        <v>-147</v>
      </c>
      <c r="W6" s="20">
        <f t="shared" si="4"/>
        <v>-147</v>
      </c>
      <c r="X6" s="22"/>
      <c r="Y6" s="2" t="str">
        <f t="shared" si="0"/>
        <v>Wunsch</v>
      </c>
      <c r="Z6" s="37">
        <v>8</v>
      </c>
      <c r="AA6" s="38">
        <v>0</v>
      </c>
      <c r="AB6" s="28" t="s">
        <v>74</v>
      </c>
      <c r="AC6" s="37">
        <v>7.5</v>
      </c>
      <c r="AD6" s="39">
        <f t="shared" si="1"/>
        <v>240</v>
      </c>
      <c r="AF6" s="23"/>
      <c r="AG6" s="23"/>
      <c r="AH6" s="23"/>
      <c r="AI6" s="23"/>
    </row>
    <row r="7" spans="1:36" x14ac:dyDescent="0.25">
      <c r="A7" s="11"/>
      <c r="B7" s="27" t="str">
        <f>Dienstplan!B11</f>
        <v>Wunsch</v>
      </c>
      <c r="C7">
        <f>SUMPRODUCT((ISNUMBER(SEARCH($Y6,Dienstplan!$B$8:$B$19))*(ISNUMBER(SEARCH($AB$3,Dienstplan!$C$8:$AG$19)))))-D7</f>
        <v>5</v>
      </c>
      <c r="D7">
        <f>SUMPRODUCT((ISNUMBER(SEARCH($Y6,Dienstplan!$B$8:$B$19))*(ISNUMBER(SEARCH($AB$4,Dienstplan!$C$8:$AG$19)))))</f>
        <v>0</v>
      </c>
      <c r="E7">
        <f>SUMPRODUCT((ISNUMBER(SEARCH($Y6,Dienstplan!$B$8:$B$19))*(ISNUMBER(SEARCH($AB$5,Dienstplan!$C$8:$AG$19)))))</f>
        <v>5</v>
      </c>
      <c r="F7">
        <f>SUMPRODUCT((ISNUMBER(SEARCH($Y6,Dienstplan!$B$8:$B$19))*(ISNUMBER(SEARCH($AB$6,Dienstplan!$C$8:$AG$19)))))</f>
        <v>5</v>
      </c>
      <c r="G7">
        <f>SUMPRODUCT((ISNUMBER(SEARCH($Y6,Dienstplan!$B$8:$B$19))*(ISNUMBER(SEARCH(AB$7,Dienstplan!$C$8:$AG$19)))))-H7</f>
        <v>3</v>
      </c>
      <c r="H7">
        <f>SUMPRODUCT((ISNUMBER(SEARCH($Y6,Dienstplan!$B$8:$B$19))*(ISNUMBER(SEARCH(AB$8,Dienstplan!$C$8:$AG$19)))))</f>
        <v>0</v>
      </c>
      <c r="I7">
        <f>SUMPRODUCT((ISNUMBER(SEARCH($Y6,Dienstplan!$B$8:$B$19))*(ISNUMBER(SEARCH($AB$9,Dienstplan!$C$8:$AG$19)))))</f>
        <v>2</v>
      </c>
      <c r="J7">
        <f>SUMPRODUCT((ISNUMBER(SEARCH($Y6,Dienstplan!$B$8:$B$19))*(ISNUMBER(SEARCH($AB$10,Dienstplan!$C$8:$AG$19)))))</f>
        <v>0</v>
      </c>
      <c r="K7">
        <f>SUMPRODUCT((ISNUMBER(SEARCH($Y6,Dienstplan!$B$8:$B$19))*(ISNUMBER(SEARCH($AB$11,Dienstplan!$C$8:$AG$19)))))-$Q7</f>
        <v>0</v>
      </c>
      <c r="L7">
        <f>SUMPRODUCT((ISNUMBER(SEARCH($Y6,Dienstplan!$B$8:$B$19))*(ISNUMBER(SEARCH($AB$12,Dienstplan!$C$8:$AG$19)))))</f>
        <v>0</v>
      </c>
      <c r="M7">
        <f>SUMPRODUCT((ISNUMBER(SEARCH($Y6,Dienstplan!$B$8:$B$19))*(ISNUMBER(SEARCH($AB$13,Dienstplan!$C$8:$AG$19)))))</f>
        <v>0</v>
      </c>
      <c r="N7">
        <f>SUMPRODUCT((ISNUMBER(SEARCH($Y6,Dienstplan!$B$8:$B$19))*(ISNUMBER(SEARCH($AB$14,Dienstplan!$C$8:$AG$19)))))</f>
        <v>0</v>
      </c>
      <c r="O7">
        <f>SUMPRODUCT((ISNUMBER(SEARCH($Y6,Dienstplan!$B$8:$B$19))*(ISNUMBER(SEARCH($AB$15,Dienstplan!$C$8:$AG$19)))))</f>
        <v>0</v>
      </c>
      <c r="P7">
        <f>SUMPRODUCT((ISNUMBER(SEARCH($Y6,Dienstplan!$B$8:$B$19))*(ISNUMBER(SEARCH($AB$16,Dienstplan!$C$8:$AG$19)))))</f>
        <v>0</v>
      </c>
      <c r="Q7">
        <f>SUMPRODUCT((ISNUMBER(SEARCH($Y6,Dienstplan!$B$8:$B$19))*(ISNUMBER(SEARCH($AB$17,Dienstplan!$C$8:$AG$19)))))</f>
        <v>0</v>
      </c>
      <c r="R7">
        <f>SUMPRODUCT((ISNUMBER(SEARCH($Y6,Dienstplan!$B$8:$B$19))*(ISNUMBER(SEARCH($AB$18,Dienstplan!$C$8:$AG$19)))))</f>
        <v>0</v>
      </c>
      <c r="S7" s="11">
        <f>SUMPRODUCT((ISNUMBER(SEARCH($Y6,Dienstplan!$B$8:$B$19))*(ISNUMBER(SEARCH($AB$19,Dienstplan!$C$8:$AG$19)))))</f>
        <v>1</v>
      </c>
      <c r="T7">
        <f t="shared" si="2"/>
        <v>168</v>
      </c>
      <c r="U7" s="14">
        <f>SUM($C7*Frueh_1+$D7*Spaet_1+$E7*Nacht_1+$F7*Normal_1+$I7*Sonderd_1-$J7*Scho_K+$K7*Scho_K+$L7*EH_Kurs+$M7*Koor_taet+$N7*Sekre_1+$O7*Scho_K+$R7*Scho_K+$P7*Scho_K+$Q7*Scho_K+G7*Unt_I+H7*Unt_II)</f>
        <v>149.25</v>
      </c>
      <c r="V7" s="11">
        <f t="shared" si="3"/>
        <v>-18.75</v>
      </c>
      <c r="W7" s="20">
        <f t="shared" si="4"/>
        <v>-18.75</v>
      </c>
      <c r="X7" s="22"/>
      <c r="Y7" s="2" t="str">
        <f t="shared" si="0"/>
        <v>Göpfrich</v>
      </c>
      <c r="Z7" s="37">
        <v>7</v>
      </c>
      <c r="AA7" s="38">
        <v>0</v>
      </c>
      <c r="AB7" s="28" t="s">
        <v>73</v>
      </c>
      <c r="AC7" s="37">
        <v>8</v>
      </c>
      <c r="AD7" s="39">
        <f t="shared" si="1"/>
        <v>210</v>
      </c>
      <c r="AF7" s="23"/>
      <c r="AG7" s="23"/>
      <c r="AH7" s="23"/>
      <c r="AI7" s="23"/>
    </row>
    <row r="8" spans="1:36" x14ac:dyDescent="0.25">
      <c r="A8" s="11"/>
      <c r="B8" s="27" t="str">
        <f>Dienstplan!B12</f>
        <v>Göpfrich</v>
      </c>
      <c r="C8">
        <f>SUMPRODUCT((ISNUMBER(SEARCH($Y7,Dienstplan!$B$8:$B$19))*(ISNUMBER(SEARCH($AB$3,Dienstplan!$C$8:$AG$19)))))-D8</f>
        <v>0</v>
      </c>
      <c r="D8">
        <f>SUMPRODUCT((ISNUMBER(SEARCH($Y7,Dienstplan!$B$8:$B$19))*(ISNUMBER(SEARCH($AB$4,Dienstplan!$C$8:$AG$19)))))</f>
        <v>0</v>
      </c>
      <c r="E8">
        <f>SUMPRODUCT((ISNUMBER(SEARCH($Y7,Dienstplan!$B$8:$B$19))*(ISNUMBER(SEARCH($AB$5,Dienstplan!$C$8:$AG$19)))))</f>
        <v>3</v>
      </c>
      <c r="F8">
        <f>SUMPRODUCT((ISNUMBER(SEARCH($Y7,Dienstplan!$B$8:$B$19))*(ISNUMBER(SEARCH($AB$6,Dienstplan!$C$8:$AG$19)))))</f>
        <v>6</v>
      </c>
      <c r="G8">
        <f>SUMPRODUCT((ISNUMBER(SEARCH($Y7,Dienstplan!$B$8:$B$19))*(ISNUMBER(SEARCH(AB$7,Dienstplan!$C$8:$AG$19)))))-H8</f>
        <v>3</v>
      </c>
      <c r="H8">
        <f>SUMPRODUCT((ISNUMBER(SEARCH($Y7,Dienstplan!$B$8:$B$19))*(ISNUMBER(SEARCH(AB$8,Dienstplan!$C$8:$AG$19)))))</f>
        <v>0</v>
      </c>
      <c r="I8">
        <f>SUMPRODUCT((ISNUMBER(SEARCH($Y7,Dienstplan!$B$8:$B$19))*(ISNUMBER(SEARCH($AB$9,Dienstplan!$C$8:$AG$19)))))</f>
        <v>0</v>
      </c>
      <c r="J8">
        <f>SUMPRODUCT((ISNUMBER(SEARCH($Y7,Dienstplan!$B$8:$B$19))*(ISNUMBER(SEARCH($AB$10,Dienstplan!$C$8:$AG$19)))))</f>
        <v>0</v>
      </c>
      <c r="K8">
        <f>SUMPRODUCT((ISNUMBER(SEARCH($Y7,Dienstplan!$B$8:$B$19))*(ISNUMBER(SEARCH($AB$11,Dienstplan!$C$8:$AG$19)))))-$Q8</f>
        <v>9</v>
      </c>
      <c r="L8">
        <f>SUMPRODUCT((ISNUMBER(SEARCH($Y7,Dienstplan!$B$8:$B$19))*(ISNUMBER(SEARCH($AB$12,Dienstplan!$C$8:$AG$19)))))</f>
        <v>0</v>
      </c>
      <c r="M8">
        <f>SUMPRODUCT((ISNUMBER(SEARCH($Y7,Dienstplan!$B$8:$B$19))*(ISNUMBER(SEARCH($AB$13,Dienstplan!$C$8:$AG$19)))))</f>
        <v>0</v>
      </c>
      <c r="N8">
        <f>SUMPRODUCT((ISNUMBER(SEARCH($Y7,Dienstplan!$B$8:$B$19))*(ISNUMBER(SEARCH($AB$14,Dienstplan!$C$8:$AG$19)))))</f>
        <v>0</v>
      </c>
      <c r="O8">
        <f>SUMPRODUCT((ISNUMBER(SEARCH($Y7,Dienstplan!$B$8:$B$19))*(ISNUMBER(SEARCH($AB$15,Dienstplan!$C$8:$AG$19)))))</f>
        <v>0</v>
      </c>
      <c r="P8">
        <f>SUMPRODUCT((ISNUMBER(SEARCH($Y7,Dienstplan!$B$8:$B$19))*(ISNUMBER(SEARCH($AB$16,Dienstplan!$C$8:$AG$19)))))</f>
        <v>2</v>
      </c>
      <c r="Q8">
        <f>SUMPRODUCT((ISNUMBER(SEARCH($Y7,Dienstplan!$B$8:$B$19))*(ISNUMBER(SEARCH($AB$17,Dienstplan!$C$8:$AG$19)))))</f>
        <v>0</v>
      </c>
      <c r="R8">
        <f>SUMPRODUCT((ISNUMBER(SEARCH($Y7,Dienstplan!$B$8:$B$19))*(ISNUMBER(SEARCH($AB$18,Dienstplan!$C$8:$AG$19)))))</f>
        <v>0</v>
      </c>
      <c r="S8" s="11">
        <f>SUMPRODUCT((ISNUMBER(SEARCH($Y7,Dienstplan!$B$8:$B$19))*(ISNUMBER(SEARCH($AB$19,Dienstplan!$C$8:$AG$19)))))</f>
        <v>0</v>
      </c>
      <c r="T8">
        <f t="shared" si="2"/>
        <v>147</v>
      </c>
      <c r="U8" s="14">
        <f>SUM($C8*Frueh_1+$D8*Spaet_1+$E8*Nacht_1+$F8*Normal_1+$I8*Sonderd_1-$J8*Krie_B+$K8*Krie_B+$L8*EH_Kurs+$M8*Koor_taet+$N8*Sekre_1+$O8*Krie_B+$R8*Krie_B+$P8*Krie_B+$Q8*Krie_B+G8*Unt_I+H8*Unt_II)</f>
        <v>168.5</v>
      </c>
      <c r="V8" s="11">
        <f t="shared" si="3"/>
        <v>21.5</v>
      </c>
      <c r="W8" s="20">
        <f t="shared" si="4"/>
        <v>21.5</v>
      </c>
      <c r="X8" s="22"/>
      <c r="Y8" s="2" t="str">
        <f t="shared" si="0"/>
        <v>Zeller</v>
      </c>
      <c r="Z8" s="37">
        <v>8</v>
      </c>
      <c r="AA8" s="38">
        <v>0</v>
      </c>
      <c r="AB8" s="28" t="s">
        <v>75</v>
      </c>
      <c r="AC8" s="37">
        <v>8</v>
      </c>
      <c r="AD8" s="39">
        <f t="shared" si="1"/>
        <v>240</v>
      </c>
      <c r="AF8" s="23"/>
      <c r="AG8" s="23"/>
      <c r="AH8" s="23"/>
      <c r="AI8" s="23"/>
    </row>
    <row r="9" spans="1:36" x14ac:dyDescent="0.25">
      <c r="A9" s="11"/>
      <c r="B9" s="27" t="str">
        <f>Dienstplan!B13</f>
        <v>Zeller</v>
      </c>
      <c r="C9">
        <f>SUMPRODUCT((ISNUMBER(SEARCH($Y8,Dienstplan!$B$8:$B$19))*(ISNUMBER(SEARCH($AB$3,Dienstplan!$C$8:$AG$19)))))-D9</f>
        <v>9</v>
      </c>
      <c r="D9">
        <f>SUMPRODUCT((ISNUMBER(SEARCH($Y8,Dienstplan!$B$8:$B$19))*(ISNUMBER(SEARCH($AB$4,Dienstplan!$C$8:$AG$19)))))</f>
        <v>4</v>
      </c>
      <c r="E9">
        <f>SUMPRODUCT((ISNUMBER(SEARCH($Y8,Dienstplan!$B$8:$B$19))*(ISNUMBER(SEARCH($AB$5,Dienstplan!$C$8:$AG$19)))))</f>
        <v>0</v>
      </c>
      <c r="F9">
        <f>SUMPRODUCT((ISNUMBER(SEARCH($Y8,Dienstplan!$B$8:$B$19))*(ISNUMBER(SEARCH($AB$6,Dienstplan!$C$8:$AG$19)))))</f>
        <v>0</v>
      </c>
      <c r="G9">
        <f>SUMPRODUCT((ISNUMBER(SEARCH($Y8,Dienstplan!$B$8:$B$19))*(ISNUMBER(SEARCH(AB$7,Dienstplan!$C$8:$AG$19)))))-H9</f>
        <v>3</v>
      </c>
      <c r="H9">
        <f>SUMPRODUCT((ISNUMBER(SEARCH($Y8,Dienstplan!$B$8:$B$19))*(ISNUMBER(SEARCH(AB$8,Dienstplan!$C$8:$AG$19)))))</f>
        <v>0</v>
      </c>
      <c r="I9">
        <f>SUMPRODUCT((ISNUMBER(SEARCH($Y8,Dienstplan!$B$8:$B$19))*(ISNUMBER(SEARCH($AB$9,Dienstplan!$C$8:$AG$19)))))</f>
        <v>0</v>
      </c>
      <c r="J9">
        <f>SUMPRODUCT((ISNUMBER(SEARCH($Y8,Dienstplan!$B$8:$B$19))*(ISNUMBER(SEARCH($AB$10,Dienstplan!$C$8:$AG$19)))))</f>
        <v>1</v>
      </c>
      <c r="K9">
        <f>SUMPRODUCT((ISNUMBER(SEARCH($Y8,Dienstplan!$B$8:$B$19))*(ISNUMBER(SEARCH($AB$11,Dienstplan!$C$8:$AG$19)))))-$Q9</f>
        <v>3</v>
      </c>
      <c r="L9">
        <f>SUMPRODUCT((ISNUMBER(SEARCH($Y8,Dienstplan!$B$8:$B$19))*(ISNUMBER(SEARCH($AB$12,Dienstplan!$C$8:$AG$19)))))</f>
        <v>0</v>
      </c>
      <c r="M9">
        <f>SUMPRODUCT((ISNUMBER(SEARCH($Y8,Dienstplan!$B$8:$B$19))*(ISNUMBER(SEARCH($AB$13,Dienstplan!$C$8:$AG$19)))))</f>
        <v>0</v>
      </c>
      <c r="N9">
        <f>SUMPRODUCT((ISNUMBER(SEARCH($Y8,Dienstplan!$B$8:$B$19))*(ISNUMBER(SEARCH($AB$14,Dienstplan!$C$8:$AG$19)))))</f>
        <v>0</v>
      </c>
      <c r="O9">
        <f>SUMPRODUCT((ISNUMBER(SEARCH($Y8,Dienstplan!$B$8:$B$19))*(ISNUMBER(SEARCH($AB$15,Dienstplan!$C$8:$AG$19)))))</f>
        <v>0</v>
      </c>
      <c r="P9">
        <f>SUMPRODUCT((ISNUMBER(SEARCH($Y8,Dienstplan!$B$8:$B$19))*(ISNUMBER(SEARCH($AB$16,Dienstplan!$C$8:$AG$19)))))</f>
        <v>1</v>
      </c>
      <c r="Q9">
        <f>SUMPRODUCT((ISNUMBER(SEARCH($Y8,Dienstplan!$B$8:$B$19))*(ISNUMBER(SEARCH($AB$17,Dienstplan!$C$8:$AG$19)))))</f>
        <v>0</v>
      </c>
      <c r="R9">
        <f>SUMPRODUCT((ISNUMBER(SEARCH($Y8,Dienstplan!$B$8:$B$19))*(ISNUMBER(SEARCH($AB$18,Dienstplan!$C$8:$AG$19)))))</f>
        <v>0</v>
      </c>
      <c r="S9" s="11">
        <f>SUMPRODUCT((ISNUMBER(SEARCH($Y8,Dienstplan!$B$8:$B$19))*(ISNUMBER(SEARCH($AB$19,Dienstplan!$C$8:$AG$19)))))</f>
        <v>1</v>
      </c>
      <c r="T9">
        <f t="shared" si="2"/>
        <v>168</v>
      </c>
      <c r="U9" s="14">
        <f>SUM($C9*Frueh_1+$D9*Spaet_1+$E9*Nacht_1+$F9*Normal_1+$I9*Sonderd_1-$J9*Wuert_A+$K9*Wuert_A+$L9*EH_Kurs+$M9*Koor_taet+$N9*Sekre_1+$O9*Wuert_A+$R9*Wuert_A+$P9*Wuert_A+$Q9*Wuert_A+G9*Unt_I+H9*Unt_II)</f>
        <v>143.25</v>
      </c>
      <c r="V9" s="11">
        <f t="shared" si="3"/>
        <v>-24.75</v>
      </c>
      <c r="W9" s="20">
        <f t="shared" si="4"/>
        <v>-24.75</v>
      </c>
      <c r="X9" s="22"/>
      <c r="Y9" s="2" t="str">
        <f t="shared" si="0"/>
        <v>Behrendt</v>
      </c>
      <c r="Z9" s="37">
        <v>7</v>
      </c>
      <c r="AA9" s="38">
        <v>0</v>
      </c>
      <c r="AB9" s="28" t="s">
        <v>18</v>
      </c>
      <c r="AC9" s="37">
        <v>7</v>
      </c>
      <c r="AD9" s="39">
        <f>SUM(Z10*30)</f>
        <v>96</v>
      </c>
      <c r="AF9" s="23"/>
      <c r="AG9" s="23"/>
      <c r="AH9" s="23"/>
      <c r="AI9" s="23"/>
    </row>
    <row r="10" spans="1:36" x14ac:dyDescent="0.25">
      <c r="A10" s="11"/>
      <c r="B10" s="27" t="str">
        <f>Dienstplan!B14</f>
        <v>Behrendt</v>
      </c>
      <c r="C10" cm="1">
        <f t="array" ref="C10">SUMPRODUCT((ISNUMBER(SEARCH($Y9,Dienstplan!$B$8:$B$19))*(ISNUMBER(SEARCH($AB$3,Dienstplan!$C$8:$AG$19)))))-D10</f>
        <v>0</v>
      </c>
      <c r="D10" cm="1">
        <f t="array" ref="D10">SUMPRODUCT((ISNUMBER(SEARCH($Y9,Dienstplan!$B$8:$B$19))*(ISNUMBER(SEARCH($AB$4,Dienstplan!$C$8:$AG$19)))))</f>
        <v>0</v>
      </c>
      <c r="E10" cm="1">
        <f t="array" ref="E10">SUMPRODUCT((ISNUMBER(SEARCH($Y9,Dienstplan!$B$8:$B$19))*(ISNUMBER(SEARCH($AB$5,Dienstplan!$C$8:$AG$19)))))</f>
        <v>0</v>
      </c>
      <c r="F10" cm="1">
        <f t="array" ref="F10">SUMPRODUCT((ISNUMBER(SEARCH($Y9,Dienstplan!$B$8:$B$19))*(ISNUMBER(SEARCH($AB$6,Dienstplan!$C$8:$AG$19)))))</f>
        <v>0</v>
      </c>
      <c r="G10" cm="1">
        <f t="array" ref="G10">SUMPRODUCT((ISNUMBER(SEARCH($Y9,Dienstplan!$B$8:$B$19))*(ISNUMBER(SEARCH(AB$7,Dienstplan!$C$8:$AG$19)))))-H10</f>
        <v>0</v>
      </c>
      <c r="H10" cm="1">
        <f t="array" ref="H10">SUMPRODUCT((ISNUMBER(SEARCH($Y9,Dienstplan!$B$8:$B$19))*(ISNUMBER(SEARCH(AB$8,Dienstplan!$C$8:$AG$19)))))</f>
        <v>0</v>
      </c>
      <c r="I10" cm="1">
        <f t="array" ref="I10">SUMPRODUCT((ISNUMBER(SEARCH($Y9,Dienstplan!$B$8:$B$19))*(ISNUMBER(SEARCH($AB$9,Dienstplan!$C$8:$AG$19)))))</f>
        <v>0</v>
      </c>
      <c r="J10" cm="1">
        <f t="array" ref="J10">SUMPRODUCT((ISNUMBER(SEARCH($Y9,Dienstplan!$B$8:$B$19))*(ISNUMBER(SEARCH($AB$10,Dienstplan!$C$8:$AG$19)))))</f>
        <v>0</v>
      </c>
      <c r="K10" cm="1">
        <f t="array" ref="K10">SUMPRODUCT((ISNUMBER(SEARCH($Y9,Dienstplan!$B$8:$B$19))*(ISNUMBER(SEARCH($AB$11,Dienstplan!$C$8:$AG$19)))))-$Q10</f>
        <v>0</v>
      </c>
      <c r="L10" cm="1">
        <f t="array" ref="L10">SUMPRODUCT((ISNUMBER(SEARCH($Y9,Dienstplan!$B$8:$B$19))*(ISNUMBER(SEARCH($AB$12,Dienstplan!$C$8:$AG$19)))))</f>
        <v>0</v>
      </c>
      <c r="M10" cm="1">
        <f t="array" ref="M10">SUMPRODUCT((ISNUMBER(SEARCH($Y9,Dienstplan!$B$8:$B$19))*(ISNUMBER(SEARCH($AB$13,Dienstplan!$C$8:$AG$19)))))</f>
        <v>0</v>
      </c>
      <c r="N10" cm="1">
        <f t="array" ref="N10">SUMPRODUCT((ISNUMBER(SEARCH($Y9,Dienstplan!$B$8:$B$19))*(ISNUMBER(SEARCH($AB$14,Dienstplan!$C$8:$AG$19)))))</f>
        <v>0</v>
      </c>
      <c r="O10" cm="1">
        <f t="array" ref="O10">SUMPRODUCT((ISNUMBER(SEARCH($Y9,Dienstplan!$B$8:$B$19))*(ISNUMBER(SEARCH($AB$15,Dienstplan!$C$8:$AG$19)))))</f>
        <v>0</v>
      </c>
      <c r="P10" cm="1">
        <f t="array" ref="P10">SUMPRODUCT((ISNUMBER(SEARCH($Y9,Dienstplan!$B$8:$B$19))*(ISNUMBER(SEARCH($AB$16,Dienstplan!$C$8:$AG$19)))))</f>
        <v>0</v>
      </c>
      <c r="Q10" cm="1">
        <f t="array" ref="Q10">SUMPRODUCT((ISNUMBER(SEARCH($Y9,Dienstplan!$B$8:$B$19))*(ISNUMBER(SEARCH($AB$17,Dienstplan!$C$8:$AG$19)))))</f>
        <v>0</v>
      </c>
      <c r="R10" cm="1">
        <f t="array" ref="R10">SUMPRODUCT((ISNUMBER(SEARCH($Y9,Dienstplan!$B$8:$B$19))*(ISNUMBER(SEARCH($AB$18,Dienstplan!$C$8:$AG$19)))))</f>
        <v>0</v>
      </c>
      <c r="S10" s="11" cm="1">
        <f t="array" ref="S10">SUMPRODUCT((ISNUMBER(SEARCH($Y9,Dienstplan!$B$8:$B$19))*(ISNUMBER(SEARCH($AB$19,Dienstplan!$C$8:$AG$19)))))</f>
        <v>0</v>
      </c>
      <c r="T10">
        <f>SUM($F$2*$Z10)</f>
        <v>67.2</v>
      </c>
      <c r="U10" s="14">
        <f>SUM($C10*Frueh_1+$D10*Spaet_1+$E10*Nacht_1+$F10*Normal_1+$I10*Sonderd_1-$J10*Wuert_A+$K10*Wuert_A+$L10*EH_Kurs+$M10*Koor_taet+$N10*Sekre_1+$O10*Wuert_A+$R10*Wuert_A+$P10*Wuert_A+$Q10*Wuert_A+G10*Unt_I+H10*Unt_II)</f>
        <v>0</v>
      </c>
      <c r="V10" s="11">
        <f t="shared" si="3"/>
        <v>-67.2</v>
      </c>
      <c r="W10" s="20">
        <f t="shared" ref="W10" si="5">V10+AA9</f>
        <v>-67.2</v>
      </c>
      <c r="X10" s="22"/>
      <c r="Y10" s="2" t="str">
        <f>B11</f>
        <v>Krempl</v>
      </c>
      <c r="Z10" s="37">
        <v>3.2</v>
      </c>
      <c r="AA10" s="38">
        <v>0</v>
      </c>
      <c r="AB10" s="28" t="s">
        <v>13</v>
      </c>
      <c r="AC10" s="37" t="s">
        <v>35</v>
      </c>
      <c r="AD10" s="39">
        <f>SUM(Z11*30)</f>
        <v>240</v>
      </c>
      <c r="AF10" s="23"/>
      <c r="AG10" s="23"/>
      <c r="AH10" s="23"/>
      <c r="AI10" s="23"/>
    </row>
    <row r="11" spans="1:36" x14ac:dyDescent="0.25">
      <c r="A11" s="11"/>
      <c r="B11" s="27" t="str">
        <f>Dienstplan!B15</f>
        <v>Krempl</v>
      </c>
      <c r="C11">
        <f>SUMPRODUCT((ISNUMBER(SEARCH($Y10,Dienstplan!$B$8:$B$19))*(ISNUMBER(SEARCH($AB$3,Dienstplan!$C$8:$AG$19)))))-D11</f>
        <v>0</v>
      </c>
      <c r="D11">
        <f>SUMPRODUCT((ISNUMBER(SEARCH($Y10,Dienstplan!$B$8:$B$19))*(ISNUMBER(SEARCH($AB$4,Dienstplan!$C$8:$AG$19)))))</f>
        <v>0</v>
      </c>
      <c r="E11">
        <f>SUMPRODUCT((ISNUMBER(SEARCH($Y10,Dienstplan!$B$8:$B$19))*(ISNUMBER(SEARCH($AB$5,Dienstplan!$C$8:$AG$19)))))</f>
        <v>0</v>
      </c>
      <c r="F11">
        <f>SUMPRODUCT((ISNUMBER(SEARCH($Y10,Dienstplan!$B$8:$B$19))*(ISNUMBER(SEARCH($AB$6,Dienstplan!$C$8:$AG$19)))))</f>
        <v>0</v>
      </c>
      <c r="G11">
        <f>SUMPRODUCT((ISNUMBER(SEARCH($Y10,Dienstplan!$B$8:$B$19))*(ISNUMBER(SEARCH(AB$7,Dienstplan!$C$8:$AG$19)))))-H11</f>
        <v>5</v>
      </c>
      <c r="H11">
        <f>SUMPRODUCT((ISNUMBER(SEARCH($Y10,Dienstplan!$B$8:$B$19))*(ISNUMBER(SEARCH(AB$8,Dienstplan!$C$8:$AG$19)))))</f>
        <v>0</v>
      </c>
      <c r="I11">
        <f>SUMPRODUCT((ISNUMBER(SEARCH($Y10,Dienstplan!$B$8:$B$19))*(ISNUMBER(SEARCH($AB$9,Dienstplan!$C$8:$AG$19)))))</f>
        <v>0</v>
      </c>
      <c r="J11">
        <f>SUMPRODUCT((ISNUMBER(SEARCH($Y10,Dienstplan!$B$8:$B$19))*(ISNUMBER(SEARCH($AB$10,Dienstplan!$C$8:$AG$19)))))</f>
        <v>10</v>
      </c>
      <c r="K11">
        <f>SUMPRODUCT((ISNUMBER(SEARCH($Y10,Dienstplan!$B$8:$B$19))*(ISNUMBER(SEARCH($AB$11,Dienstplan!$C$8:$AG$19)))))-$Q11</f>
        <v>5</v>
      </c>
      <c r="L11">
        <f>SUMPRODUCT((ISNUMBER(SEARCH($Y10,Dienstplan!$B$8:$B$19))*(ISNUMBER(SEARCH($AB$12,Dienstplan!$C$8:$AG$19)))))</f>
        <v>0</v>
      </c>
      <c r="M11">
        <f>SUMPRODUCT((ISNUMBER(SEARCH($Y10,Dienstplan!$B$8:$B$19))*(ISNUMBER(SEARCH($AB$13,Dienstplan!$C$8:$AG$19)))))</f>
        <v>0</v>
      </c>
      <c r="N11">
        <f>SUMPRODUCT((ISNUMBER(SEARCH($Y10,Dienstplan!$B$8:$B$19))*(ISNUMBER(SEARCH($AB$14,Dienstplan!$C$8:$AG$19)))))</f>
        <v>0</v>
      </c>
      <c r="O11">
        <f>SUMPRODUCT((ISNUMBER(SEARCH($Y10,Dienstplan!$B$8:$B$19))*(ISNUMBER(SEARCH($AB$15,Dienstplan!$C$8:$AG$19)))))</f>
        <v>0</v>
      </c>
      <c r="P11">
        <f>SUMPRODUCT((ISNUMBER(SEARCH($Y10,Dienstplan!$B$8:$B$19))*(ISNUMBER(SEARCH($AB$16,Dienstplan!$C$8:$AG$19)))))</f>
        <v>2</v>
      </c>
      <c r="Q11">
        <f>SUMPRODUCT((ISNUMBER(SEARCH($Y10,Dienstplan!$B$8:$B$19))*(ISNUMBER(SEARCH($AB$17,Dienstplan!$C$8:$AG$19)))))</f>
        <v>0</v>
      </c>
      <c r="R11">
        <f>SUMPRODUCT((ISNUMBER(SEARCH($Y10,Dienstplan!$B$8:$B$19))*(ISNUMBER(SEARCH($AB$18,Dienstplan!$C$8:$AG$19)))))</f>
        <v>0</v>
      </c>
      <c r="S11" s="11">
        <f>SUMPRODUCT((ISNUMBER(SEARCH($Y10,Dienstplan!$B$8:$B$19))*(ISNUMBER(SEARCH($AB$19,Dienstplan!$C$8:$AG$19)))))</f>
        <v>0</v>
      </c>
      <c r="T11">
        <f>SUM($F$2*$Z10)</f>
        <v>67.2</v>
      </c>
      <c r="U11" s="14">
        <f>SUM($C11*Frueh_1+$D11*Spaet_1+$E11*Nacht_1+$F11*Normal_1+$I11*Sonderd_1-$J11*Krem_E+$K11*Krem_E+$L11*EH_Kurs+$M11*Koor_taet+$N11*Sekre_1+$O11*Krem_E+$R11*Krem_E+$P11*Krem_E+$Q11*Krem_E+G11*Unt_I+H11*Unt_II)</f>
        <v>30.4</v>
      </c>
      <c r="V11" s="11">
        <f t="shared" si="3"/>
        <v>-36.800000000000004</v>
      </c>
      <c r="W11" s="20">
        <f>V11+AA9</f>
        <v>-36.800000000000004</v>
      </c>
      <c r="X11" s="22"/>
      <c r="Y11" s="2" t="str">
        <f>B12</f>
        <v>Putschler</v>
      </c>
      <c r="Z11" s="37">
        <v>8</v>
      </c>
      <c r="AA11" s="38">
        <v>0</v>
      </c>
      <c r="AB11" s="28" t="s">
        <v>8</v>
      </c>
      <c r="AC11" s="37" t="s">
        <v>35</v>
      </c>
      <c r="AD11" s="39">
        <f>SUM(Z12*30)</f>
        <v>210</v>
      </c>
      <c r="AF11" s="23"/>
      <c r="AG11" s="23"/>
      <c r="AH11" s="23"/>
      <c r="AI11" s="23"/>
      <c r="AJ11" s="2"/>
    </row>
    <row r="12" spans="1:36" x14ac:dyDescent="0.25">
      <c r="A12" s="11"/>
      <c r="B12" s="27" t="str">
        <f>Dienstplan!B16</f>
        <v>Putschler</v>
      </c>
      <c r="C12">
        <f>SUMPRODUCT((ISNUMBER(SEARCH($Y11,Dienstplan!$B$8:$B$19))*(ISNUMBER(SEARCH($AB$3,Dienstplan!$C$8:$AG$19)))))-D12</f>
        <v>0</v>
      </c>
      <c r="D12">
        <f>SUMPRODUCT((ISNUMBER(SEARCH($Y11,Dienstplan!$B$8:$B$19))*(ISNUMBER(SEARCH($AB$4,Dienstplan!$C$8:$AG$19)))))</f>
        <v>0</v>
      </c>
      <c r="E12">
        <f>SUMPRODUCT((ISNUMBER(SEARCH($Y11,Dienstplan!$B$8:$B$19))*(ISNUMBER(SEARCH($AB$5,Dienstplan!$C$8:$AG$19)))))</f>
        <v>0</v>
      </c>
      <c r="F12">
        <f>SUMPRODUCT((ISNUMBER(SEARCH($Y11,Dienstplan!$B$8:$B$19))*(ISNUMBER(SEARCH($AB$6,Dienstplan!$C$8:$AG$19)))))</f>
        <v>0</v>
      </c>
      <c r="G12">
        <f>SUMPRODUCT((ISNUMBER(SEARCH($Y11,Dienstplan!$B$8:$B$19))*(ISNUMBER(SEARCH(AB$7,Dienstplan!$C$8:$AG$19)))))-H12</f>
        <v>0</v>
      </c>
      <c r="H12">
        <f>SUMPRODUCT((ISNUMBER(SEARCH($Y11,Dienstplan!$B$8:$B$19))*(ISNUMBER(SEARCH(AB$8,Dienstplan!$C$8:$AG$19)))))</f>
        <v>0</v>
      </c>
      <c r="I12">
        <f>SUMPRODUCT((ISNUMBER(SEARCH($Y11,Dienstplan!$B$8:$B$19))*(ISNUMBER(SEARCH($AB$9,Dienstplan!$C$8:$AG$19)))))</f>
        <v>0</v>
      </c>
      <c r="J12">
        <f>SUMPRODUCT((ISNUMBER(SEARCH($Y11,Dienstplan!$B$8:$B$19))*(ISNUMBER(SEARCH($AB$10,Dienstplan!$C$8:$AG$19)))))</f>
        <v>0</v>
      </c>
      <c r="K12">
        <f>SUMPRODUCT((ISNUMBER(SEARCH($Y11,Dienstplan!$B$8:$B$19))*(ISNUMBER(SEARCH($AB$11,Dienstplan!$C$8:$AG$19)))))-$Q12</f>
        <v>3</v>
      </c>
      <c r="L12">
        <f>SUMPRODUCT((ISNUMBER(SEARCH($Y11,Dienstplan!$B$8:$B$19))*(ISNUMBER(SEARCH($AB$12,Dienstplan!$C$8:$AG$19)))))</f>
        <v>0</v>
      </c>
      <c r="M12">
        <f>SUMPRODUCT((ISNUMBER(SEARCH($Y11,Dienstplan!$B$8:$B$19))*(ISNUMBER(SEARCH($AB$13,Dienstplan!$C$8:$AG$19)))))</f>
        <v>17</v>
      </c>
      <c r="N12">
        <f>SUMPRODUCT((ISNUMBER(SEARCH($Y11,Dienstplan!$B$8:$B$19))*(ISNUMBER(SEARCH($AB$14,Dienstplan!$C$8:$AG$19)))))</f>
        <v>0</v>
      </c>
      <c r="O12">
        <f>SUMPRODUCT((ISNUMBER(SEARCH($Y11,Dienstplan!$B$8:$B$19))*(ISNUMBER(SEARCH($AB$15,Dienstplan!$C$8:$AG$19)))))</f>
        <v>0</v>
      </c>
      <c r="P12">
        <f>SUMPRODUCT((ISNUMBER(SEARCH($Y11,Dienstplan!$B$8:$B$19))*(ISNUMBER(SEARCH($AB$16,Dienstplan!$C$8:$AG$19)))))</f>
        <v>2</v>
      </c>
      <c r="Q12">
        <f>SUMPRODUCT((ISNUMBER(SEARCH($Y11,Dienstplan!$B$8:$B$19))*(ISNUMBER(SEARCH($AB$17,Dienstplan!$C$8:$AG$19)))))</f>
        <v>0</v>
      </c>
      <c r="R12">
        <f>SUMPRODUCT((ISNUMBER(SEARCH($Y11,Dienstplan!$B$8:$B$19))*(ISNUMBER(SEARCH($AB$18,Dienstplan!$C$8:$AG$19)))))</f>
        <v>0</v>
      </c>
      <c r="S12" s="11">
        <f>SUMPRODUCT((ISNUMBER(SEARCH($Y11,Dienstplan!$B$8:$B$19))*(ISNUMBER(SEARCH($AB$19,Dienstplan!$C$8:$AG$19)))))</f>
        <v>0</v>
      </c>
      <c r="T12">
        <f>SUM($F$2*$Z11)</f>
        <v>168</v>
      </c>
      <c r="U12" s="14">
        <f>SUM($C12*Frueh_1+$D12*Spaet_1+$E12*Nacht_1+$F12*Normal_1+$I12*Sonderd_1-$J12*Put_W+$K12*Put_W+$L12*EH_Kurs+$M12*Koor_taet+$N12*Sekre_1+$O12*Put_W+$R12*Put_W+$P12*Put_W+$Q12*Put_W+G12*Unt_I+H12*Unt_II)</f>
        <v>176</v>
      </c>
      <c r="V12" s="11">
        <f t="shared" si="3"/>
        <v>8</v>
      </c>
      <c r="W12" s="20">
        <f>V12+AA10</f>
        <v>8</v>
      </c>
      <c r="Y12" s="191" t="str">
        <f>B13</f>
        <v>Schmidt</v>
      </c>
      <c r="Z12" s="37">
        <v>7</v>
      </c>
      <c r="AA12" s="38">
        <v>0</v>
      </c>
      <c r="AB12" s="28" t="s">
        <v>16</v>
      </c>
      <c r="AC12" s="37">
        <v>8</v>
      </c>
      <c r="AD12" s="39">
        <f>SUM(Z13*30)</f>
        <v>90</v>
      </c>
      <c r="AF12" s="23"/>
      <c r="AG12" s="23"/>
      <c r="AH12" s="23"/>
      <c r="AI12" s="23"/>
    </row>
    <row r="13" spans="1:36" x14ac:dyDescent="0.25">
      <c r="A13" s="11"/>
      <c r="B13" s="27" t="str">
        <f>Dienstplan!B18</f>
        <v>Schmidt</v>
      </c>
      <c r="C13">
        <f>SUMPRODUCT((ISNUMBER(SEARCH($Y12,Dienstplan!$B$8:$B$19))*(ISNUMBER(SEARCH($AB$3,Dienstplan!$C$8:$AG$19)))))-D13</f>
        <v>0</v>
      </c>
      <c r="D13">
        <f>SUMPRODUCT((ISNUMBER(SEARCH($Y12,Dienstplan!$B$8:$B$19))*(ISNUMBER(SEARCH($AB$4,Dienstplan!$C$8:$AG$19)))))</f>
        <v>0</v>
      </c>
      <c r="E13">
        <f>SUMPRODUCT((ISNUMBER(SEARCH($Y12,Dienstplan!$B$8:$B$19))*(ISNUMBER(SEARCH($AB$5,Dienstplan!$C$8:$AG$19)))))</f>
        <v>0</v>
      </c>
      <c r="F13">
        <f>SUMPRODUCT((ISNUMBER(SEARCH($Y12,Dienstplan!$B$8:$B$19))*(ISNUMBER(SEARCH($AB$6,Dienstplan!$C$8:$AG$19)))))</f>
        <v>0</v>
      </c>
      <c r="G13">
        <f>SUMPRODUCT((ISNUMBER(SEARCH($Y12,Dienstplan!$B$8:$B$19))*(ISNUMBER(SEARCH(AB$7,Dienstplan!$C$8:$AG$19)))))-H13</f>
        <v>0</v>
      </c>
      <c r="H13">
        <f>SUMPRODUCT((ISNUMBER(SEARCH($Y12,Dienstplan!$B$8:$B$19))*(ISNUMBER(SEARCH(AB$8,Dienstplan!$C$8:$AG$19)))))</f>
        <v>0</v>
      </c>
      <c r="I13">
        <f>SUMPRODUCT((ISNUMBER(SEARCH($Y12,Dienstplan!$B$8:$B$19))*(ISNUMBER(SEARCH($AB$9,Dienstplan!$C$8:$AG$19)))))</f>
        <v>0</v>
      </c>
      <c r="J13">
        <f>SUMPRODUCT((ISNUMBER(SEARCH($Y12,Dienstplan!$B$8:$B$19))*(ISNUMBER(SEARCH($AB$10,Dienstplan!$C$8:$AG$19)))))</f>
        <v>0</v>
      </c>
      <c r="K13">
        <f>SUMPRODUCT((ISNUMBER(SEARCH($Y12,Dienstplan!$B$8:$B$19))*(ISNUMBER(SEARCH($AB$11,Dienstplan!$C$8:$AG$19)))))-$Q13</f>
        <v>0</v>
      </c>
      <c r="L13">
        <f>SUMPRODUCT((ISNUMBER(SEARCH($Y12,Dienstplan!$B$8:$B$19))*(ISNUMBER(SEARCH($AB$12,Dienstplan!$C$8:$AG$19)))))</f>
        <v>0</v>
      </c>
      <c r="M13">
        <f>SUMPRODUCT((ISNUMBER(SEARCH($Y12,Dienstplan!$B$8:$B$19))*(ISNUMBER(SEARCH($AB$13,Dienstplan!$C$8:$AG$19)))))</f>
        <v>0</v>
      </c>
      <c r="N13">
        <f>SUMPRODUCT((ISNUMBER(SEARCH($Y12,Dienstplan!$B$8:$B$19))*(ISNUMBER(SEARCH($AB$14,Dienstplan!$C$8:$AG$19)))))</f>
        <v>0</v>
      </c>
      <c r="O13">
        <f>SUMPRODUCT((ISNUMBER(SEARCH($Y12,Dienstplan!$B$8:$B$19))*(ISNUMBER(SEARCH($AB$15,Dienstplan!$C$8:$AG$19)))))</f>
        <v>0</v>
      </c>
      <c r="P13">
        <f>SUMPRODUCT((ISNUMBER(SEARCH($Y12,Dienstplan!$B$8:$B$19))*(ISNUMBER(SEARCH($AB$16,Dienstplan!$C$8:$AG$19)))))</f>
        <v>0</v>
      </c>
      <c r="Q13">
        <f>SUMPRODUCT((ISNUMBER(SEARCH($Y12,Dienstplan!$B$8:$B$19))*(ISNUMBER(SEARCH($AB$17,Dienstplan!$C$8:$AG$19)))))</f>
        <v>0</v>
      </c>
      <c r="R13">
        <f>SUMPRODUCT((ISNUMBER(SEARCH($Y12,Dienstplan!$B$8:$B$19))*(ISNUMBER(SEARCH($AB$18,Dienstplan!$C$8:$AG$19)))))</f>
        <v>0</v>
      </c>
      <c r="S13" s="11">
        <f>SUMPRODUCT((ISNUMBER(SEARCH($Y12,Dienstplan!$B$8:$B$19))*(ISNUMBER(SEARCH($AB$19,Dienstplan!$C$8:$AG$19)))))</f>
        <v>0</v>
      </c>
      <c r="T13">
        <f>SUM($F$2*$Z12)</f>
        <v>147</v>
      </c>
      <c r="U13" s="14">
        <f>SUM($C13*Frueh_1+$D13*Spaet_1+$E13*Nacht_1+$F13*Normal_1+$I13*Sonderd_1-$J13*Radi_L+$K13*Radi_L+$L13*EH_Kurs+$M13*Koor_taet+$N13*Sekre_1+$O13*Radi_L+$R13*Radi_L+$P13*Radi_L+$Q13*Radi_L+G13*Unt_I+H13*Unt_II)</f>
        <v>0</v>
      </c>
      <c r="V13" s="11">
        <f t="shared" si="3"/>
        <v>-147</v>
      </c>
      <c r="W13" s="20">
        <f>V13+AA11</f>
        <v>-147</v>
      </c>
      <c r="Y13" s="43" t="str">
        <f>B14</f>
        <v>Radimersky</v>
      </c>
      <c r="Z13" s="8">
        <v>3</v>
      </c>
      <c r="AA13" s="38">
        <v>0</v>
      </c>
      <c r="AB13" s="28" t="s">
        <v>17</v>
      </c>
      <c r="AC13" s="37">
        <v>8</v>
      </c>
      <c r="AD13" s="39">
        <f>SUM(Z14*30)</f>
        <v>0</v>
      </c>
      <c r="AF13" s="23"/>
      <c r="AG13" s="23"/>
      <c r="AH13" s="23"/>
      <c r="AI13" s="23"/>
    </row>
    <row r="14" spans="1:36" x14ac:dyDescent="0.25">
      <c r="A14" s="11"/>
      <c r="B14" s="27" t="str">
        <f>Dienstplan!B19</f>
        <v>Radimersky</v>
      </c>
      <c r="C14">
        <f>SUMPRODUCT((ISNUMBER(SEARCH($Y13,Dienstplan!$B$8:$B$19))*(ISNUMBER(SEARCH($AB$3,Dienstplan!$C$8:$AG$19)))))-D14</f>
        <v>0</v>
      </c>
      <c r="D14">
        <f>SUMPRODUCT((ISNUMBER(SEARCH($Y13,Dienstplan!$B$8:$B$19))*(ISNUMBER(SEARCH($AB$4,Dienstplan!$C$8:$AG$19)))))</f>
        <v>0</v>
      </c>
      <c r="E14">
        <f>SUMPRODUCT((ISNUMBER(SEARCH($Y13,Dienstplan!$B$8:$B$19))*(ISNUMBER(SEARCH($AB$5,Dienstplan!$C$8:$AG$19)))))</f>
        <v>0</v>
      </c>
      <c r="F14">
        <f>SUMPRODUCT((ISNUMBER(SEARCH($Y13,Dienstplan!$B$8:$B$19))*(ISNUMBER(SEARCH($AB$6,Dienstplan!$C$8:$AG$19)))))</f>
        <v>0</v>
      </c>
      <c r="G14">
        <f>SUMPRODUCT((ISNUMBER(SEARCH($Y13,Dienstplan!$B$8:$B$19))*(ISNUMBER(SEARCH(AB$7,Dienstplan!$C$8:$AG$19)))))-H14</f>
        <v>0</v>
      </c>
      <c r="H14">
        <f>SUMPRODUCT((ISNUMBER(SEARCH($Y13,Dienstplan!$B$8:$B$19))*(ISNUMBER(SEARCH(AB$8,Dienstplan!$C$8:$AG$19)))))</f>
        <v>0</v>
      </c>
      <c r="I14">
        <f>SUMPRODUCT((ISNUMBER(SEARCH($Y13,Dienstplan!$B$8:$B$19))*(ISNUMBER(SEARCH($AB$9,Dienstplan!$C$8:$AG$19)))))</f>
        <v>0</v>
      </c>
      <c r="J14">
        <f>SUMPRODUCT((ISNUMBER(SEARCH($Y13,Dienstplan!$B$8:$B$19))*(ISNUMBER(SEARCH($AB$10,Dienstplan!$C$8:$AG$19)))))</f>
        <v>0</v>
      </c>
      <c r="K14">
        <f>SUMPRODUCT((ISNUMBER(SEARCH($Y13,Dienstplan!$B$8:$B$19))*(ISNUMBER(SEARCH($AB$11,Dienstplan!$C$8:$AG$19)))))-$Q14</f>
        <v>0</v>
      </c>
      <c r="L14">
        <f>SUMPRODUCT((ISNUMBER(SEARCH($Y13,Dienstplan!$B$8:$B$19))*(ISNUMBER(SEARCH($AB$12,Dienstplan!$C$8:$AG$19)))))</f>
        <v>0</v>
      </c>
      <c r="M14">
        <f>SUMPRODUCT((ISNUMBER(SEARCH($Y13,Dienstplan!$B$8:$B$19))*(ISNUMBER(SEARCH($AB$13,Dienstplan!$C$8:$AG$19)))))</f>
        <v>0</v>
      </c>
      <c r="N14">
        <f>SUMPRODUCT((ISNUMBER(SEARCH($Y13,Dienstplan!$B$8:$B$19))*(ISNUMBER(SEARCH($AB$14,Dienstplan!$C$8:$AG$19)))))</f>
        <v>0</v>
      </c>
      <c r="O14">
        <f>SUMPRODUCT((ISNUMBER(SEARCH($Y13,Dienstplan!$B$8:$B$19))*(ISNUMBER(SEARCH($AB$15,Dienstplan!$C$8:$AG$19)))))</f>
        <v>0</v>
      </c>
      <c r="P14">
        <f>SUMPRODUCT((ISNUMBER(SEARCH($Y13,Dienstplan!$B$8:$B$19))*(ISNUMBER(SEARCH($AB$16,Dienstplan!$C$8:$AG$19)))))</f>
        <v>0</v>
      </c>
      <c r="Q14">
        <f>SUMPRODUCT((ISNUMBER(SEARCH($Y13,Dienstplan!$B$8:$B$19))*(ISNUMBER(SEARCH($AB$17,Dienstplan!$C$8:$AG$19)))))</f>
        <v>0</v>
      </c>
      <c r="R14">
        <f>SUMPRODUCT((ISNUMBER(SEARCH($Y13,Dienstplan!$B$8:$B$19))*(ISNUMBER(SEARCH($AB$18,Dienstplan!$C$8:$AG$19)))))</f>
        <v>0</v>
      </c>
      <c r="S14" s="11">
        <f>SUMPRODUCT((ISNUMBER(SEARCH($Y13,Dienstplan!$B$8:$B$19))*(ISNUMBER(SEARCH($AB$19,Dienstplan!$C$8:$AG$19)))))</f>
        <v>0</v>
      </c>
      <c r="T14">
        <f>SUM($F$2*$Z13)</f>
        <v>63</v>
      </c>
      <c r="U14" s="14">
        <f>SUM($C14*Frueh_1+$D14*Spaet_1+$E14*Nacht_1+$F14*Normal_1+$I14*Sonderd_1-$J14*Fortenb+$K14*Fortenb+$L14*EH_Kurs+$M14*Koor_taet+$N14*Sekre_1+$O14*Fortenb+$R14*Fortenb+$P14*Fortenb+$Q14*Fortenb+G14*Unt_I+H14*Unt_II)</f>
        <v>0</v>
      </c>
      <c r="V14" s="11">
        <f t="shared" si="3"/>
        <v>-63</v>
      </c>
      <c r="W14" s="20">
        <f>V14+AA12</f>
        <v>-63</v>
      </c>
      <c r="Y14" s="7"/>
      <c r="Z14" s="8"/>
      <c r="AA14" s="30"/>
      <c r="AB14" s="28" t="s">
        <v>20</v>
      </c>
      <c r="AC14" s="41">
        <v>7</v>
      </c>
      <c r="AD14" s="39">
        <f t="shared" ref="AD14:AD15" si="6">SUM(Z14*30)</f>
        <v>0</v>
      </c>
      <c r="AF14" s="23"/>
      <c r="AG14" s="23"/>
      <c r="AH14" s="23"/>
      <c r="AI14" s="23"/>
    </row>
    <row r="15" spans="1:36" x14ac:dyDescent="0.25">
      <c r="A15" s="11"/>
      <c r="B15" s="27"/>
      <c r="S15" s="11"/>
      <c r="U15">
        <f>SUM($C15*Frueh_1+$D15*Spaet_1+$E15*Nacht_1+$F15*Normal_1+$I15*Sonderd_1-$J15*Velten+$K15*Velten+$L15*EH_Kurs+$M15*Koor_taet+$N15*Sekre_1+$O15*Velten+$R15*Velten+$P15*Velten+$Q15*Velten+G15*Unt_I+H15*Unt_II)</f>
        <v>0</v>
      </c>
      <c r="V15" s="11"/>
      <c r="W15" s="20"/>
      <c r="Y15" s="7"/>
      <c r="Z15" s="8"/>
      <c r="AA15" s="30"/>
      <c r="AB15" s="28" t="s">
        <v>19</v>
      </c>
      <c r="AC15" s="41" t="s">
        <v>35</v>
      </c>
      <c r="AD15" s="39">
        <f t="shared" si="6"/>
        <v>0</v>
      </c>
      <c r="AF15" s="23"/>
      <c r="AG15" s="23"/>
      <c r="AH15" s="23"/>
      <c r="AI15" s="23"/>
    </row>
    <row r="16" spans="1:36" ht="13.8" thickBot="1" x14ac:dyDescent="0.3">
      <c r="A16" s="11"/>
      <c r="B16" s="27" t="s">
        <v>23</v>
      </c>
      <c r="C16" s="4">
        <f t="shared" ref="C16:S16" si="7">SUM(C4:C15)</f>
        <v>20</v>
      </c>
      <c r="D16" s="4">
        <f t="shared" si="7"/>
        <v>13</v>
      </c>
      <c r="E16" s="4">
        <f t="shared" si="7"/>
        <v>18</v>
      </c>
      <c r="F16" s="4">
        <f t="shared" si="7"/>
        <v>17</v>
      </c>
      <c r="G16" s="4">
        <f t="shared" si="7"/>
        <v>16</v>
      </c>
      <c r="H16" s="4">
        <f t="shared" si="7"/>
        <v>0</v>
      </c>
      <c r="I16" s="4">
        <f t="shared" si="7"/>
        <v>2</v>
      </c>
      <c r="J16" s="4">
        <f t="shared" si="7"/>
        <v>12</v>
      </c>
      <c r="K16" s="4">
        <f t="shared" si="7"/>
        <v>25</v>
      </c>
      <c r="L16" s="4">
        <f t="shared" si="7"/>
        <v>0</v>
      </c>
      <c r="M16" s="4">
        <f t="shared" si="7"/>
        <v>17</v>
      </c>
      <c r="N16" s="4">
        <f t="shared" si="7"/>
        <v>0</v>
      </c>
      <c r="O16" s="4">
        <f t="shared" si="7"/>
        <v>0</v>
      </c>
      <c r="P16" s="4">
        <f t="shared" si="7"/>
        <v>10</v>
      </c>
      <c r="Q16" s="4">
        <f t="shared" si="7"/>
        <v>0</v>
      </c>
      <c r="R16" s="4">
        <f t="shared" si="7"/>
        <v>0</v>
      </c>
      <c r="S16" s="13">
        <f t="shared" si="7"/>
        <v>4</v>
      </c>
      <c r="T16" s="4">
        <f>SUM(T4:T13)</f>
        <v>1394.4</v>
      </c>
      <c r="U16" s="4">
        <f>SUM(U4:U13)</f>
        <v>968.4</v>
      </c>
      <c r="V16" s="13"/>
      <c r="W16" s="21"/>
      <c r="Y16" s="7"/>
      <c r="Z16" s="8"/>
      <c r="AA16" s="30"/>
      <c r="AB16" s="28" t="s">
        <v>76</v>
      </c>
      <c r="AC16" s="41" t="s">
        <v>35</v>
      </c>
      <c r="AD16" s="40">
        <f>SUM(AD3:AD10)</f>
        <v>1686</v>
      </c>
      <c r="AF16" s="23"/>
      <c r="AG16" s="23"/>
      <c r="AH16" s="23"/>
      <c r="AI16" s="23"/>
    </row>
    <row r="17" spans="1:35" ht="13.8" thickTop="1" x14ac:dyDescent="0.25">
      <c r="A17" s="11"/>
      <c r="B17" s="12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2"/>
      <c r="T17" s="1"/>
      <c r="U17" s="1"/>
      <c r="V17" s="12"/>
      <c r="W17" s="17"/>
      <c r="X17" s="22"/>
      <c r="Y17" s="7"/>
      <c r="Z17" s="8"/>
      <c r="AA17" s="30"/>
      <c r="AB17" s="28" t="s">
        <v>61</v>
      </c>
      <c r="AC17" s="41" t="s">
        <v>35</v>
      </c>
      <c r="AF17" s="23"/>
      <c r="AG17" s="23"/>
      <c r="AH17" s="23"/>
      <c r="AI17" s="23"/>
    </row>
    <row r="18" spans="1:35" x14ac:dyDescent="0.25">
      <c r="A18" s="11"/>
      <c r="B18" s="26" t="s">
        <v>22</v>
      </c>
      <c r="D18" s="365" t="s">
        <v>34</v>
      </c>
      <c r="E18" s="366"/>
      <c r="F18" s="36">
        <v>20</v>
      </c>
      <c r="G18" s="109"/>
      <c r="H18" s="18"/>
      <c r="I18" s="365" t="s">
        <v>51</v>
      </c>
      <c r="J18" s="366"/>
      <c r="K18" s="36">
        <v>4</v>
      </c>
      <c r="S18" s="11"/>
      <c r="V18" s="11"/>
      <c r="W18" s="20"/>
      <c r="X18" s="24"/>
      <c r="Y18" s="7"/>
      <c r="Z18" s="8"/>
      <c r="AA18" s="30"/>
      <c r="AB18" s="28" t="s">
        <v>14</v>
      </c>
      <c r="AC18" s="41" t="s">
        <v>35</v>
      </c>
    </row>
    <row r="19" spans="1:35" ht="13.8" thickBot="1" x14ac:dyDescent="0.3">
      <c r="A19" s="11"/>
      <c r="B19" s="11"/>
      <c r="C19" s="4" t="str">
        <f>Jahr!C3</f>
        <v>FI</v>
      </c>
      <c r="D19" s="4" t="str">
        <f>Jahr!D3</f>
        <v>FII</v>
      </c>
      <c r="E19" s="4" t="str">
        <f>Jahr!E3</f>
        <v>SI</v>
      </c>
      <c r="F19" s="4" t="str">
        <f>Jahr!F3</f>
        <v>NI</v>
      </c>
      <c r="G19" s="4" t="str">
        <f>Jahr!G3</f>
        <v>DI</v>
      </c>
      <c r="H19" s="4" t="str">
        <f>Jahr!H3</f>
        <v>DII</v>
      </c>
      <c r="I19" s="4" t="str">
        <f>Jahr!I3</f>
        <v>SD</v>
      </c>
      <c r="J19" s="4" t="str">
        <f>Jahr!J3</f>
        <v>GT</v>
      </c>
      <c r="K19" s="4" t="str">
        <f>Jahr!K3</f>
        <v>U</v>
      </c>
      <c r="L19" s="4" t="str">
        <f>Jahr!L3</f>
        <v>EH</v>
      </c>
      <c r="M19" s="4" t="str">
        <f>Jahr!M3</f>
        <v>KT</v>
      </c>
      <c r="N19" s="4" t="str">
        <f>Jahr!N3</f>
        <v>Sek</v>
      </c>
      <c r="O19" s="4" t="str">
        <f>Jahr!O3</f>
        <v>Fobi</v>
      </c>
      <c r="P19" s="4" t="str">
        <f>Jahr!P3</f>
        <v>A</v>
      </c>
      <c r="Q19" s="4" t="str">
        <f>Jahr!Q3</f>
        <v>Kur</v>
      </c>
      <c r="R19" s="4" t="str">
        <f>Jahr!R3</f>
        <v>FZC</v>
      </c>
      <c r="S19" s="4" t="str">
        <f>Jahr!S3</f>
        <v>NST</v>
      </c>
      <c r="T19" s="4" t="s">
        <v>37</v>
      </c>
      <c r="U19" s="4" t="s">
        <v>38</v>
      </c>
      <c r="V19" s="13" t="s">
        <v>39</v>
      </c>
      <c r="W19" s="21" t="s">
        <v>52</v>
      </c>
      <c r="X19" s="22"/>
      <c r="Y19" s="9"/>
      <c r="Z19" s="10"/>
      <c r="AA19" s="31"/>
      <c r="AB19" s="29" t="s">
        <v>21</v>
      </c>
      <c r="AC19" s="42" t="s">
        <v>35</v>
      </c>
      <c r="AE19" s="2"/>
    </row>
    <row r="20" spans="1:35" ht="14.4" thickTop="1" thickBot="1" x14ac:dyDescent="0.3">
      <c r="A20" s="11"/>
      <c r="B20" s="27" t="str">
        <f t="shared" ref="B20:B30" si="8">B4</f>
        <v>Breig</v>
      </c>
      <c r="C20">
        <f>SUMPRODUCT((ISNUMBER(SEARCH($Y3,Dienstplan!$B$8:$B$19))*(ISNUMBER(SEARCH($AB$3,Dienstplan!$AH$8:$BJ$19)))))-D20</f>
        <v>6</v>
      </c>
      <c r="D20">
        <f>SUMPRODUCT((ISNUMBER(SEARCH($Y3,Dienstplan!$B$8:$B$19))*(ISNUMBER(SEARCH($AB$4,Dienstplan!$AH$8:$BJ$19)))))</f>
        <v>2</v>
      </c>
      <c r="E20">
        <f>SUMPRODUCT((ISNUMBER(SEARCH($Y3,Dienstplan!$B$8:$B$19))*(ISNUMBER(SEARCH($AB$5,Dienstplan!$AH$8:$BJ$19)))))</f>
        <v>5</v>
      </c>
      <c r="F20">
        <f>SUMPRODUCT((ISNUMBER(SEARCH($Y3,Dienstplan!$B$8:$B$19))*(ISNUMBER(SEARCH($AB$6,Dienstplan!$AH$8:$BJ$19)))))</f>
        <v>5</v>
      </c>
      <c r="G20">
        <f>SUMPRODUCT((ISNUMBER(SEARCH($Y3,Dienstplan!$B$8:$B$19))*(ISNUMBER(SEARCH($AB$7,Dienstplan!$AH$8:$BJ$19)))))-H20</f>
        <v>1</v>
      </c>
      <c r="H20">
        <f>SUMPRODUCT((ISNUMBER(SEARCH($Y3,Dienstplan!$B$8:$B$19))*(ISNUMBER(SEARCH($AB$8,Dienstplan!$AH$8:$BJ$19)))))</f>
        <v>0</v>
      </c>
      <c r="I20">
        <f>SUMPRODUCT((ISNUMBER(SEARCH($Y3,Dienstplan!$B$8:$B$19))*(ISNUMBER(SEARCH($AB$9,Dienstplan!$AH$8:$BJ$19)))))</f>
        <v>0</v>
      </c>
      <c r="J20">
        <f>SUMPRODUCT((ISNUMBER(SEARCH($Y3,Dienstplan!$B$8:$B$19))*(ISNUMBER(SEARCH($AB$10,Dienstplan!$AH$8:$BJ$19)))))</f>
        <v>0</v>
      </c>
      <c r="K20">
        <f>SUMPRODUCT((ISNUMBER(SEARCH($Y3,Dienstplan!$B$8:$B$19))*(ISNUMBER(SEARCH($AB$11,Dienstplan!$AH$8:$BJ$19)))))-$Q20</f>
        <v>0</v>
      </c>
      <c r="L20">
        <f>SUMPRODUCT((ISNUMBER(SEARCH($Y3,Dienstplan!$B$8:$B$19))*(ISNUMBER(SEARCH($AB$12,Dienstplan!$AH$8:$BJ$19)))))</f>
        <v>1</v>
      </c>
      <c r="M20">
        <f>SUMPRODUCT((ISNUMBER(SEARCH($Y3,Dienstplan!$B$8:$B$19))*(ISNUMBER(SEARCH($AB$13,Dienstplan!$AH$8:$BJ$19)))))</f>
        <v>0</v>
      </c>
      <c r="N20">
        <f>SUMPRODUCT((ISNUMBER(SEARCH($Y3,Dienstplan!$B$8:$B$19))*(ISNUMBER(SEARCH($AB$14,Dienstplan!$AH$8:$BJ$19)))))</f>
        <v>0</v>
      </c>
      <c r="O20">
        <f>SUMPRODUCT((ISNUMBER(SEARCH($Y3,Dienstplan!$B$8:$B$19))*(ISNUMBER(SEARCH($AB$15,Dienstplan!$AH$8:$BJ$19)))))</f>
        <v>0</v>
      </c>
      <c r="P20">
        <f>SUMPRODUCT((ISNUMBER(SEARCH($Y3,Dienstplan!$B$8:$B$19))*(ISNUMBER(SEARCH($AB$16,Dienstplan!$AH$8:$BJ$19)))))</f>
        <v>0</v>
      </c>
      <c r="Q20">
        <f>SUMPRODUCT((ISNUMBER(SEARCH($Y3,Dienstplan!$B$8:$B$19))*(ISNUMBER(SEARCH($AB$17,Dienstplan!$AH$8:$BJ$19)))))</f>
        <v>0</v>
      </c>
      <c r="R20">
        <f>SUMPRODUCT((ISNUMBER(SEARCH($Y3,Dienstplan!$B$8:$B$19))*(ISNUMBER(SEARCH($AB$18,Dienstplan!$AH$8:$BJ$19)))))</f>
        <v>0</v>
      </c>
      <c r="S20" s="11">
        <f>SUMPRODUCT((ISNUMBER(SEARCH($Y3,Dienstplan!$B$8:$B$19))*(ISNUMBER(SEARCH($AB$19,Dienstplan!$AH$8:$BJ$19)))))</f>
        <v>1</v>
      </c>
      <c r="T20">
        <f t="shared" ref="T20:T30" si="9">SUM($F$18*$Z3)</f>
        <v>160</v>
      </c>
      <c r="U20" s="14">
        <f>SUM($C20*Frueh_1+$D20*Spaet_1+$E20*Nacht_1+$F20*Normal_1+$I20*Sonderd_1-$J20*Velten+$K20*Velten+$L20*EH_Kurs+$M20*Koor_taet+$N20*Sekre_1+$O20*Velten+$R20*Velten+$P20*Velten+$Q20*Velten+G20*Velt_M+H20*Velt_M)</f>
        <v>149.5</v>
      </c>
      <c r="V20" s="11">
        <f>SUM($U20-$T20)</f>
        <v>-10.5</v>
      </c>
      <c r="W20" s="20">
        <f t="shared" ref="W20:W30" si="10">V20+W4</f>
        <v>-32.5</v>
      </c>
      <c r="Y20" s="25"/>
    </row>
    <row r="21" spans="1:35" ht="13.8" thickTop="1" x14ac:dyDescent="0.25">
      <c r="A21" s="11"/>
      <c r="B21" s="27" t="str">
        <f t="shared" si="8"/>
        <v>Siebert</v>
      </c>
      <c r="C21">
        <f>SUMPRODUCT((ISNUMBER(SEARCH($Y4,Dienstplan!$B$8:$B$19))*(ISNUMBER(SEARCH($AB$3,Dienstplan!$AH$8:$BJ$19)))))-D21</f>
        <v>1</v>
      </c>
      <c r="D21">
        <f>SUMPRODUCT((ISNUMBER(SEARCH($Y4,Dienstplan!$B$8:$B$19))*(ISNUMBER(SEARCH($AB$4,Dienstplan!$AH$8:$BJ$19)))))</f>
        <v>1</v>
      </c>
      <c r="E21">
        <f>SUMPRODUCT((ISNUMBER(SEARCH($Y4,Dienstplan!$B$8:$B$19))*(ISNUMBER(SEARCH($AB$5,Dienstplan!$AH$8:$BJ$19)))))</f>
        <v>4</v>
      </c>
      <c r="F21">
        <f>SUMPRODUCT((ISNUMBER(SEARCH($Y4,Dienstplan!$B$8:$B$19))*(ISNUMBER(SEARCH($AB$6,Dienstplan!$AH$8:$BJ$19)))))</f>
        <v>11</v>
      </c>
      <c r="G21">
        <f>SUMPRODUCT((ISNUMBER(SEARCH($Y4,Dienstplan!$B$8:$B$19))*(ISNUMBER(SEARCH($AB$7,Dienstplan!$AH$8:$BJ$19)))))-H21</f>
        <v>0</v>
      </c>
      <c r="H21">
        <f>SUMPRODUCT((ISNUMBER(SEARCH($Y4,Dienstplan!$B$8:$B$19))*(ISNUMBER(SEARCH($AB$8,Dienstplan!$AH$8:$BJ$19)))))</f>
        <v>0</v>
      </c>
      <c r="I21">
        <f>SUMPRODUCT((ISNUMBER(SEARCH($Y4,Dienstplan!$B$8:$B$19))*(ISNUMBER(SEARCH($AB$9,Dienstplan!$AH$8:$BJ$19)))))</f>
        <v>0</v>
      </c>
      <c r="J21">
        <f>SUMPRODUCT((ISNUMBER(SEARCH($Y4,Dienstplan!$B$8:$B$19))*(ISNUMBER(SEARCH($AB$10,Dienstplan!$AH$8:$BJ$19)))))</f>
        <v>0</v>
      </c>
      <c r="K21">
        <f>SUMPRODUCT((ISNUMBER(SEARCH($Y4,Dienstplan!$B$8:$B$19))*(ISNUMBER(SEARCH($AB$11,Dienstplan!$AH$8:$BJ$19)))))-$Q21</f>
        <v>3</v>
      </c>
      <c r="L21">
        <f>SUMPRODUCT((ISNUMBER(SEARCH($Y4,Dienstplan!$B$8:$B$19))*(ISNUMBER(SEARCH($AB$12,Dienstplan!$AH$8:$BJ$19)))))</f>
        <v>1</v>
      </c>
      <c r="M21">
        <f>SUMPRODUCT((ISNUMBER(SEARCH($Y4,Dienstplan!$B$8:$B$19))*(ISNUMBER(SEARCH($AB$13,Dienstplan!$AH$8:$BJ$19)))))</f>
        <v>0</v>
      </c>
      <c r="N21">
        <f>SUMPRODUCT((ISNUMBER(SEARCH($Y4,Dienstplan!$B$8:$B$19))*(ISNUMBER(SEARCH($AB$14,Dienstplan!$AH$8:$BJ$19)))))</f>
        <v>0</v>
      </c>
      <c r="O21">
        <f>SUMPRODUCT((ISNUMBER(SEARCH($Y4,Dienstplan!$B$8:$B$19))*(ISNUMBER(SEARCH($AB$15,Dienstplan!$AH$8:$BJ$19)))))</f>
        <v>0</v>
      </c>
      <c r="P21">
        <f>SUMPRODUCT((ISNUMBER(SEARCH($Y4,Dienstplan!$B$8:$B$19))*(ISNUMBER(SEARCH($AB$16,Dienstplan!$AH$8:$BJ$19)))))</f>
        <v>0</v>
      </c>
      <c r="Q21">
        <f>SUMPRODUCT((ISNUMBER(SEARCH($Y4,Dienstplan!$B$8:$B$19))*(ISNUMBER(SEARCH($AB$17,Dienstplan!$AH$8:$BJ$19)))))</f>
        <v>0</v>
      </c>
      <c r="R21">
        <f>SUMPRODUCT((ISNUMBER(SEARCH($Y4,Dienstplan!$B$8:$B$19))*(ISNUMBER(SEARCH($AB$18,Dienstplan!$AH$8:$BJ$19)))))</f>
        <v>0</v>
      </c>
      <c r="S21" s="11">
        <f>SUMPRODUCT((ISNUMBER(SEARCH($Y4,Dienstplan!$B$8:$B$19))*(ISNUMBER(SEARCH($AB$19,Dienstplan!$AH$8:$BJ$19)))))</f>
        <v>1</v>
      </c>
      <c r="T21">
        <f t="shared" si="9"/>
        <v>140</v>
      </c>
      <c r="U21" s="14">
        <f>SUM($C21*Frueh_1+$D21*Spaet_1+$E21*Nacht_1+$F21*Normal_1+$I21*Sonderd_1-$J21*Brue_H+$K21*Brue_H+$L21*EH_Kurs+$M21*Koor_taet+$N21*Sekre_1+$O21*Brue_H+$R21*Brue_H+$P21*Brue_H+$Q21*Brue_H+G21*Brue_H+H21*Brue_H)</f>
        <v>156.25</v>
      </c>
      <c r="V21" s="11">
        <f t="shared" ref="V21:V30" si="11">SUM($U21-$T21)</f>
        <v>16.25</v>
      </c>
      <c r="W21" s="20">
        <f t="shared" si="10"/>
        <v>24.25</v>
      </c>
      <c r="Y21" s="373" t="s">
        <v>53</v>
      </c>
      <c r="Z21" s="374"/>
      <c r="AA21" s="374"/>
      <c r="AB21" s="375"/>
    </row>
    <row r="22" spans="1:35" x14ac:dyDescent="0.25">
      <c r="A22" s="11"/>
      <c r="B22" s="27" t="str">
        <f t="shared" si="8"/>
        <v>Jochim</v>
      </c>
      <c r="C22">
        <f>SUMPRODUCT((ISNUMBER(SEARCH($Y5,Dienstplan!$B$8:$B$19))*(ISNUMBER(SEARCH($AB$3,Dienstplan!$AH$8:$BJ$19)))))-D22</f>
        <v>0</v>
      </c>
      <c r="D22">
        <f>SUMPRODUCT((ISNUMBER(SEARCH($Y5,Dienstplan!$B$8:$B$19))*(ISNUMBER(SEARCH($AB$4,Dienstplan!$AH$8:$BJ$19)))))</f>
        <v>0</v>
      </c>
      <c r="E22">
        <f>SUMPRODUCT((ISNUMBER(SEARCH($Y5,Dienstplan!$B$8:$B$19))*(ISNUMBER(SEARCH($AB$5,Dienstplan!$AH$8:$BJ$19)))))</f>
        <v>0</v>
      </c>
      <c r="F22">
        <f>SUMPRODUCT((ISNUMBER(SEARCH($Y5,Dienstplan!$B$8:$B$19))*(ISNUMBER(SEARCH($AB$6,Dienstplan!$AH$8:$BJ$19)))))</f>
        <v>0</v>
      </c>
      <c r="G22">
        <f>SUMPRODUCT((ISNUMBER(SEARCH($Y5,Dienstplan!$B$8:$B$19))*(ISNUMBER(SEARCH($AB$7,Dienstplan!$AH$8:$BJ$19)))))-H22</f>
        <v>3</v>
      </c>
      <c r="H22">
        <f>SUMPRODUCT((ISNUMBER(SEARCH($Y5,Dienstplan!$B$8:$B$19))*(ISNUMBER(SEARCH($AB$8,Dienstplan!$AH$8:$BJ$19)))))</f>
        <v>0</v>
      </c>
      <c r="I22">
        <f>SUMPRODUCT((ISNUMBER(SEARCH($Y5,Dienstplan!$B$8:$B$19))*(ISNUMBER(SEARCH($AB$9,Dienstplan!$AH$8:$BJ$19)))))</f>
        <v>0</v>
      </c>
      <c r="J22">
        <f>SUMPRODUCT((ISNUMBER(SEARCH($Y5,Dienstplan!$B$8:$B$19))*(ISNUMBER(SEARCH($AB$10,Dienstplan!$AH$8:$BJ$19)))))</f>
        <v>0</v>
      </c>
      <c r="K22">
        <f>SUMPRODUCT((ISNUMBER(SEARCH($Y5,Dienstplan!$B$8:$B$19))*(ISNUMBER(SEARCH($AB$11,Dienstplan!$AH$8:$BJ$19)))))-$Q22</f>
        <v>0</v>
      </c>
      <c r="L22">
        <f>SUMPRODUCT((ISNUMBER(SEARCH($Y5,Dienstplan!$B$8:$B$19))*(ISNUMBER(SEARCH($AB$12,Dienstplan!$AH$8:$BJ$19)))))</f>
        <v>0</v>
      </c>
      <c r="M22">
        <f>SUMPRODUCT((ISNUMBER(SEARCH($Y5,Dienstplan!$B$8:$B$19))*(ISNUMBER(SEARCH($AB$13,Dienstplan!$AH$8:$BJ$19)))))</f>
        <v>0</v>
      </c>
      <c r="N22">
        <f>SUMPRODUCT((ISNUMBER(SEARCH($Y5,Dienstplan!$B$8:$B$19))*(ISNUMBER(SEARCH($AB$14,Dienstplan!$AH$8:$BJ$19)))))</f>
        <v>0</v>
      </c>
      <c r="O22">
        <f>SUMPRODUCT((ISNUMBER(SEARCH($Y5,Dienstplan!$B$8:$B$19))*(ISNUMBER(SEARCH($AB$15,Dienstplan!$AH$8:$BJ$19)))))</f>
        <v>0</v>
      </c>
      <c r="P22">
        <f>SUMPRODUCT((ISNUMBER(SEARCH($Y5,Dienstplan!$B$8:$B$19))*(ISNUMBER(SEARCH($AB$16,Dienstplan!$AH$8:$BJ$19)))))</f>
        <v>0</v>
      </c>
      <c r="Q22">
        <f>SUMPRODUCT((ISNUMBER(SEARCH($Y5,Dienstplan!$B$8:$B$19))*(ISNUMBER(SEARCH($AB$17,Dienstplan!$AH$8:$BJ$19)))))</f>
        <v>0</v>
      </c>
      <c r="R22">
        <f>SUMPRODUCT((ISNUMBER(SEARCH($Y5,Dienstplan!$B$8:$B$19))*(ISNUMBER(SEARCH($AB$18,Dienstplan!$AH$8:$BJ$19)))))</f>
        <v>0</v>
      </c>
      <c r="S22" s="11">
        <f>SUMPRODUCT((ISNUMBER(SEARCH($Y5,Dienstplan!$B$8:$B$19))*(ISNUMBER(SEARCH($AB$19,Dienstplan!$AH$8:$BJ$19)))))</f>
        <v>0</v>
      </c>
      <c r="T22">
        <f t="shared" si="9"/>
        <v>140</v>
      </c>
      <c r="U22" s="14">
        <f>SUM($C22*Frueh_1+$D22*Spaet_1+$E22*Nacht_1+$F22*Normal_1+$I22*Sonderd_1-$J22*Rath_M+$K22*Rath_M+$L22*EH_Kurs+$M22*Koor_taet+$N22*Sekre_1+$O22*Rath_M+$R22*Rath_M+$P22*Rath_M+$Q22*Rath_M+G22*Rath_M+H22*Rath_M)</f>
        <v>21</v>
      </c>
      <c r="V22" s="11">
        <f t="shared" si="11"/>
        <v>-119</v>
      </c>
      <c r="W22" s="20">
        <f t="shared" si="10"/>
        <v>-266</v>
      </c>
      <c r="Y22" s="380" t="s">
        <v>54</v>
      </c>
      <c r="Z22" s="381"/>
      <c r="AA22" s="371">
        <f>$T$16+$T$32+$T$48+$T$64+$T$80+$T$96</f>
        <v>7840.8</v>
      </c>
      <c r="AB22" s="372"/>
      <c r="AE22" s="2"/>
      <c r="AF22" s="2"/>
    </row>
    <row r="23" spans="1:35" x14ac:dyDescent="0.25">
      <c r="A23" s="11"/>
      <c r="B23" s="27" t="str">
        <f t="shared" si="8"/>
        <v>Wunsch</v>
      </c>
      <c r="C23">
        <f>SUMPRODUCT((ISNUMBER(SEARCH($Y6,Dienstplan!$B$8:$B$19))*(ISNUMBER(SEARCH($AB$3,Dienstplan!$AH$8:$BJ$19)))))-D23</f>
        <v>2</v>
      </c>
      <c r="D23">
        <f>SUMPRODUCT((ISNUMBER(SEARCH($Y6,Dienstplan!$B$8:$B$19))*(ISNUMBER(SEARCH($AB$4,Dienstplan!$AH$8:$BJ$19)))))</f>
        <v>2</v>
      </c>
      <c r="E23">
        <f>SUMPRODUCT((ISNUMBER(SEARCH($Y6,Dienstplan!$B$8:$B$19))*(ISNUMBER(SEARCH($AB$5,Dienstplan!$AH$8:$BJ$19)))))</f>
        <v>0</v>
      </c>
      <c r="F23">
        <f>SUMPRODUCT((ISNUMBER(SEARCH($Y6,Dienstplan!$B$8:$B$19))*(ISNUMBER(SEARCH($AB$6,Dienstplan!$AH$8:$BJ$19)))))</f>
        <v>5</v>
      </c>
      <c r="G23">
        <f>SUMPRODUCT((ISNUMBER(SEARCH($Y6,Dienstplan!$B$8:$B$19))*(ISNUMBER(SEARCH($AB$7,Dienstplan!$AH$8:$BJ$19)))))-H23</f>
        <v>1</v>
      </c>
      <c r="H23">
        <f>SUMPRODUCT((ISNUMBER(SEARCH($Y6,Dienstplan!$B$8:$B$19))*(ISNUMBER(SEARCH($AB$8,Dienstplan!$AH$8:$BJ$19)))))</f>
        <v>0</v>
      </c>
      <c r="I23">
        <f>SUMPRODUCT((ISNUMBER(SEARCH($Y6,Dienstplan!$B$8:$B$19))*(ISNUMBER(SEARCH($AB$9,Dienstplan!$AH$8:$BJ$19)))))</f>
        <v>3</v>
      </c>
      <c r="J23">
        <f>SUMPRODUCT((ISNUMBER(SEARCH($Y6,Dienstplan!$B$8:$B$19))*(ISNUMBER(SEARCH($AB$10,Dienstplan!$AH$8:$BJ$19)))))</f>
        <v>0</v>
      </c>
      <c r="K23">
        <f>SUMPRODUCT((ISNUMBER(SEARCH($Y6,Dienstplan!$B$8:$B$19))*(ISNUMBER(SEARCH($AB$11,Dienstplan!$AH$8:$BJ$19)))))-$Q23</f>
        <v>2</v>
      </c>
      <c r="L23">
        <f>SUMPRODUCT((ISNUMBER(SEARCH($Y6,Dienstplan!$B$8:$B$19))*(ISNUMBER(SEARCH($AB$12,Dienstplan!$AH$8:$BJ$19)))))</f>
        <v>2</v>
      </c>
      <c r="M23">
        <f>SUMPRODUCT((ISNUMBER(SEARCH($Y6,Dienstplan!$B$8:$B$19))*(ISNUMBER(SEARCH($AB$13,Dienstplan!$AH$8:$BJ$19)))))</f>
        <v>0</v>
      </c>
      <c r="N23">
        <f>SUMPRODUCT((ISNUMBER(SEARCH($Y6,Dienstplan!$B$8:$B$19))*(ISNUMBER(SEARCH($AB$14,Dienstplan!$AH$8:$BJ$19)))))</f>
        <v>0</v>
      </c>
      <c r="O23">
        <f>SUMPRODUCT((ISNUMBER(SEARCH($Y6,Dienstplan!$B$8:$B$19))*(ISNUMBER(SEARCH($AB$15,Dienstplan!$AH$8:$BJ$19)))))</f>
        <v>2</v>
      </c>
      <c r="P23">
        <f>SUMPRODUCT((ISNUMBER(SEARCH($Y6,Dienstplan!$B$8:$B$19))*(ISNUMBER(SEARCH($AB$16,Dienstplan!$AH$8:$BJ$19)))))</f>
        <v>0</v>
      </c>
      <c r="Q23">
        <f>SUMPRODUCT((ISNUMBER(SEARCH($Y6,Dienstplan!$B$8:$B$19))*(ISNUMBER(SEARCH($AB$17,Dienstplan!$AH$8:$BJ$19)))))</f>
        <v>0</v>
      </c>
      <c r="R23">
        <f>SUMPRODUCT((ISNUMBER(SEARCH($Y6,Dienstplan!$B$8:$B$19))*(ISNUMBER(SEARCH($AB$18,Dienstplan!$AH$8:$BJ$19)))))</f>
        <v>0</v>
      </c>
      <c r="S23" s="11">
        <f>SUMPRODUCT((ISNUMBER(SEARCH($Y6,Dienstplan!$B$8:$B$19))*(ISNUMBER(SEARCH($AB$19,Dienstplan!$AH$8:$BJ$19)))))</f>
        <v>1</v>
      </c>
      <c r="T23">
        <f t="shared" si="9"/>
        <v>160</v>
      </c>
      <c r="U23" s="14">
        <f>SUM($C23*Frueh_1+$D23*Spaet_1+$E23*Nacht_1+$F23*Normal_1+$I23*Sonderd_1-$J23*Scho_K+$K23*Scho_K+$L23*EH_Kurs+$M23*Koor_taet+$N23*Sekre_1+$O23*Scho_K+$R23*Scho_K+$P23*Scho_K+$Q23*Scho_K+G23*Scho_K+H23*Scho_K)</f>
        <v>144</v>
      </c>
      <c r="V23" s="11">
        <f t="shared" si="11"/>
        <v>-16</v>
      </c>
      <c r="W23" s="20">
        <f t="shared" si="10"/>
        <v>-34.75</v>
      </c>
      <c r="Y23" s="382" t="s">
        <v>55</v>
      </c>
      <c r="Z23" s="383"/>
      <c r="AA23" s="371">
        <f>$U$16+$U$32+$U$48+$U$64+$U$80+$U$96</f>
        <v>5244.35</v>
      </c>
      <c r="AB23" s="372"/>
      <c r="AE23" s="2"/>
      <c r="AF23" s="2"/>
    </row>
    <row r="24" spans="1:35" ht="13.8" thickBot="1" x14ac:dyDescent="0.3">
      <c r="A24" s="11"/>
      <c r="B24" s="27" t="str">
        <f t="shared" si="8"/>
        <v>Göpfrich</v>
      </c>
      <c r="C24">
        <f>SUMPRODUCT((ISNUMBER(SEARCH($Y7,Dienstplan!$B$8:$B$19))*(ISNUMBER(SEARCH($AB$3,Dienstplan!$AH$8:$BJ$19)))))-D24</f>
        <v>4</v>
      </c>
      <c r="D24">
        <f>SUMPRODUCT((ISNUMBER(SEARCH($Y7,Dienstplan!$B$8:$B$19))*(ISNUMBER(SEARCH($AB$4,Dienstplan!$AH$8:$BJ$19)))))</f>
        <v>0</v>
      </c>
      <c r="E24">
        <f>SUMPRODUCT((ISNUMBER(SEARCH($Y7,Dienstplan!$B$8:$B$19))*(ISNUMBER(SEARCH($AB$5,Dienstplan!$AH$8:$BJ$19)))))</f>
        <v>6</v>
      </c>
      <c r="F24">
        <f>SUMPRODUCT((ISNUMBER(SEARCH($Y7,Dienstplan!$B$8:$B$19))*(ISNUMBER(SEARCH($AB$6,Dienstplan!$AH$8:$BJ$19)))))</f>
        <v>1</v>
      </c>
      <c r="G24">
        <f>SUMPRODUCT((ISNUMBER(SEARCH($Y7,Dienstplan!$B$8:$B$19))*(ISNUMBER(SEARCH($AB$7,Dienstplan!$AH$8:$BJ$19)))))-H24</f>
        <v>2</v>
      </c>
      <c r="H24">
        <f>SUMPRODUCT((ISNUMBER(SEARCH($Y7,Dienstplan!$B$8:$B$19))*(ISNUMBER(SEARCH($AB$8,Dienstplan!$AH$8:$BJ$19)))))</f>
        <v>0</v>
      </c>
      <c r="I24">
        <f>SUMPRODUCT((ISNUMBER(SEARCH($Y7,Dienstplan!$B$8:$B$19))*(ISNUMBER(SEARCH($AB$9,Dienstplan!$AH$8:$BJ$19)))))</f>
        <v>1</v>
      </c>
      <c r="J24">
        <f>SUMPRODUCT((ISNUMBER(SEARCH($Y7,Dienstplan!$B$8:$B$19))*(ISNUMBER(SEARCH($AB$10,Dienstplan!$AH$8:$BJ$19)))))</f>
        <v>2</v>
      </c>
      <c r="K24">
        <f>SUMPRODUCT((ISNUMBER(SEARCH($Y7,Dienstplan!$B$8:$B$19))*(ISNUMBER(SEARCH($AB$11,Dienstplan!$AH$8:$BJ$19)))))-$Q24</f>
        <v>1</v>
      </c>
      <c r="L24">
        <f>SUMPRODUCT((ISNUMBER(SEARCH($Y7,Dienstplan!$B$8:$B$19))*(ISNUMBER(SEARCH($AB$12,Dienstplan!$AH$8:$BJ$19)))))</f>
        <v>0</v>
      </c>
      <c r="M24">
        <f>SUMPRODUCT((ISNUMBER(SEARCH($Y7,Dienstplan!$B$8:$B$19))*(ISNUMBER(SEARCH($AB$13,Dienstplan!$AH$8:$BJ$19)))))</f>
        <v>0</v>
      </c>
      <c r="N24">
        <f>SUMPRODUCT((ISNUMBER(SEARCH($Y7,Dienstplan!$B$8:$B$19))*(ISNUMBER(SEARCH($AB$14,Dienstplan!$AH$8:$BJ$19)))))</f>
        <v>0</v>
      </c>
      <c r="O24">
        <f>SUMPRODUCT((ISNUMBER(SEARCH($Y7,Dienstplan!$B$8:$B$19))*(ISNUMBER(SEARCH($AB$15,Dienstplan!$AH$8:$BJ$19)))))</f>
        <v>4</v>
      </c>
      <c r="P24">
        <f>SUMPRODUCT((ISNUMBER(SEARCH($Y7,Dienstplan!$B$8:$B$19))*(ISNUMBER(SEARCH($AB$16,Dienstplan!$AH$8:$BJ$19)))))</f>
        <v>0</v>
      </c>
      <c r="Q24">
        <f>SUMPRODUCT((ISNUMBER(SEARCH($Y7,Dienstplan!$B$8:$B$19))*(ISNUMBER(SEARCH($AB$17,Dienstplan!$AH$8:$BJ$19)))))</f>
        <v>0</v>
      </c>
      <c r="R24">
        <f>SUMPRODUCT((ISNUMBER(SEARCH($Y7,Dienstplan!$B$8:$B$19))*(ISNUMBER(SEARCH($AB$18,Dienstplan!$AH$8:$BJ$19)))))</f>
        <v>0</v>
      </c>
      <c r="S24" s="11">
        <f>SUMPRODUCT((ISNUMBER(SEARCH($Y7,Dienstplan!$B$8:$B$19))*(ISNUMBER(SEARCH($AB$19,Dienstplan!$AH$8:$BJ$19)))))</f>
        <v>1</v>
      </c>
      <c r="T24">
        <f t="shared" si="9"/>
        <v>140</v>
      </c>
      <c r="U24" s="14">
        <f>SUM($C24*Frueh_1+$D24*Spaet_1+$E24*Nacht_1+$F24*Normal_1+$I24*Sonderd_1-$J24*Krie_B+$K24*Krie_B+$L24*EH_Kurs+$M24*Koor_taet+$N24*Sekre_1+$O24*Krie_B+$R24*Krie_B+$P24*Krie_B+$Q24*Krie_B+G24*Krie_B+H24*Krie_B)</f>
        <v>123.5</v>
      </c>
      <c r="V24" s="11">
        <f t="shared" si="11"/>
        <v>-16.5</v>
      </c>
      <c r="W24" s="20">
        <f t="shared" si="10"/>
        <v>5</v>
      </c>
      <c r="Y24" s="378" t="s">
        <v>39</v>
      </c>
      <c r="Z24" s="379"/>
      <c r="AA24" s="369">
        <f>AA23-AA22</f>
        <v>-2596.4499999999998</v>
      </c>
      <c r="AB24" s="370"/>
    </row>
    <row r="25" spans="1:35" ht="14.4" thickTop="1" thickBot="1" x14ac:dyDescent="0.3">
      <c r="A25" s="11"/>
      <c r="B25" s="27" t="str">
        <f t="shared" si="8"/>
        <v>Zeller</v>
      </c>
      <c r="C25" cm="1">
        <f t="array" ref="C25">SUMPRODUCT((ISNUMBER(SEARCH(Y8,Dienstplan!$B$8:$B$19))*(ISNUMBER(SEARCH($AB$3,Dienstplan!$AH$8:$BJ$19)))))-D25</f>
        <v>9</v>
      </c>
      <c r="D25" cm="1">
        <f t="array" ref="D25">SUMPRODUCT((ISNUMBER(SEARCH(Y8,Dienstplan!$B$8:$B$19))*(ISNUMBER(SEARCH($AB$4,Dienstplan!$AH$8:$BJ$19)))))</f>
        <v>0</v>
      </c>
      <c r="E25" cm="1">
        <f t="array" ref="E25">SUMPRODUCT((ISNUMBER(SEARCH(Y8,Dienstplan!$B$8:$B$19))*(ISNUMBER(SEARCH($AB$5,Dienstplan!$AH$8:$BJ$19)))))</f>
        <v>5</v>
      </c>
      <c r="F25" cm="1">
        <f t="array" ref="F25">SUMPRODUCT((ISNUMBER(SEARCH(Y8,Dienstplan!$B$8:$B$19))*(ISNUMBER(SEARCH($AB$6,Dienstplan!$AH$8:$BJ$19)))))</f>
        <v>5</v>
      </c>
      <c r="G25" cm="1">
        <f t="array" ref="G25">SUMPRODUCT((ISNUMBER(SEARCH(Y8,Dienstplan!$B$8:$B$19))*(ISNUMBER(SEARCH($AB$7,Dienstplan!$AH$8:$BJ$19)))))-H25</f>
        <v>0</v>
      </c>
      <c r="H25" cm="1">
        <f t="array" ref="H25">SUMPRODUCT((ISNUMBER(SEARCH(Y8,Dienstplan!$B$8:$B$19))*(ISNUMBER(SEARCH($AB$8,Dienstplan!$AH$8:$BJ$19)))))</f>
        <v>0</v>
      </c>
      <c r="I25" cm="1">
        <f t="array" ref="I25">SUMPRODUCT((ISNUMBER(SEARCH(Y8,Dienstplan!$B$8:$B$19))*(ISNUMBER(SEARCH($AB$9,Dienstplan!$AH$8:$BJ$19)))))</f>
        <v>0</v>
      </c>
      <c r="J25" cm="1">
        <f t="array" ref="J25">SUMPRODUCT((ISNUMBER(SEARCH(Y8,Dienstplan!$B$8:$B$19))*(ISNUMBER(SEARCH($AB$10,Dienstplan!$AH$8:$BJ$19)))))</f>
        <v>1</v>
      </c>
      <c r="K25" cm="1">
        <f t="array" ref="K25">SUMPRODUCT((ISNUMBER(SEARCH(Y8,Dienstplan!$B$8:$B$19))*(ISNUMBER(SEARCH($AB$11,Dienstplan!$AH$8:$BJ$19)))))-$Q25</f>
        <v>0</v>
      </c>
      <c r="L25" cm="1">
        <f t="array" ref="L25">SUMPRODUCT((ISNUMBER(SEARCH(Y8,Dienstplan!$B$8:$B$19))*(ISNUMBER(SEARCH($AB$12,Dienstplan!$AH$8:$BJ$19)))))</f>
        <v>0</v>
      </c>
      <c r="M25" cm="1">
        <f t="array" ref="M25">SUMPRODUCT((ISNUMBER(SEARCH(Y8,Dienstplan!$B$8:$B$19))*(ISNUMBER(SEARCH($AB$13,Dienstplan!$AH$8:$BJ$19)))))</f>
        <v>0</v>
      </c>
      <c r="N25" cm="1">
        <f t="array" ref="N25">SUMPRODUCT((ISNUMBER(SEARCH(Y8,Dienstplan!$B$8:$B$19))*(ISNUMBER(SEARCH($AB$14,Dienstplan!$AH$8:$BJ$19)))))</f>
        <v>0</v>
      </c>
      <c r="O25" cm="1">
        <f t="array" ref="O25">SUMPRODUCT((ISNUMBER(SEARCH(Y8,Dienstplan!$B$8:$B$19))*(ISNUMBER(SEARCH($AB$15,Dienstplan!$AH$8:$BJ$19)))))</f>
        <v>0</v>
      </c>
      <c r="P25" cm="1">
        <f t="array" ref="P25">SUMPRODUCT((ISNUMBER(SEARCH(Y8,Dienstplan!$B$8:$B$19))*(ISNUMBER(SEARCH($AB$16,Dienstplan!$AH$8:$BJ$19)))))</f>
        <v>0</v>
      </c>
      <c r="Q25" cm="1">
        <f t="array" ref="Q25">SUMPRODUCT((ISNUMBER(SEARCH(Y8,Dienstplan!$B$8:$B$19))*(ISNUMBER(SEARCH($AB$17,Dienstplan!$AH$8:$BJ$19)))))</f>
        <v>0</v>
      </c>
      <c r="R25" cm="1">
        <f t="array" ref="R25">SUMPRODUCT((ISNUMBER(SEARCH(Y8,Dienstplan!$B$8:$B$19))*(ISNUMBER(SEARCH($AB$18,Dienstplan!$AH$8:$BJ$19)))))</f>
        <v>0</v>
      </c>
      <c r="S25" s="11" cm="1">
        <f t="array" ref="S25">SUMPRODUCT((ISNUMBER(SEARCH(Y8,Dienstplan!$B$8:$B$19))*(ISNUMBER(SEARCH($AB$19,Dienstplan!$AH$8:$BJ$19)))))</f>
        <v>2</v>
      </c>
      <c r="T25">
        <f t="shared" si="9"/>
        <v>160</v>
      </c>
      <c r="U25" s="14">
        <f>SUM($C25*Frueh_1+$D25*Spaet_1+$E25*Nacht_1+$F25*Normal_1+$I25*Sonderd_1-$J25*Muster+$K25*Muster+$L25*EH_Kurs+$M25*Koor_taet+$N25*Sekre_1+$O25*Muster+$P25*Muster+$Q25*Muster+$R25*Muster+G25*Muster+H25*Muster)</f>
        <v>132.25</v>
      </c>
      <c r="V25" s="11">
        <f t="shared" si="11"/>
        <v>-27.75</v>
      </c>
      <c r="W25" s="20">
        <f t="shared" si="10"/>
        <v>-52.5</v>
      </c>
      <c r="Y25" s="376" t="s">
        <v>63</v>
      </c>
      <c r="Z25" s="377"/>
      <c r="AA25" s="367">
        <f>AA24+AD16</f>
        <v>-910.44999999999982</v>
      </c>
      <c r="AB25" s="368"/>
    </row>
    <row r="26" spans="1:35" ht="13.8" thickTop="1" x14ac:dyDescent="0.25">
      <c r="A26" s="11"/>
      <c r="B26" s="27" t="str">
        <f t="shared" si="8"/>
        <v>Behrendt</v>
      </c>
      <c r="C26" cm="1">
        <f t="array" ref="C26">SUMPRODUCT((ISNUMBER(SEARCH(Y9,Dienstplan!$B$8:$B$19))*(ISNUMBER(SEARCH($AB$3,Dienstplan!$AH$8:$BJ$19)))))-D26</f>
        <v>1</v>
      </c>
      <c r="D26" cm="1">
        <f t="array" ref="D26">SUMPRODUCT((ISNUMBER(SEARCH(Y9,Dienstplan!$B$8:$B$19))*(ISNUMBER(SEARCH($AB$4,Dienstplan!$AH$8:$BJ$19)))))</f>
        <v>12</v>
      </c>
      <c r="E26" cm="1">
        <f t="array" ref="E26">SUMPRODUCT((ISNUMBER(SEARCH(Y9,Dienstplan!$B$8:$B$19))*(ISNUMBER(SEARCH($AB$5,Dienstplan!$AH$8:$BJ$19)))))</f>
        <v>5</v>
      </c>
      <c r="F26" cm="1">
        <f t="array" ref="F26">SUMPRODUCT((ISNUMBER(SEARCH(Y9,Dienstplan!$B$8:$B$19))*(ISNUMBER(SEARCH($AB$6,Dienstplan!$AH$8:$BJ$19)))))</f>
        <v>0</v>
      </c>
      <c r="G26" cm="1">
        <f t="array" ref="G26">SUMPRODUCT((ISNUMBER(SEARCH(Y9,Dienstplan!$B$8:$B$19))*(ISNUMBER(SEARCH($AB$7,Dienstplan!$AH$8:$BJ$19)))))-H26</f>
        <v>0</v>
      </c>
      <c r="H26" cm="1">
        <f t="array" ref="H26">SUMPRODUCT((ISNUMBER(SEARCH(Y9,Dienstplan!$B$8:$B$19))*(ISNUMBER(SEARCH($AB$8,Dienstplan!$AH$8:$BJ$19)))))</f>
        <v>0</v>
      </c>
      <c r="I26" cm="1">
        <f t="array" ref="I26">SUMPRODUCT((ISNUMBER(SEARCH(Y9,Dienstplan!$B$8:$B$19))*(ISNUMBER(SEARCH($AB$9,Dienstplan!$AH$8:$BJ$19)))))</f>
        <v>0</v>
      </c>
      <c r="J26" cm="1">
        <f t="array" ref="J26">SUMPRODUCT((ISNUMBER(SEARCH(Y9,Dienstplan!$B$8:$B$19))*(ISNUMBER(SEARCH($AB$10,Dienstplan!$AH$8:$BJ$19)))))</f>
        <v>1</v>
      </c>
      <c r="K26" cm="1">
        <f t="array" ref="K26">SUMPRODUCT((ISNUMBER(SEARCH(Y9,Dienstplan!$B$8:$B$19))*(ISNUMBER(SEARCH($AB$11,Dienstplan!$AH$8:$BJ$19)))))-$Q26</f>
        <v>0</v>
      </c>
      <c r="L26" cm="1">
        <f t="array" ref="L26">SUMPRODUCT((ISNUMBER(SEARCH(Y9,Dienstplan!$B$8:$B$19))*(ISNUMBER(SEARCH($AB$12,Dienstplan!$AH$8:$BJ$19)))))</f>
        <v>0</v>
      </c>
      <c r="M26" cm="1">
        <f t="array" ref="M26">SUMPRODUCT((ISNUMBER(SEARCH(Y9,Dienstplan!$B$8:$B$19))*(ISNUMBER(SEARCH($AB$13,Dienstplan!$AH$8:$BJ$19)))))</f>
        <v>0</v>
      </c>
      <c r="N26" cm="1">
        <f t="array" ref="N26">SUMPRODUCT((ISNUMBER(SEARCH(Y9,Dienstplan!$B$8:$B$19))*(ISNUMBER(SEARCH($AB$14,Dienstplan!$AH$8:$BJ$19)))))</f>
        <v>0</v>
      </c>
      <c r="O26" cm="1">
        <f t="array" ref="O26">SUMPRODUCT((ISNUMBER(SEARCH(Y9,Dienstplan!$B$8:$B$19))*(ISNUMBER(SEARCH($AB$15,Dienstplan!$AH$8:$BJ$19)))))</f>
        <v>0</v>
      </c>
      <c r="P26" cm="1">
        <f t="array" ref="P26">SUMPRODUCT((ISNUMBER(SEARCH(Y9,Dienstplan!$B$8:$B$19))*(ISNUMBER(SEARCH($AB$16,Dienstplan!$AH$8:$BJ$19)))))</f>
        <v>1</v>
      </c>
      <c r="Q26" cm="1">
        <f t="array" ref="Q26">SUMPRODUCT((ISNUMBER(SEARCH(Y9,Dienstplan!$B$8:$B$19))*(ISNUMBER(SEARCH($AB$17,Dienstplan!$AH$8:$BJ$19)))))</f>
        <v>0</v>
      </c>
      <c r="R26" cm="1">
        <f t="array" ref="R26">SUMPRODUCT((ISNUMBER(SEARCH(Y9,Dienstplan!$B$8:$B$19))*(ISNUMBER(SEARCH($AB$18,Dienstplan!$AH$8:$BJ$19)))))</f>
        <v>0</v>
      </c>
      <c r="S26" s="11" cm="1">
        <f t="array" ref="S26">SUMPRODUCT((ISNUMBER(SEARCH(Y9,Dienstplan!$B$8:$B$19))*(ISNUMBER(SEARCH($AB$19,Dienstplan!$AH$8:$BJ$19)))))</f>
        <v>0</v>
      </c>
      <c r="T26">
        <f t="shared" si="9"/>
        <v>140</v>
      </c>
      <c r="U26" s="14">
        <f>SUM($C26*Frueh_1+$D26*Spaet_1+$E26*Nacht_1+$F26*Normal_1+$I26*Sonderd_1-$J26*Muster+$K26*Muster+$L26*EH_Kurs+$M26*Koor_taet+$N26*Sekre_1+$O26*Muster+$P26*Muster+$Q26*Muster+$R26*Muster+G26*Muster+H26*Muster)</f>
        <v>134.75</v>
      </c>
      <c r="V26" s="11">
        <f t="shared" si="11"/>
        <v>-5.25</v>
      </c>
      <c r="W26" s="20">
        <f t="shared" si="10"/>
        <v>-72.45</v>
      </c>
    </row>
    <row r="27" spans="1:35" x14ac:dyDescent="0.25">
      <c r="A27" s="11"/>
      <c r="B27" s="27" t="str">
        <f t="shared" si="8"/>
        <v>Krempl</v>
      </c>
      <c r="C27">
        <f>SUMPRODUCT((ISNUMBER(SEARCH($Y10,Dienstplan!$B$8:$B$19))*(ISNUMBER(SEARCH($AB$3,Dienstplan!$AH$8:$BJ$19)))))-D27</f>
        <v>0</v>
      </c>
      <c r="D27">
        <f>SUMPRODUCT((ISNUMBER(SEARCH($Y10,Dienstplan!$B$8:$B$19))*(ISNUMBER(SEARCH($AB$4,Dienstplan!$AH$8:$BJ$19)))))</f>
        <v>1</v>
      </c>
      <c r="E27">
        <f>SUMPRODUCT((ISNUMBER(SEARCH($Y10,Dienstplan!$B$8:$B$19))*(ISNUMBER(SEARCH($AB$5,Dienstplan!$AH$8:$BJ$19)))))</f>
        <v>0</v>
      </c>
      <c r="F27">
        <f>SUMPRODUCT((ISNUMBER(SEARCH($Y10,Dienstplan!$B$8:$B$19))*(ISNUMBER(SEARCH($AB$6,Dienstplan!$AH$8:$BJ$19)))))</f>
        <v>0</v>
      </c>
      <c r="G27">
        <f>SUMPRODUCT((ISNUMBER(SEARCH($Y10,Dienstplan!$B$8:$B$19))*(ISNUMBER(SEARCH($AB$7,Dienstplan!$AH$8:$BJ$19)))))-H27</f>
        <v>4</v>
      </c>
      <c r="H27">
        <f>SUMPRODUCT((ISNUMBER(SEARCH($Y10,Dienstplan!$B$8:$B$19))*(ISNUMBER(SEARCH($AB$8,Dienstplan!$AH$8:$BJ$19)))))</f>
        <v>0</v>
      </c>
      <c r="I27">
        <f>SUMPRODUCT((ISNUMBER(SEARCH($Y10,Dienstplan!$B$8:$B$19))*(ISNUMBER(SEARCH($AB$9,Dienstplan!$AH$8:$BJ$19)))))</f>
        <v>0</v>
      </c>
      <c r="J27">
        <f>SUMPRODUCT((ISNUMBER(SEARCH($Y10,Dienstplan!$B$8:$B$19))*(ISNUMBER(SEARCH($AB$10,Dienstplan!$AH$8:$BJ$19)))))</f>
        <v>6</v>
      </c>
      <c r="K27">
        <f>SUMPRODUCT((ISNUMBER(SEARCH($Y10,Dienstplan!$B$8:$B$19))*(ISNUMBER(SEARCH($AB$11,Dienstplan!$AH$8:$BJ$19)))))-$Q27</f>
        <v>3</v>
      </c>
      <c r="L27">
        <f>SUMPRODUCT((ISNUMBER(SEARCH($Y10,Dienstplan!$B$8:$B$19))*(ISNUMBER(SEARCH($AB$12,Dienstplan!$AH$8:$BJ$19)))))</f>
        <v>0</v>
      </c>
      <c r="M27">
        <f>SUMPRODUCT((ISNUMBER(SEARCH($Y10,Dienstplan!$B$8:$B$19))*(ISNUMBER(SEARCH($AB$13,Dienstplan!$AH$8:$BJ$19)))))</f>
        <v>0</v>
      </c>
      <c r="N27">
        <f>SUMPRODUCT((ISNUMBER(SEARCH($Y10,Dienstplan!$B$8:$B$19))*(ISNUMBER(SEARCH($AB$14,Dienstplan!$AH$8:$BJ$19)))))</f>
        <v>0</v>
      </c>
      <c r="O27">
        <f>SUMPRODUCT((ISNUMBER(SEARCH($Y10,Dienstplan!$B$8:$B$19))*(ISNUMBER(SEARCH($AB$15,Dienstplan!$AH$8:$BJ$19)))))</f>
        <v>2</v>
      </c>
      <c r="P27">
        <f>SUMPRODUCT((ISNUMBER(SEARCH($Y10,Dienstplan!$B$8:$B$19))*(ISNUMBER(SEARCH($AB$16,Dienstplan!$AH$8:$BJ$19)))))</f>
        <v>4</v>
      </c>
      <c r="Q27">
        <f>SUMPRODUCT((ISNUMBER(SEARCH($Y10,Dienstplan!$B$8:$B$19))*(ISNUMBER(SEARCH($AB$17,Dienstplan!$AH$8:$BJ$19)))))</f>
        <v>0</v>
      </c>
      <c r="R27">
        <f>SUMPRODUCT((ISNUMBER(SEARCH($Y10,Dienstplan!$B$8:$B$19))*(ISNUMBER(SEARCH($AB$18,Dienstplan!$AH$8:$BJ$19)))))</f>
        <v>0</v>
      </c>
      <c r="S27" s="11">
        <f>SUMPRODUCT((ISNUMBER(SEARCH($Y10,Dienstplan!$B$8:$B$19))*(ISNUMBER(SEARCH($AB$19,Dienstplan!$AH$8:$BJ$19)))))</f>
        <v>0</v>
      </c>
      <c r="T27">
        <f t="shared" si="9"/>
        <v>64</v>
      </c>
      <c r="U27" s="14">
        <f>SUM($C27*Frueh_1+$D27*Spaet_1+$E27*Nacht_1+$F27*Normal_1+$I27*Sonderd_1-$J27*Krem_E+$K27*Krem_E+$L27*EH_Kurs+$M27*Koor_taet+$N27*Sekre_1+$O27*Krem_E+$R27*Krem_E+$P27*Krem_E+$Q27*Krem_E+G27*Krem_E+H27*Krem_E)</f>
        <v>29.900000000000002</v>
      </c>
      <c r="V27" s="11">
        <f t="shared" si="11"/>
        <v>-34.099999999999994</v>
      </c>
      <c r="W27" s="20">
        <f t="shared" si="10"/>
        <v>-70.900000000000006</v>
      </c>
      <c r="AE27" s="19"/>
      <c r="AF27" s="2"/>
    </row>
    <row r="28" spans="1:35" x14ac:dyDescent="0.25">
      <c r="A28" s="11"/>
      <c r="B28" s="27" t="str">
        <f t="shared" si="8"/>
        <v>Putschler</v>
      </c>
      <c r="C28">
        <f>SUMPRODUCT((ISNUMBER(SEARCH($Y11,Dienstplan!$B$8:$B$19))*(ISNUMBER(SEARCH($AB$3,Dienstplan!$AH$8:$BJ$19)))))-D28</f>
        <v>0</v>
      </c>
      <c r="D28">
        <f>SUMPRODUCT((ISNUMBER(SEARCH($Y11,Dienstplan!$B$8:$B$19))*(ISNUMBER(SEARCH($AB$4,Dienstplan!$AH$8:$BJ$19)))))</f>
        <v>0</v>
      </c>
      <c r="E28">
        <f>SUMPRODUCT((ISNUMBER(SEARCH($Y11,Dienstplan!$B$8:$B$19))*(ISNUMBER(SEARCH($AB$5,Dienstplan!$AH$8:$BJ$19)))))</f>
        <v>0</v>
      </c>
      <c r="F28">
        <f>SUMPRODUCT((ISNUMBER(SEARCH($Y11,Dienstplan!$B$8:$B$19))*(ISNUMBER(SEARCH($AB$6,Dienstplan!$AH$8:$BJ$19)))))</f>
        <v>0</v>
      </c>
      <c r="G28">
        <f>SUMPRODUCT((ISNUMBER(SEARCH($Y11,Dienstplan!$B$8:$B$19))*(ISNUMBER(SEARCH($AB$7,Dienstplan!$AH$8:$BJ$19)))))-H28</f>
        <v>0</v>
      </c>
      <c r="H28">
        <f>SUMPRODUCT((ISNUMBER(SEARCH($Y11,Dienstplan!$B$8:$B$19))*(ISNUMBER(SEARCH($AB$8,Dienstplan!$AH$8:$BJ$19)))))</f>
        <v>0</v>
      </c>
      <c r="I28">
        <f>SUMPRODUCT((ISNUMBER(SEARCH($Y11,Dienstplan!$B$8:$B$19))*(ISNUMBER(SEARCH($AB$9,Dienstplan!$AH$8:$BJ$19)))))</f>
        <v>0</v>
      </c>
      <c r="J28">
        <f>SUMPRODUCT((ISNUMBER(SEARCH($Y11,Dienstplan!$B$8:$B$19))*(ISNUMBER(SEARCH($AB$10,Dienstplan!$AH$8:$BJ$19)))))</f>
        <v>0</v>
      </c>
      <c r="K28">
        <f>SUMPRODUCT((ISNUMBER(SEARCH($Y11,Dienstplan!$B$8:$B$19))*(ISNUMBER(SEARCH($AB$11,Dienstplan!$AH$8:$BJ$19)))))-$Q28</f>
        <v>3</v>
      </c>
      <c r="L28">
        <f>SUMPRODUCT((ISNUMBER(SEARCH($Y11,Dienstplan!$B$8:$B$19))*(ISNUMBER(SEARCH($AB$12,Dienstplan!$AH$8:$BJ$19)))))</f>
        <v>1</v>
      </c>
      <c r="M28">
        <f>SUMPRODUCT((ISNUMBER(SEARCH($Y11,Dienstplan!$B$8:$B$19))*(ISNUMBER(SEARCH($AB$13,Dienstplan!$AH$8:$BJ$19)))))</f>
        <v>14</v>
      </c>
      <c r="N28">
        <f>SUMPRODUCT((ISNUMBER(SEARCH($Y11,Dienstplan!$B$8:$B$19))*(ISNUMBER(SEARCH($AB$14,Dienstplan!$AH$8:$BJ$19)))))</f>
        <v>0</v>
      </c>
      <c r="O28">
        <f>SUMPRODUCT((ISNUMBER(SEARCH($Y11,Dienstplan!$B$8:$B$19))*(ISNUMBER(SEARCH($AB$15,Dienstplan!$AH$8:$BJ$19)))))</f>
        <v>2</v>
      </c>
      <c r="P28">
        <f>SUMPRODUCT((ISNUMBER(SEARCH($Y11,Dienstplan!$B$8:$B$19))*(ISNUMBER(SEARCH($AB$16,Dienstplan!$AH$8:$BJ$19)))))</f>
        <v>0</v>
      </c>
      <c r="Q28">
        <f>SUMPRODUCT((ISNUMBER(SEARCH($Y11,Dienstplan!$B$8:$B$19))*(ISNUMBER(SEARCH($AB$17,Dienstplan!$AH$8:$BJ$19)))))</f>
        <v>0</v>
      </c>
      <c r="R28">
        <f>SUMPRODUCT((ISNUMBER(SEARCH($Y11,Dienstplan!$B$8:$B$19))*(ISNUMBER(SEARCH($AB$18,Dienstplan!$AH$8:$BJ$19)))))</f>
        <v>0</v>
      </c>
      <c r="S28" s="11">
        <f>SUMPRODUCT((ISNUMBER(SEARCH($Y11,Dienstplan!$B$8:$B$19))*(ISNUMBER(SEARCH($AB$19,Dienstplan!$AH$8:$BJ$19)))))</f>
        <v>0</v>
      </c>
      <c r="T28">
        <f t="shared" si="9"/>
        <v>160</v>
      </c>
      <c r="U28" s="14">
        <f>SUM($C28*Frueh_1+$D28*Spaet_1+$E28*Nacht_1+$F28*Normal_1+$I28*Sonderd_1-$J28*Put_W+$K28*Put_W+$L28*EH_Kurs+$M28*Koor_taet+$N28*Sekre_1+$O28*Put_W+$R28*Put_W+$P28*Put_W+$Q28*Put_W+G28*Put_W+H28*Put_W)</f>
        <v>160</v>
      </c>
      <c r="V28" s="11">
        <f t="shared" si="11"/>
        <v>0</v>
      </c>
      <c r="W28" s="20">
        <f t="shared" si="10"/>
        <v>8</v>
      </c>
      <c r="AE28" s="19"/>
      <c r="AF28" s="2"/>
    </row>
    <row r="29" spans="1:35" x14ac:dyDescent="0.25">
      <c r="A29" s="11"/>
      <c r="B29" s="27" t="str">
        <f t="shared" si="8"/>
        <v>Schmidt</v>
      </c>
      <c r="C29">
        <f>SUMPRODUCT((ISNUMBER(SEARCH($Y12,Dienstplan!$B$8:$B$19))*(ISNUMBER(SEARCH($AB$3,Dienstplan!$AH$8:$BJ$19)))))-D29</f>
        <v>0</v>
      </c>
      <c r="D29">
        <f>SUMPRODUCT((ISNUMBER(SEARCH($Y12,Dienstplan!$B$8:$B$19))*(ISNUMBER(SEARCH($AB$4,Dienstplan!$AH$8:$BJ$19)))))</f>
        <v>0</v>
      </c>
      <c r="E29">
        <f>SUMPRODUCT((ISNUMBER(SEARCH($Y12,Dienstplan!$B$8:$B$19))*(ISNUMBER(SEARCH($AB$5,Dienstplan!$AH$8:$BJ$19)))))</f>
        <v>0</v>
      </c>
      <c r="F29">
        <f>SUMPRODUCT((ISNUMBER(SEARCH($Y12,Dienstplan!$B$8:$B$19))*(ISNUMBER(SEARCH($AB$6,Dienstplan!$AH$8:$BJ$19)))))</f>
        <v>0</v>
      </c>
      <c r="G29">
        <f>SUMPRODUCT((ISNUMBER(SEARCH($Y12,Dienstplan!$B$8:$B$19))*(ISNUMBER(SEARCH($AB$7,Dienstplan!$AH$8:$BJ$19)))))-H29</f>
        <v>0</v>
      </c>
      <c r="H29">
        <f>SUMPRODUCT((ISNUMBER(SEARCH($Y12,Dienstplan!$B$8:$B$19))*(ISNUMBER(SEARCH($AB$8,Dienstplan!$AH$8:$BJ$19)))))</f>
        <v>0</v>
      </c>
      <c r="I29">
        <f>SUMPRODUCT((ISNUMBER(SEARCH($Y12,Dienstplan!$B$8:$B$19))*(ISNUMBER(SEARCH($AB$9,Dienstplan!$AH$8:$BJ$19)))))</f>
        <v>0</v>
      </c>
      <c r="J29">
        <f>SUMPRODUCT((ISNUMBER(SEARCH($Y12,Dienstplan!$B$8:$B$19))*(ISNUMBER(SEARCH($AB$10,Dienstplan!$AH$8:$BJ$19)))))</f>
        <v>0</v>
      </c>
      <c r="K29">
        <f>SUMPRODUCT((ISNUMBER(SEARCH($Y12,Dienstplan!$B$8:$B$19))*(ISNUMBER(SEARCH($AB$11,Dienstplan!$AH$8:$BJ$19)))))-$Q29</f>
        <v>0</v>
      </c>
      <c r="L29">
        <f>SUMPRODUCT((ISNUMBER(SEARCH($Y12,Dienstplan!$B$8:$B$19))*(ISNUMBER(SEARCH($AB$12,Dienstplan!$AH$8:$BJ$19)))))</f>
        <v>0</v>
      </c>
      <c r="M29">
        <f>SUMPRODUCT((ISNUMBER(SEARCH($Y12,Dienstplan!$B$8:$B$19))*(ISNUMBER(SEARCH($AB$13,Dienstplan!$AH$8:$BJ$19)))))</f>
        <v>0</v>
      </c>
      <c r="N29">
        <f>SUMPRODUCT((ISNUMBER(SEARCH($Y12,Dienstplan!$B$8:$B$19))*(ISNUMBER(SEARCH($AB$14,Dienstplan!$AH$8:$BJ$19)))))</f>
        <v>0</v>
      </c>
      <c r="O29">
        <f>SUMPRODUCT((ISNUMBER(SEARCH($Y12,Dienstplan!$B$8:$B$19))*(ISNUMBER(SEARCH($AB$15,Dienstplan!$AH$8:$BJ$19)))))</f>
        <v>0</v>
      </c>
      <c r="P29">
        <f>SUMPRODUCT((ISNUMBER(SEARCH($Y12,Dienstplan!$B$8:$B$19))*(ISNUMBER(SEARCH($AB$16,Dienstplan!$AH$8:$BJ$19)))))</f>
        <v>0</v>
      </c>
      <c r="Q29">
        <f>SUMPRODUCT((ISNUMBER(SEARCH($Y12,Dienstplan!$B$8:$B$19))*(ISNUMBER(SEARCH($AB$17,Dienstplan!$AH$8:$BJ$19)))))</f>
        <v>0</v>
      </c>
      <c r="R29">
        <f>SUMPRODUCT((ISNUMBER(SEARCH($Y12,Dienstplan!$B$8:$B$19))*(ISNUMBER(SEARCH($AB$18,Dienstplan!$AH$8:$BJ$19)))))</f>
        <v>0</v>
      </c>
      <c r="S29" s="11">
        <f>SUMPRODUCT((ISNUMBER(SEARCH($Y12,Dienstplan!$B$8:$B$19))*(ISNUMBER(SEARCH($AB$19,Dienstplan!$AH$8:$BJ$19)))))</f>
        <v>0</v>
      </c>
      <c r="T29">
        <f t="shared" si="9"/>
        <v>140</v>
      </c>
      <c r="U29" s="14">
        <f>SUM($C29*Frueh_1+$D29*Spaet_1+$E29*Nacht_1+$F29*Normal_1+$I29*Sonderd_1-$J29*Radi_L+$K29*Radi_L+$L29*EH_Kurs+$M29*Koor_taet+$N29*Sekre_1+$O29*Radi_L+$R29*Radi_L+$P29*Radi_L+$Q29*Radi_L+G29*Radi_L+H29*Radi_L)</f>
        <v>0</v>
      </c>
      <c r="V29" s="11">
        <f t="shared" si="11"/>
        <v>-140</v>
      </c>
      <c r="W29" s="20">
        <f t="shared" si="10"/>
        <v>-287</v>
      </c>
      <c r="Y29" s="19" t="s">
        <v>64</v>
      </c>
      <c r="Z29" s="2" t="s">
        <v>65</v>
      </c>
    </row>
    <row r="30" spans="1:35" x14ac:dyDescent="0.25">
      <c r="A30" s="11"/>
      <c r="B30" s="27" t="str">
        <f t="shared" si="8"/>
        <v>Radimersky</v>
      </c>
      <c r="C30">
        <f>SUMPRODUCT((ISNUMBER(SEARCH($Y13,Dienstplan!$B$8:$B$19))*(ISNUMBER(SEARCH($AB$3,Dienstplan!$AH$8:$BJ$19)))))-D30</f>
        <v>0</v>
      </c>
      <c r="D30">
        <f>SUMPRODUCT((ISNUMBER(SEARCH($Y13,Dienstplan!$B$8:$B$19))*(ISNUMBER(SEARCH($AB$4,Dienstplan!$AH$8:$BJ$19)))))</f>
        <v>0</v>
      </c>
      <c r="E30">
        <f>SUMPRODUCT((ISNUMBER(SEARCH($Y13,Dienstplan!$B$8:$B$19))*(ISNUMBER(SEARCH($AB$5,Dienstplan!$AH$8:$BJ$19)))))</f>
        <v>0</v>
      </c>
      <c r="F30">
        <f>SUMPRODUCT((ISNUMBER(SEARCH($Y13,Dienstplan!$B$8:$B$19))*(ISNUMBER(SEARCH($AB$6,Dienstplan!$AH$8:$BJ$19)))))</f>
        <v>0</v>
      </c>
      <c r="G30">
        <f>SUMPRODUCT((ISNUMBER(SEARCH($Y13,Dienstplan!$B$8:$B$19))*(ISNUMBER(SEARCH($AB$7,Dienstplan!$AH$8:$BJ$19)))))-H30</f>
        <v>0</v>
      </c>
      <c r="H30">
        <f>SUMPRODUCT((ISNUMBER(SEARCH($Y13,Dienstplan!$B$8:$B$19))*(ISNUMBER(SEARCH($AB$8,Dienstplan!$AH$8:$BJ$19)))))</f>
        <v>0</v>
      </c>
      <c r="I30">
        <f>SUMPRODUCT((ISNUMBER(SEARCH($Y13,Dienstplan!$B$8:$B$19))*(ISNUMBER(SEARCH($AB$9,Dienstplan!$AH$8:$BJ$19)))))</f>
        <v>0</v>
      </c>
      <c r="J30">
        <f>SUMPRODUCT((ISNUMBER(SEARCH($Y13,Dienstplan!$B$8:$B$19))*(ISNUMBER(SEARCH($AB$10,Dienstplan!$AH$8:$BJ$19)))))</f>
        <v>0</v>
      </c>
      <c r="K30">
        <f>SUMPRODUCT((ISNUMBER(SEARCH($Y13,Dienstplan!$B$8:$B$19))*(ISNUMBER(SEARCH($AB$11,Dienstplan!$AH$8:$BJ$19)))))-$Q30</f>
        <v>0</v>
      </c>
      <c r="L30">
        <f>SUMPRODUCT((ISNUMBER(SEARCH($Y13,Dienstplan!$B$8:$B$19))*(ISNUMBER(SEARCH($AB$12,Dienstplan!$AH$8:$BJ$19)))))</f>
        <v>0</v>
      </c>
      <c r="M30">
        <f>SUMPRODUCT((ISNUMBER(SEARCH($Y13,Dienstplan!$B$8:$B$19))*(ISNUMBER(SEARCH($AB$13,Dienstplan!$AH$8:$BJ$19)))))</f>
        <v>0</v>
      </c>
      <c r="N30">
        <f>SUMPRODUCT((ISNUMBER(SEARCH($Y13,Dienstplan!$B$8:$B$19))*(ISNUMBER(SEARCH($AB$14,Dienstplan!$AH$8:$BJ$19)))))</f>
        <v>0</v>
      </c>
      <c r="O30">
        <f>SUMPRODUCT((ISNUMBER(SEARCH($Y13,Dienstplan!$B$8:$B$19))*(ISNUMBER(SEARCH($AB$15,Dienstplan!$AH$8:$BJ$19)))))</f>
        <v>0</v>
      </c>
      <c r="P30">
        <f>SUMPRODUCT((ISNUMBER(SEARCH($Y13,Dienstplan!$B$8:$B$19))*(ISNUMBER(SEARCH($AB$16,Dienstplan!$AH$8:$BJ$19)))))</f>
        <v>0</v>
      </c>
      <c r="Q30">
        <f>SUMPRODUCT((ISNUMBER(SEARCH($Y13,Dienstplan!$B$8:$B$19))*(ISNUMBER(SEARCH($AB$17,Dienstplan!$AH$8:$BJ$19)))))</f>
        <v>0</v>
      </c>
      <c r="R30">
        <f>SUMPRODUCT((ISNUMBER(SEARCH($Y13,Dienstplan!$B$8:$B$19))*(ISNUMBER(SEARCH($AB$18,Dienstplan!$AH$8:$BJ$19)))))</f>
        <v>0</v>
      </c>
      <c r="S30" s="11">
        <f>SUMPRODUCT((ISNUMBER(SEARCH($Y13,Dienstplan!$B$8:$B$19))*(ISNUMBER(SEARCH($AB$19,Dienstplan!$AH$8:$BJ$19)))))</f>
        <v>0</v>
      </c>
      <c r="T30">
        <f t="shared" si="9"/>
        <v>60</v>
      </c>
      <c r="U30" s="14">
        <f>SUM($C30*Frueh_1+$D30*Spaet_1+$E30*Nacht_1+$F30*Normal_1+$I30*Sonderd_1-$J30*Fortenb+$K30*Fortenb+$L30*EH_Kurs+$M30*Koor_taet+$N30*Sekre_1+$O30*Fortenb+$R30*Fortenb+$P30*Fortenb+$Q30*Fortenb+G30*Fortenb+H30*Fortenb)</f>
        <v>0</v>
      </c>
      <c r="V30" s="11">
        <f t="shared" si="11"/>
        <v>-60</v>
      </c>
      <c r="W30" s="20">
        <f t="shared" si="10"/>
        <v>-123</v>
      </c>
      <c r="Y30" s="19" t="s">
        <v>38</v>
      </c>
      <c r="Z30" s="2" t="s">
        <v>66</v>
      </c>
    </row>
    <row r="31" spans="1:35" x14ac:dyDescent="0.25">
      <c r="A31" s="11"/>
      <c r="B31" s="27"/>
      <c r="S31" s="11"/>
      <c r="V31" s="11"/>
      <c r="W31" s="20"/>
    </row>
    <row r="32" spans="1:35" x14ac:dyDescent="0.25">
      <c r="A32" s="11"/>
      <c r="B32" s="27" t="s">
        <v>23</v>
      </c>
      <c r="C32" s="4">
        <f t="shared" ref="C32:S32" si="12">SUM(C20:C31)</f>
        <v>23</v>
      </c>
      <c r="D32" s="4">
        <f t="shared" si="12"/>
        <v>18</v>
      </c>
      <c r="E32" s="4">
        <f t="shared" si="12"/>
        <v>25</v>
      </c>
      <c r="F32" s="4">
        <f t="shared" si="12"/>
        <v>27</v>
      </c>
      <c r="G32" s="4">
        <f t="shared" si="12"/>
        <v>11</v>
      </c>
      <c r="H32" s="4">
        <f t="shared" si="12"/>
        <v>0</v>
      </c>
      <c r="I32" s="4">
        <f t="shared" si="12"/>
        <v>4</v>
      </c>
      <c r="J32" s="4">
        <f t="shared" si="12"/>
        <v>10</v>
      </c>
      <c r="K32" s="4">
        <f t="shared" si="12"/>
        <v>12</v>
      </c>
      <c r="L32" s="4">
        <f t="shared" si="12"/>
        <v>5</v>
      </c>
      <c r="M32" s="4">
        <f t="shared" si="12"/>
        <v>14</v>
      </c>
      <c r="N32" s="4">
        <f t="shared" si="12"/>
        <v>0</v>
      </c>
      <c r="O32" s="4">
        <f t="shared" si="12"/>
        <v>10</v>
      </c>
      <c r="P32" s="4">
        <f t="shared" si="12"/>
        <v>5</v>
      </c>
      <c r="Q32" s="4">
        <f t="shared" si="12"/>
        <v>0</v>
      </c>
      <c r="R32" s="4">
        <f t="shared" si="12"/>
        <v>0</v>
      </c>
      <c r="S32" s="13">
        <f t="shared" si="12"/>
        <v>6</v>
      </c>
      <c r="T32" s="4">
        <f>SUM(T20:T28)</f>
        <v>1264</v>
      </c>
      <c r="U32" s="4">
        <f>SUM(U20:U28)</f>
        <v>1051.1500000000001</v>
      </c>
      <c r="V32" s="13"/>
      <c r="W32" s="21"/>
    </row>
    <row r="33" spans="1:23" x14ac:dyDescent="0.25">
      <c r="A33" s="11"/>
      <c r="B33" s="1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2"/>
      <c r="T33" s="1"/>
      <c r="U33" s="1"/>
      <c r="V33" s="12"/>
      <c r="W33" s="17"/>
    </row>
    <row r="34" spans="1:23" x14ac:dyDescent="0.25">
      <c r="A34" s="11"/>
      <c r="B34" s="26" t="s">
        <v>24</v>
      </c>
      <c r="D34" s="365" t="s">
        <v>34</v>
      </c>
      <c r="E34" s="366"/>
      <c r="F34" s="36">
        <v>23</v>
      </c>
      <c r="G34" s="109"/>
      <c r="H34" s="18"/>
      <c r="I34" s="365" t="s">
        <v>51</v>
      </c>
      <c r="J34" s="366"/>
      <c r="K34" s="36">
        <v>4</v>
      </c>
      <c r="S34" s="11"/>
      <c r="V34" s="11"/>
      <c r="W34" s="20"/>
    </row>
    <row r="35" spans="1:23" x14ac:dyDescent="0.25">
      <c r="A35" s="11"/>
      <c r="B35" s="11"/>
      <c r="C35" s="4" t="str">
        <f>Jahr!C3</f>
        <v>FI</v>
      </c>
      <c r="D35" s="4" t="str">
        <f>Jahr!D3</f>
        <v>FII</v>
      </c>
      <c r="E35" s="4" t="str">
        <f>Jahr!E3</f>
        <v>SI</v>
      </c>
      <c r="F35" s="4" t="str">
        <f>Jahr!F3</f>
        <v>NI</v>
      </c>
      <c r="G35" s="4" t="str">
        <f>Jahr!G3</f>
        <v>DI</v>
      </c>
      <c r="H35" s="4" t="str">
        <f>Jahr!H3</f>
        <v>DII</v>
      </c>
      <c r="I35" s="4" t="str">
        <f>Jahr!I3</f>
        <v>SD</v>
      </c>
      <c r="J35" s="4" t="str">
        <f>Jahr!J3</f>
        <v>GT</v>
      </c>
      <c r="K35" s="4" t="str">
        <f>Jahr!K3</f>
        <v>U</v>
      </c>
      <c r="L35" s="4" t="str">
        <f>Jahr!L3</f>
        <v>EH</v>
      </c>
      <c r="M35" s="4" t="str">
        <f>Jahr!M3</f>
        <v>KT</v>
      </c>
      <c r="N35" s="4" t="str">
        <f>Jahr!N3</f>
        <v>Sek</v>
      </c>
      <c r="O35" s="4" t="str">
        <f>Jahr!O3</f>
        <v>Fobi</v>
      </c>
      <c r="P35" s="4" t="str">
        <f>Jahr!P3</f>
        <v>A</v>
      </c>
      <c r="Q35" s="4" t="str">
        <f>Jahr!Q3</f>
        <v>Kur</v>
      </c>
      <c r="R35" s="4" t="str">
        <f>Jahr!R3</f>
        <v>FZC</v>
      </c>
      <c r="S35" s="4" t="str">
        <f>Jahr!S3</f>
        <v>NST</v>
      </c>
      <c r="T35" s="4" t="s">
        <v>37</v>
      </c>
      <c r="U35" s="4" t="s">
        <v>38</v>
      </c>
      <c r="V35" s="13" t="s">
        <v>39</v>
      </c>
      <c r="W35" s="21" t="s">
        <v>52</v>
      </c>
    </row>
    <row r="36" spans="1:23" x14ac:dyDescent="0.25">
      <c r="A36" s="11"/>
      <c r="B36" s="27" t="str">
        <f t="shared" ref="B36:B46" si="13">B4</f>
        <v>Breig</v>
      </c>
      <c r="C36">
        <f>SUMPRODUCT((ISNUMBER(SEARCH($Y3,Dienstplan!$B$8:$B$19))*(ISNUMBER(SEARCH($AB$3,Dienstplan!$BK$8:$CO$19)))))-D36</f>
        <v>4</v>
      </c>
      <c r="D36">
        <f>SUMPRODUCT((ISNUMBER(SEARCH($Y3,Dienstplan!$B$8:$B$19))*(ISNUMBER(SEARCH($AB$4,Dienstplan!$BK$8:$CO$19)))))</f>
        <v>2</v>
      </c>
      <c r="E36">
        <f>SUMPRODUCT((ISNUMBER(SEARCH($Y3,Dienstplan!$B$8:$B$19))*(ISNUMBER(SEARCH($AB$5,Dienstplan!$BK$8:$CO$19)))))</f>
        <v>0</v>
      </c>
      <c r="F36">
        <f>SUMPRODUCT((ISNUMBER(SEARCH($Y3,Dienstplan!$B$8:$B$19))*(ISNUMBER(SEARCH($AB$6,Dienstplan!$BK$8:$CO$19)))))</f>
        <v>5</v>
      </c>
      <c r="G36">
        <f>SUMPRODUCT((ISNUMBER(SEARCH($Y3,Dienstplan!$B$8:$B$19))*(ISNUMBER(SEARCH($AB$7,Dienstplan!$BK$8:$CO$19)))))-H36</f>
        <v>5</v>
      </c>
      <c r="H36">
        <f>SUMPRODUCT((ISNUMBER(SEARCH($Y3,Dienstplan!$B$8:$B$19))*(ISNUMBER(SEARCH($AB$8,Dienstplan!$BK$8:$CO$19)))))</f>
        <v>0</v>
      </c>
      <c r="I36">
        <f>SUMPRODUCT((ISNUMBER(SEARCH($Y3,Dienstplan!$B$8:$B$19))*(ISNUMBER(SEARCH($AB$9,Dienstplan!$BK$8:$CO$19)))))</f>
        <v>1</v>
      </c>
      <c r="J36">
        <f>SUMPRODUCT((ISNUMBER(SEARCH($Y3,Dienstplan!$B$8:$B$19))*(ISNUMBER(SEARCH($AB$10,Dienstplan!$BK$8:$CO$19)))))</f>
        <v>0</v>
      </c>
      <c r="K36">
        <f>SUMPRODUCT((ISNUMBER(SEARCH($Y3,Dienstplan!$B$8:$B$19))*(ISNUMBER(SEARCH($AB$11,Dienstplan!$BK$8:$CO$19)))))-$Q36</f>
        <v>3</v>
      </c>
      <c r="L36">
        <f>SUMPRODUCT((ISNUMBER(SEARCH($Y3,Dienstplan!$B$8:$B$19))*(ISNUMBER(SEARCH($AB$12,Dienstplan!$BK$8:$CO$19)))))</f>
        <v>1</v>
      </c>
      <c r="M36">
        <f>SUMPRODUCT((ISNUMBER(SEARCH($Y3,Dienstplan!$B$8:$B$19))*(ISNUMBER(SEARCH($AB$13,Dienstplan!$BK$8:$CO$19)))))</f>
        <v>0</v>
      </c>
      <c r="N36">
        <f>SUMPRODUCT((ISNUMBER(SEARCH($Y3,Dienstplan!$B$8:$B$19))*(ISNUMBER(SEARCH($AB$14,Dienstplan!$BK$8:$CO$19)))))</f>
        <v>0</v>
      </c>
      <c r="O36">
        <f>SUMPRODUCT((ISNUMBER(SEARCH($Y3,Dienstplan!$B$8:$B$19))*(ISNUMBER(SEARCH($AB$15,Dienstplan!$BK$8:$CO$19)))))</f>
        <v>2</v>
      </c>
      <c r="P36">
        <f>SUMPRODUCT((ISNUMBER(SEARCH($Y3,Dienstplan!$B$8:$B$19))*(ISNUMBER(SEARCH($AB$16,Dienstplan!$BK$8:$CO$19)))))</f>
        <v>0</v>
      </c>
      <c r="Q36">
        <f>SUMPRODUCT((ISNUMBER(SEARCH($Y3,Dienstplan!$B$8:$B$19))*(ISNUMBER(SEARCH($AB$17,Dienstplan!$BK$8:$CO$19)))))</f>
        <v>0</v>
      </c>
      <c r="R36">
        <f>SUMPRODUCT((ISNUMBER(SEARCH($Y3,Dienstplan!$B$8:$B$19))*(ISNUMBER(SEARCH($AB$18,Dienstplan!$BK$8:$CO$19)))))</f>
        <v>0</v>
      </c>
      <c r="S36" s="11">
        <f>SUMPRODUCT((ISNUMBER(SEARCH($Y3,Dienstplan!$B$8:$B$19))*(ISNUMBER(SEARCH($AB$19,Dienstplan!$BK$8:$CO$19)))))</f>
        <v>1</v>
      </c>
      <c r="T36">
        <f t="shared" ref="T36:T46" si="14">SUM($F$34*$Z3)</f>
        <v>184</v>
      </c>
      <c r="U36" s="14">
        <f>SUM($C36*Frueh_1+$D36*Spaet_1+$E36*Nacht_1+$F36*Normal_1+$I36*Sonderd_1-$J36*Velten+$K36*Velten+$L36*EH_Kurs+$M36*Koor_taet+$N36*Sekre_1+$O36*Velten+$R36*Velten+$P36*Velten+$Q36*Velten+G36*Velt_M+H36*Velt_M)</f>
        <v>176.5</v>
      </c>
      <c r="V36" s="11">
        <f>SUM($U36-$T36)</f>
        <v>-7.5</v>
      </c>
      <c r="W36" s="20">
        <f t="shared" ref="W36:W46" si="15">V36+W20</f>
        <v>-40</v>
      </c>
    </row>
    <row r="37" spans="1:23" x14ac:dyDescent="0.25">
      <c r="A37" s="11"/>
      <c r="B37" s="27" t="str">
        <f t="shared" si="13"/>
        <v>Siebert</v>
      </c>
      <c r="C37">
        <f>SUMPRODUCT((ISNUMBER(SEARCH($Y4,Dienstplan!$B$8:$B$19))*(ISNUMBER(SEARCH($AB$3,Dienstplan!$BK$8:$CO$19)))))-D37</f>
        <v>0</v>
      </c>
      <c r="D37">
        <f>SUMPRODUCT((ISNUMBER(SEARCH($Y4,Dienstplan!$B$8:$B$19))*(ISNUMBER(SEARCH($AB$4,Dienstplan!$BK$8:$CO$19)))))</f>
        <v>2</v>
      </c>
      <c r="E37">
        <f>SUMPRODUCT((ISNUMBER(SEARCH($Y4,Dienstplan!$B$8:$B$19))*(ISNUMBER(SEARCH($AB$5,Dienstplan!$BK$8:$CO$19)))))</f>
        <v>5</v>
      </c>
      <c r="F37">
        <f>SUMPRODUCT((ISNUMBER(SEARCH($Y4,Dienstplan!$B$8:$B$19))*(ISNUMBER(SEARCH($AB$6,Dienstplan!$BK$8:$CO$19)))))</f>
        <v>0</v>
      </c>
      <c r="G37">
        <f>SUMPRODUCT((ISNUMBER(SEARCH($Y4,Dienstplan!$B$8:$B$19))*(ISNUMBER(SEARCH($AB$7,Dienstplan!$BK$8:$CO$19)))))-H37</f>
        <v>2</v>
      </c>
      <c r="H37">
        <f>SUMPRODUCT((ISNUMBER(SEARCH($Y4,Dienstplan!$B$8:$B$19))*(ISNUMBER(SEARCH($AB$8,Dienstplan!$BK$8:$CO$19)))))</f>
        <v>0</v>
      </c>
      <c r="I37">
        <f>SUMPRODUCT((ISNUMBER(SEARCH($Y4,Dienstplan!$B$8:$B$19))*(ISNUMBER(SEARCH($AB$9,Dienstplan!$BK$8:$CO$19)))))</f>
        <v>1</v>
      </c>
      <c r="J37">
        <f>SUMPRODUCT((ISNUMBER(SEARCH($Y4,Dienstplan!$B$8:$B$19))*(ISNUMBER(SEARCH($AB$10,Dienstplan!$BK$8:$CO$19)))))</f>
        <v>0</v>
      </c>
      <c r="K37">
        <f>SUMPRODUCT((ISNUMBER(SEARCH($Y4,Dienstplan!$B$8:$B$19))*(ISNUMBER(SEARCH($AB$11,Dienstplan!$BK$8:$CO$19)))))-$Q37</f>
        <v>10</v>
      </c>
      <c r="L37">
        <f>SUMPRODUCT((ISNUMBER(SEARCH($Y4,Dienstplan!$B$8:$B$19))*(ISNUMBER(SEARCH($AB$12,Dienstplan!$BK$8:$CO$19)))))</f>
        <v>1</v>
      </c>
      <c r="M37">
        <f>SUMPRODUCT((ISNUMBER(SEARCH($Y4,Dienstplan!$B$8:$B$19))*(ISNUMBER(SEARCH($AB$13,Dienstplan!$BK$8:$CO$19)))))</f>
        <v>0</v>
      </c>
      <c r="N37">
        <f>SUMPRODUCT((ISNUMBER(SEARCH($Y4,Dienstplan!$B$8:$B$19))*(ISNUMBER(SEARCH($AB$14,Dienstplan!$BK$8:$CO$19)))))</f>
        <v>0</v>
      </c>
      <c r="O37">
        <f>SUMPRODUCT((ISNUMBER(SEARCH($Y4,Dienstplan!$B$8:$B$19))*(ISNUMBER(SEARCH($AB$15,Dienstplan!$BK$8:$CO$19)))))</f>
        <v>2</v>
      </c>
      <c r="P37">
        <f>SUMPRODUCT((ISNUMBER(SEARCH($Y4,Dienstplan!$B$8:$B$19))*(ISNUMBER(SEARCH($AB$16,Dienstplan!$BK$8:$CO$19)))))</f>
        <v>0</v>
      </c>
      <c r="Q37">
        <f>SUMPRODUCT((ISNUMBER(SEARCH($Y4,Dienstplan!$B$8:$B$19))*(ISNUMBER(SEARCH($AB$17,Dienstplan!$BK$8:$CO$19)))))</f>
        <v>0</v>
      </c>
      <c r="R37">
        <f>SUMPRODUCT((ISNUMBER(SEARCH($Y4,Dienstplan!$B$8:$B$19))*(ISNUMBER(SEARCH($AB$18,Dienstplan!$BK$8:$CO$19)))))</f>
        <v>0</v>
      </c>
      <c r="S37" s="11">
        <f>SUMPRODUCT((ISNUMBER(SEARCH($Y4,Dienstplan!$B$8:$B$19))*(ISNUMBER(SEARCH($AB$19,Dienstplan!$BK$8:$CO$19)))))</f>
        <v>0</v>
      </c>
      <c r="T37">
        <f t="shared" si="14"/>
        <v>161</v>
      </c>
      <c r="U37" s="14">
        <f>SUM($C37*Frueh_1+$D37*Spaet_1+$E37*Nacht_1+$F37*Normal_1+$I37*Sonderd_1-$J37*Brue_H+$K37*Brue_H+$L37*EH_Kurs+$M37*Koor_taet+$N37*Sekre_1+$O37*Brue_H+$R37*Brue_H+$P37*Brue_H+$Q37*Brue_H+G37*Brue_H+H37*Brue_H)</f>
        <v>165.5</v>
      </c>
      <c r="V37" s="11">
        <f t="shared" ref="V37:V46" si="16">SUM($U37-$T37)</f>
        <v>4.5</v>
      </c>
      <c r="W37" s="20">
        <f t="shared" si="15"/>
        <v>28.75</v>
      </c>
    </row>
    <row r="38" spans="1:23" x14ac:dyDescent="0.25">
      <c r="A38" s="11"/>
      <c r="B38" s="27" t="str">
        <f t="shared" si="13"/>
        <v>Jochim</v>
      </c>
      <c r="C38">
        <f>SUMPRODUCT((ISNUMBER(SEARCH($Y5,Dienstplan!$B$8:$B$19))*(ISNUMBER(SEARCH($AB$3,Dienstplan!$BK$8:$CO$19)))))-D38</f>
        <v>1</v>
      </c>
      <c r="D38">
        <f>SUMPRODUCT((ISNUMBER(SEARCH($Y5,Dienstplan!$B$8:$B$19))*(ISNUMBER(SEARCH($AB$4,Dienstplan!$BK$8:$CO$19)))))</f>
        <v>10</v>
      </c>
      <c r="E38">
        <f>SUMPRODUCT((ISNUMBER(SEARCH($Y5,Dienstplan!$B$8:$B$19))*(ISNUMBER(SEARCH($AB$5,Dienstplan!$BK$8:$CO$19)))))</f>
        <v>0</v>
      </c>
      <c r="F38">
        <f>SUMPRODUCT((ISNUMBER(SEARCH($Y5,Dienstplan!$B$8:$B$19))*(ISNUMBER(SEARCH($AB$6,Dienstplan!$BK$8:$CO$19)))))</f>
        <v>0</v>
      </c>
      <c r="G38">
        <f>SUMPRODUCT((ISNUMBER(SEARCH($Y5,Dienstplan!$B$8:$B$19))*(ISNUMBER(SEARCH($AB$7,Dienstplan!$BK$8:$CO$19)))))-H38</f>
        <v>3</v>
      </c>
      <c r="H38">
        <f>SUMPRODUCT((ISNUMBER(SEARCH($Y5,Dienstplan!$B$8:$B$19))*(ISNUMBER(SEARCH($AB$8,Dienstplan!$BK$8:$CO$19)))))</f>
        <v>7</v>
      </c>
      <c r="I38">
        <f>SUMPRODUCT((ISNUMBER(SEARCH($Y5,Dienstplan!$B$8:$B$19))*(ISNUMBER(SEARCH($AB$9,Dienstplan!$BK$8:$CO$19)))))</f>
        <v>2</v>
      </c>
      <c r="J38">
        <f>SUMPRODUCT((ISNUMBER(SEARCH($Y5,Dienstplan!$B$8:$B$19))*(ISNUMBER(SEARCH($AB$10,Dienstplan!$BK$8:$CO$19)))))</f>
        <v>0</v>
      </c>
      <c r="K38">
        <f>SUMPRODUCT((ISNUMBER(SEARCH($Y5,Dienstplan!$B$8:$B$19))*(ISNUMBER(SEARCH($AB$11,Dienstplan!$BK$8:$CO$19)))))-$Q38</f>
        <v>0</v>
      </c>
      <c r="L38">
        <f>SUMPRODUCT((ISNUMBER(SEARCH($Y5,Dienstplan!$B$8:$B$19))*(ISNUMBER(SEARCH($AB$12,Dienstplan!$BK$8:$CO$19)))))</f>
        <v>0</v>
      </c>
      <c r="M38">
        <f>SUMPRODUCT((ISNUMBER(SEARCH($Y5,Dienstplan!$B$8:$B$19))*(ISNUMBER(SEARCH($AB$13,Dienstplan!$BK$8:$CO$19)))))</f>
        <v>0</v>
      </c>
      <c r="N38">
        <f>SUMPRODUCT((ISNUMBER(SEARCH($Y5,Dienstplan!$B$8:$B$19))*(ISNUMBER(SEARCH($AB$14,Dienstplan!$BK$8:$CO$19)))))</f>
        <v>0</v>
      </c>
      <c r="O38">
        <f>SUMPRODUCT((ISNUMBER(SEARCH($Y5,Dienstplan!$B$8:$B$19))*(ISNUMBER(SEARCH($AB$15,Dienstplan!$BK$8:$CO$19)))))</f>
        <v>0</v>
      </c>
      <c r="P38">
        <f>SUMPRODUCT((ISNUMBER(SEARCH($Y5,Dienstplan!$B$8:$B$19))*(ISNUMBER(SEARCH($AB$16,Dienstplan!$BK$8:$CO$19)))))</f>
        <v>0</v>
      </c>
      <c r="Q38">
        <f>SUMPRODUCT((ISNUMBER(SEARCH($Y5,Dienstplan!$B$8:$B$19))*(ISNUMBER(SEARCH($AB$17,Dienstplan!$BK$8:$CO$19)))))</f>
        <v>0</v>
      </c>
      <c r="R38">
        <f>SUMPRODUCT((ISNUMBER(SEARCH($Y5,Dienstplan!$B$8:$B$19))*(ISNUMBER(SEARCH($AB$18,Dienstplan!$BK$8:$CO$19)))))</f>
        <v>0</v>
      </c>
      <c r="S38" s="11">
        <f>SUMPRODUCT((ISNUMBER(SEARCH($Y5,Dienstplan!$B$8:$B$19))*(ISNUMBER(SEARCH($AB$19,Dienstplan!$BK$8:$CO$19)))))</f>
        <v>0</v>
      </c>
      <c r="T38">
        <f t="shared" si="14"/>
        <v>161</v>
      </c>
      <c r="U38" s="14">
        <f>SUM($C38*Frueh_1+$D38*Spaet_1+$E38*Nacht_1+$F38*Normal_1+$I38*Sonderd_1-$J38*Rath_M+$K38*Rath_M+$L38*EH_Kurs+$M38*Koor_taet+$N38*Sekre_1+$O38*Rath_M+$R38*Rath_M+$P38*Rath_M+$Q38*Rath_M+G38*Rath_M+H38*Rath_M)</f>
        <v>166.25</v>
      </c>
      <c r="V38" s="11">
        <f t="shared" si="16"/>
        <v>5.25</v>
      </c>
      <c r="W38" s="20">
        <f t="shared" si="15"/>
        <v>-260.75</v>
      </c>
    </row>
    <row r="39" spans="1:23" x14ac:dyDescent="0.25">
      <c r="A39" s="11"/>
      <c r="B39" s="27" t="str">
        <f t="shared" si="13"/>
        <v>Wunsch</v>
      </c>
      <c r="C39">
        <f>SUMPRODUCT((ISNUMBER(SEARCH($Y6,Dienstplan!$B$8:$B$19))*(ISNUMBER(SEARCH($AB$3,Dienstplan!$BK$8:$CO$19)))))-D39</f>
        <v>8</v>
      </c>
      <c r="D39">
        <f>SUMPRODUCT((ISNUMBER(SEARCH($Y6,Dienstplan!$B$8:$B$19))*(ISNUMBER(SEARCH($AB$4,Dienstplan!$BK$8:$CO$19)))))</f>
        <v>0</v>
      </c>
      <c r="E39">
        <f>SUMPRODUCT((ISNUMBER(SEARCH($Y6,Dienstplan!$B$8:$B$19))*(ISNUMBER(SEARCH($AB$5,Dienstplan!$BK$8:$CO$19)))))</f>
        <v>1</v>
      </c>
      <c r="F39">
        <f>SUMPRODUCT((ISNUMBER(SEARCH($Y6,Dienstplan!$B$8:$B$19))*(ISNUMBER(SEARCH($AB$6,Dienstplan!$BK$8:$CO$19)))))</f>
        <v>5</v>
      </c>
      <c r="G39">
        <f>SUMPRODUCT((ISNUMBER(SEARCH($Y6,Dienstplan!$B$8:$B$19))*(ISNUMBER(SEARCH($AB$7,Dienstplan!$BK$8:$CO$19)))))-H39</f>
        <v>1</v>
      </c>
      <c r="H39">
        <f>SUMPRODUCT((ISNUMBER(SEARCH($Y6,Dienstplan!$B$8:$B$19))*(ISNUMBER(SEARCH($AB$8,Dienstplan!$BK$8:$CO$19)))))</f>
        <v>0</v>
      </c>
      <c r="I39">
        <f>SUMPRODUCT((ISNUMBER(SEARCH($Y6,Dienstplan!$B$8:$B$19))*(ISNUMBER(SEARCH($AB$9,Dienstplan!$BK$8:$CO$19)))))</f>
        <v>3</v>
      </c>
      <c r="J39">
        <f>SUMPRODUCT((ISNUMBER(SEARCH($Y6,Dienstplan!$B$8:$B$19))*(ISNUMBER(SEARCH($AB$10,Dienstplan!$BK$8:$CO$19)))))</f>
        <v>0</v>
      </c>
      <c r="K39">
        <f>SUMPRODUCT((ISNUMBER(SEARCH($Y6,Dienstplan!$B$8:$B$19))*(ISNUMBER(SEARCH($AB$11,Dienstplan!$BK$8:$CO$19)))))-$Q39</f>
        <v>5</v>
      </c>
      <c r="L39">
        <f>SUMPRODUCT((ISNUMBER(SEARCH($Y6,Dienstplan!$B$8:$B$19))*(ISNUMBER(SEARCH($AB$12,Dienstplan!$BK$8:$CO$19)))))</f>
        <v>0</v>
      </c>
      <c r="M39">
        <f>SUMPRODUCT((ISNUMBER(SEARCH($Y6,Dienstplan!$B$8:$B$19))*(ISNUMBER(SEARCH($AB$13,Dienstplan!$BK$8:$CO$19)))))</f>
        <v>0</v>
      </c>
      <c r="N39">
        <f>SUMPRODUCT((ISNUMBER(SEARCH($Y6,Dienstplan!$B$8:$B$19))*(ISNUMBER(SEARCH($AB$14,Dienstplan!$BK$8:$CO$19)))))</f>
        <v>0</v>
      </c>
      <c r="O39">
        <f>SUMPRODUCT((ISNUMBER(SEARCH($Y6,Dienstplan!$B$8:$B$19))*(ISNUMBER(SEARCH($AB$15,Dienstplan!$BK$8:$CO$19)))))</f>
        <v>0</v>
      </c>
      <c r="P39">
        <f>SUMPRODUCT((ISNUMBER(SEARCH($Y6,Dienstplan!$B$8:$B$19))*(ISNUMBER(SEARCH($AB$16,Dienstplan!$BK$8:$CO$19)))))</f>
        <v>0</v>
      </c>
      <c r="Q39">
        <f>SUMPRODUCT((ISNUMBER(SEARCH($Y6,Dienstplan!$B$8:$B$19))*(ISNUMBER(SEARCH($AB$17,Dienstplan!$BK$8:$CO$19)))))</f>
        <v>0</v>
      </c>
      <c r="R39">
        <f>SUMPRODUCT((ISNUMBER(SEARCH($Y6,Dienstplan!$B$8:$B$19))*(ISNUMBER(SEARCH($AB$18,Dienstplan!$BK$8:$CO$19)))))</f>
        <v>0</v>
      </c>
      <c r="S39" s="11">
        <f>SUMPRODUCT((ISNUMBER(SEARCH($Y6,Dienstplan!$B$8:$B$19))*(ISNUMBER(SEARCH($AB$19,Dienstplan!$BK$8:$CO$19)))))</f>
        <v>2</v>
      </c>
      <c r="T39">
        <f t="shared" si="14"/>
        <v>184</v>
      </c>
      <c r="U39" s="14">
        <f>SUM($C39*Frueh_1+$D39*Spaet_1+$E39*Nacht_1+$F39*Normal_1+$I39*Sonderd_1-$J39*Scho_K+$K39*Scho_K+$L39*EH_Kurs+$M39*Koor_taet+$N39*Sekre_1+$O39*Scho_K+$R39*Scho_K+$P39*Scho_K+$Q39*Scho_K+G39*Scho_K+H39)</f>
        <v>172</v>
      </c>
      <c r="V39" s="11">
        <f t="shared" si="16"/>
        <v>-12</v>
      </c>
      <c r="W39" s="20">
        <f t="shared" si="15"/>
        <v>-46.75</v>
      </c>
    </row>
    <row r="40" spans="1:23" x14ac:dyDescent="0.25">
      <c r="A40" s="11"/>
      <c r="B40" s="27" t="str">
        <f t="shared" si="13"/>
        <v>Göpfrich</v>
      </c>
      <c r="C40">
        <f>SUMPRODUCT((ISNUMBER(SEARCH($Y7,Dienstplan!$B$8:$B$19))*(ISNUMBER(SEARCH($AB$3,Dienstplan!$BK$8:$CO$19)))))-D40</f>
        <v>1</v>
      </c>
      <c r="D40">
        <f>SUMPRODUCT((ISNUMBER(SEARCH($Y7,Dienstplan!$B$8:$B$19))*(ISNUMBER(SEARCH($AB$4,Dienstplan!$BK$8:$CO$19)))))</f>
        <v>0</v>
      </c>
      <c r="E40">
        <f>SUMPRODUCT((ISNUMBER(SEARCH($Y7,Dienstplan!$B$8:$B$19))*(ISNUMBER(SEARCH($AB$5,Dienstplan!$BK$8:$CO$19)))))</f>
        <v>8</v>
      </c>
      <c r="F40">
        <f>SUMPRODUCT((ISNUMBER(SEARCH($Y7,Dienstplan!$B$8:$B$19))*(ISNUMBER(SEARCH($AB$6,Dienstplan!$BK$8:$CO$19)))))</f>
        <v>10</v>
      </c>
      <c r="G40">
        <f>SUMPRODUCT((ISNUMBER(SEARCH($Y7,Dienstplan!$B$8:$B$19))*(ISNUMBER(SEARCH($AB$7,Dienstplan!$BK$8:$CO$19)))))-H40</f>
        <v>0</v>
      </c>
      <c r="H40">
        <f>SUMPRODUCT((ISNUMBER(SEARCH($Y7,Dienstplan!$B$8:$B$19))*(ISNUMBER(SEARCH($AB$8,Dienstplan!$BK$8:$CO$19)))))</f>
        <v>0</v>
      </c>
      <c r="I40">
        <f>SUMPRODUCT((ISNUMBER(SEARCH($Y7,Dienstplan!$B$8:$B$19))*(ISNUMBER(SEARCH($AB$9,Dienstplan!$BK$8:$CO$19)))))</f>
        <v>1</v>
      </c>
      <c r="J40">
        <f>SUMPRODUCT((ISNUMBER(SEARCH($Y7,Dienstplan!$B$8:$B$19))*(ISNUMBER(SEARCH($AB$10,Dienstplan!$BK$8:$CO$19)))))</f>
        <v>2</v>
      </c>
      <c r="K40">
        <f>SUMPRODUCT((ISNUMBER(SEARCH($Y7,Dienstplan!$B$8:$B$19))*(ISNUMBER(SEARCH($AB$11,Dienstplan!$BK$8:$CO$19)))))-$Q40</f>
        <v>0</v>
      </c>
      <c r="L40">
        <f>SUMPRODUCT((ISNUMBER(SEARCH($Y7,Dienstplan!$B$8:$B$19))*(ISNUMBER(SEARCH($AB$12,Dienstplan!$BK$8:$CO$19)))))</f>
        <v>1</v>
      </c>
      <c r="M40">
        <f>SUMPRODUCT((ISNUMBER(SEARCH($Y7,Dienstplan!$B$8:$B$19))*(ISNUMBER(SEARCH($AB$13,Dienstplan!$BK$8:$CO$19)))))</f>
        <v>0</v>
      </c>
      <c r="N40">
        <f>SUMPRODUCT((ISNUMBER(SEARCH($Y7,Dienstplan!$B$8:$B$19))*(ISNUMBER(SEARCH($AB$14,Dienstplan!$BK$8:$CO$19)))))</f>
        <v>0</v>
      </c>
      <c r="O40">
        <f>SUMPRODUCT((ISNUMBER(SEARCH($Y7,Dienstplan!$B$8:$B$19))*(ISNUMBER(SEARCH($AB$15,Dienstplan!$BK$8:$CO$19)))))</f>
        <v>0</v>
      </c>
      <c r="P40">
        <f>SUMPRODUCT((ISNUMBER(SEARCH($Y7,Dienstplan!$B$8:$B$19))*(ISNUMBER(SEARCH($AB$16,Dienstplan!$BK$8:$CO$19)))))</f>
        <v>0</v>
      </c>
      <c r="Q40">
        <f>SUMPRODUCT((ISNUMBER(SEARCH($Y7,Dienstplan!$B$8:$B$19))*(ISNUMBER(SEARCH($AB$17,Dienstplan!$BK$8:$CO$19)))))</f>
        <v>0</v>
      </c>
      <c r="R40">
        <f>SUMPRODUCT((ISNUMBER(SEARCH($Y7,Dienstplan!$B$8:$B$19))*(ISNUMBER(SEARCH($AB$18,Dienstplan!$BK$8:$CO$19)))))</f>
        <v>0</v>
      </c>
      <c r="S40" s="11">
        <f>SUMPRODUCT((ISNUMBER(SEARCH($Y7,Dienstplan!$B$8:$B$19))*(ISNUMBER(SEARCH($AB$19,Dienstplan!$BK$8:$CO$19)))))</f>
        <v>1</v>
      </c>
      <c r="T40">
        <f t="shared" si="14"/>
        <v>161</v>
      </c>
      <c r="U40" s="14">
        <f>SUM($C40*Frueh_1+$D40*Spaet_1+$E40*Nacht_1+$F40*Normal_1+$I40*Sonderd_1-$J40*Krie_B+$K40*Krie_B+$L40*EH_Kurs+$M40*Koor_taet+$N40*Sekre_1+$O40*Krie_B+$R40*Krie_B+$P40*Krie_B+$Q40*Krie_B+G40*Krie_B+H40*Krie_B)</f>
        <v>143.25</v>
      </c>
      <c r="V40" s="11">
        <f t="shared" si="16"/>
        <v>-17.75</v>
      </c>
      <c r="W40" s="20">
        <f t="shared" si="15"/>
        <v>-12.75</v>
      </c>
    </row>
    <row r="41" spans="1:23" x14ac:dyDescent="0.25">
      <c r="A41" s="11"/>
      <c r="B41" s="27" t="str">
        <f t="shared" si="13"/>
        <v>Zeller</v>
      </c>
      <c r="C41">
        <f>SUMPRODUCT((ISNUMBER(SEARCH($Y8,Dienstplan!$B$8:$B$19))*(ISNUMBER(SEARCH($AB$3,Dienstplan!$BK$8:$CO$19)))))-D41</f>
        <v>2</v>
      </c>
      <c r="D41">
        <f>SUMPRODUCT((ISNUMBER(SEARCH($Y8,Dienstplan!$B$8:$B$19))*(ISNUMBER(SEARCH($AB$4,Dienstplan!$BK$8:$CO$19)))))</f>
        <v>6</v>
      </c>
      <c r="E41">
        <f>SUMPRODUCT((ISNUMBER(SEARCH($Y8,Dienstplan!$B$8:$B$19))*(ISNUMBER(SEARCH($AB$5,Dienstplan!$BK$8:$CO$19)))))</f>
        <v>0</v>
      </c>
      <c r="F41">
        <f>SUMPRODUCT((ISNUMBER(SEARCH($Y8,Dienstplan!$B$8:$B$19))*(ISNUMBER(SEARCH($AB$6,Dienstplan!$BK$8:$CO$19)))))</f>
        <v>4</v>
      </c>
      <c r="G41">
        <f>SUMPRODUCT((ISNUMBER(SEARCH($Y8,Dienstplan!$B$8:$B$19))*(ISNUMBER(SEARCH($AB$7,Dienstplan!$BK$8:$CO$19)))))-H41</f>
        <v>3</v>
      </c>
      <c r="H41">
        <f>SUMPRODUCT((ISNUMBER(SEARCH($Y8,Dienstplan!$B$8:$B$19))*(ISNUMBER(SEARCH($AB$8,Dienstplan!$BK$8:$CO$19)))))</f>
        <v>3</v>
      </c>
      <c r="I41">
        <f>SUMPRODUCT((ISNUMBER(SEARCH($Y8,Dienstplan!$B$8:$B$19))*(ISNUMBER(SEARCH($AB$9,Dienstplan!$BK$8:$CO$19)))))</f>
        <v>0</v>
      </c>
      <c r="J41">
        <f>SUMPRODUCT((ISNUMBER(SEARCH($Y8,Dienstplan!$B$8:$B$19))*(ISNUMBER(SEARCH($AB$10,Dienstplan!$BK$8:$CO$19)))))</f>
        <v>2</v>
      </c>
      <c r="K41">
        <f>SUMPRODUCT((ISNUMBER(SEARCH($Y8,Dienstplan!$B$8:$B$19))*(ISNUMBER(SEARCH($AB$11,Dienstplan!$BK$8:$CO$19)))))-$Q41</f>
        <v>2</v>
      </c>
      <c r="L41">
        <f>SUMPRODUCT((ISNUMBER(SEARCH($Y8,Dienstplan!$B$8:$B$19))*(ISNUMBER(SEARCH($AB$12,Dienstplan!$BK$8:$CO$19)))))</f>
        <v>0</v>
      </c>
      <c r="M41">
        <f>SUMPRODUCT((ISNUMBER(SEARCH($Y8,Dienstplan!$B$8:$B$19))*(ISNUMBER(SEARCH($AB$13,Dienstplan!$BK$8:$CO$19)))))</f>
        <v>0</v>
      </c>
      <c r="N41">
        <f>SUMPRODUCT((ISNUMBER(SEARCH($Y8,Dienstplan!$B$8:$B$19))*(ISNUMBER(SEARCH($AB$14,Dienstplan!$BK$8:$CO$19)))))</f>
        <v>0</v>
      </c>
      <c r="O41">
        <f>SUMPRODUCT((ISNUMBER(SEARCH($Y8,Dienstplan!$B$8:$B$19))*(ISNUMBER(SEARCH($AB$15,Dienstplan!$BK$8:$CO$19)))))</f>
        <v>2</v>
      </c>
      <c r="P41">
        <f>SUMPRODUCT((ISNUMBER(SEARCH($Y8,Dienstplan!$B$8:$B$19))*(ISNUMBER(SEARCH($AB$16,Dienstplan!$BK$8:$CO$19)))))</f>
        <v>0</v>
      </c>
      <c r="Q41">
        <f>SUMPRODUCT((ISNUMBER(SEARCH($Y8,Dienstplan!$B$8:$B$19))*(ISNUMBER(SEARCH($AB$17,Dienstplan!$BK$8:$CO$19)))))</f>
        <v>0</v>
      </c>
      <c r="R41">
        <f>SUMPRODUCT((ISNUMBER(SEARCH($Y8,Dienstplan!$B$8:$B$19))*(ISNUMBER(SEARCH($AB$18,Dienstplan!$BK$8:$CO$19)))))</f>
        <v>0</v>
      </c>
      <c r="S41" s="11">
        <f>SUMPRODUCT((ISNUMBER(SEARCH($Y8,Dienstplan!$B$8:$B$19))*(ISNUMBER(SEARCH($AB$19,Dienstplan!$BK$8:$CO$19)))))</f>
        <v>1</v>
      </c>
      <c r="T41">
        <f t="shared" si="14"/>
        <v>184</v>
      </c>
      <c r="U41" s="14">
        <f>SUM($C41*Frueh_1+$D41*Spaet_1+$E41*Nacht_1+$F41*Normal_1+$I41*Sonderd_1-$J41*Muster+$K41*Muster+$L41*EH_Kurs+$M41*Koor_taet+$N41*Sekre_1+$O41*Muster+$P41*Muster+$Q41*Muster+$R41*Muster+G41*Muster+H41*Muster)</f>
        <v>153.5</v>
      </c>
      <c r="V41" s="11">
        <f t="shared" si="16"/>
        <v>-30.5</v>
      </c>
      <c r="W41" s="20">
        <f t="shared" si="15"/>
        <v>-83</v>
      </c>
    </row>
    <row r="42" spans="1:23" x14ac:dyDescent="0.25">
      <c r="A42" s="11"/>
      <c r="B42" s="27" t="str">
        <f t="shared" si="13"/>
        <v>Behrendt</v>
      </c>
      <c r="C42" cm="1">
        <f t="array" ref="C42">SUMPRODUCT((ISNUMBER(SEARCH($Y9,Dienstplan!$B$8:$B$19))*(ISNUMBER(SEARCH($AB$3,Dienstplan!$BK$8:$CO$19)))))-D42</f>
        <v>8</v>
      </c>
      <c r="D42" cm="1">
        <f t="array" ref="D42">SUMPRODUCT((ISNUMBER(SEARCH($Y9,Dienstplan!$B$8:$B$19))*(ISNUMBER(SEARCH($AB$4,Dienstplan!$BK$8:$CO$19)))))</f>
        <v>0</v>
      </c>
      <c r="E42" cm="1">
        <f t="array" ref="E42">SUMPRODUCT((ISNUMBER(SEARCH($Y9,Dienstplan!$B$8:$B$19))*(ISNUMBER(SEARCH($AB$5,Dienstplan!$BK$8:$CO$19)))))</f>
        <v>9</v>
      </c>
      <c r="F42" cm="1">
        <f t="array" ref="F42">SUMPRODUCT((ISNUMBER(SEARCH($Y9,Dienstplan!$B$8:$B$19))*(ISNUMBER(SEARCH($AB$6,Dienstplan!$BK$8:$CO$19)))))</f>
        <v>3</v>
      </c>
      <c r="G42">
        <f>SUMPRODUCT((ISNUMBER(SEARCH($Y9,Dienstplan!$B$8:$B$19))*(ISNUMBER(SEARCH($AB$7,Dienstplan!$BK$8:$CO$19)))))-H42</f>
        <v>0</v>
      </c>
      <c r="H42">
        <f>SUMPRODUCT((ISNUMBER(SEARCH($Y9,Dienstplan!$B$8:$B$19))*(ISNUMBER(SEARCH($AB$8,Dienstplan!$BK$8:$CO$19)))))</f>
        <v>0</v>
      </c>
      <c r="I42">
        <f>SUMPRODUCT((ISNUMBER(SEARCH($Y9,Dienstplan!$B$8:$B$19))*(ISNUMBER(SEARCH($AB$9,Dienstplan!$BK$8:$CO$19)))))</f>
        <v>0</v>
      </c>
      <c r="J42">
        <f>SUMPRODUCT((ISNUMBER(SEARCH($Y9,Dienstplan!$B$8:$B$19))*(ISNUMBER(SEARCH($AB$10,Dienstplan!$BK$8:$CO$19)))))</f>
        <v>0</v>
      </c>
      <c r="K42">
        <f>SUMPRODUCT((ISNUMBER(SEARCH($Y9,Dienstplan!$B$8:$B$19))*(ISNUMBER(SEARCH($AB$11,Dienstplan!$BK$8:$CO$19)))))-$Q42</f>
        <v>1</v>
      </c>
      <c r="L42">
        <f>SUMPRODUCT((ISNUMBER(SEARCH($Y9,Dienstplan!$B$8:$B$19))*(ISNUMBER(SEARCH($AB$12,Dienstplan!$BK$8:$CO$19)))))</f>
        <v>0</v>
      </c>
      <c r="M42">
        <f>SUMPRODUCT((ISNUMBER(SEARCH($Y9,Dienstplan!$B$8:$B$19))*(ISNUMBER(SEARCH($AB$13,Dienstplan!$BK$8:$CO$19)))))</f>
        <v>0</v>
      </c>
      <c r="N42">
        <f>SUMPRODUCT((ISNUMBER(SEARCH($Y9,Dienstplan!$B$8:$B$19))*(ISNUMBER(SEARCH($AB$14,Dienstplan!$BK$8:$CO$19)))))</f>
        <v>0</v>
      </c>
      <c r="O42">
        <f>SUMPRODUCT((ISNUMBER(SEARCH($Y9,Dienstplan!$B$8:$B$19))*(ISNUMBER(SEARCH($AB$15,Dienstplan!$BK$8:$CO$19)))))</f>
        <v>2</v>
      </c>
      <c r="P42">
        <f>SUMPRODUCT((ISNUMBER(SEARCH($Y9,Dienstplan!$B$8:$B$19))*(ISNUMBER(SEARCH($AB$16,Dienstplan!$BK$8:$CO$19)))))</f>
        <v>0</v>
      </c>
      <c r="Q42">
        <f>SUMPRODUCT((ISNUMBER(SEARCH($Y9,Dienstplan!$B$8:$B$19))*(ISNUMBER(SEARCH($AB$17,Dienstplan!$BK$8:$CO$19)))))</f>
        <v>0</v>
      </c>
      <c r="R42">
        <f>SUMPRODUCT((ISNUMBER(SEARCH($Y9,Dienstplan!$B$8:$B$19))*(ISNUMBER(SEARCH($AB$18,Dienstplan!$BK$8:$CO$19)))))</f>
        <v>0</v>
      </c>
      <c r="S42" s="11">
        <f>SUMPRODUCT((ISNUMBER(SEARCH($Y9,Dienstplan!$B$8:$B$19))*(ISNUMBER(SEARCH($AB$19,Dienstplan!$BK$8:$CO$19)))))</f>
        <v>0</v>
      </c>
      <c r="T42">
        <f t="shared" si="14"/>
        <v>161</v>
      </c>
      <c r="U42" s="14">
        <f>SUM($C42*Frueh_1+$D42*Spaet_1+$E42*Nacht_1+$F42*Normal_1+$I42*Sonderd_1-$J42*Muster+$K42*Muster+$L42*EH_Kurs+$M42*Koor_taet+$N42*Sekre_1+$O42*Muster+$P42*Muster+$Q42*Muster+$R42*Muster+G42*Muster+H42*Muster)</f>
        <v>172</v>
      </c>
      <c r="V42" s="11">
        <f t="shared" si="16"/>
        <v>11</v>
      </c>
      <c r="W42" s="20">
        <f t="shared" si="15"/>
        <v>-61.45</v>
      </c>
    </row>
    <row r="43" spans="1:23" x14ac:dyDescent="0.25">
      <c r="A43" s="11"/>
      <c r="B43" s="27" t="str">
        <f t="shared" si="13"/>
        <v>Krempl</v>
      </c>
      <c r="C43">
        <f>SUMPRODUCT((ISNUMBER(SEARCH($Y10,Dienstplan!$B$8:$B$19))*(ISNUMBER(SEARCH($AB$3,Dienstplan!$BK$8:$CO$19)))))-D43</f>
        <v>0</v>
      </c>
      <c r="D43">
        <f>SUMPRODUCT((ISNUMBER(SEARCH($Y10,Dienstplan!$B$8:$B$19))*(ISNUMBER(SEARCH($AB$4,Dienstplan!$BK$8:$CO$19)))))</f>
        <v>2</v>
      </c>
      <c r="E43">
        <f>SUMPRODUCT((ISNUMBER(SEARCH($Y10,Dienstplan!$B$8:$B$19))*(ISNUMBER(SEARCH($AB$5,Dienstplan!$BK$8:$CO$19)))))</f>
        <v>0</v>
      </c>
      <c r="F43">
        <f>SUMPRODUCT((ISNUMBER(SEARCH($Y10,Dienstplan!$B$8:$B$19))*(ISNUMBER(SEARCH($AB$6,Dienstplan!$BK$8:$CO$19)))))</f>
        <v>0</v>
      </c>
      <c r="G43">
        <f>SUMPRODUCT((ISNUMBER(SEARCH($Y10,Dienstplan!$B$8:$B$19))*(ISNUMBER(SEARCH($AB$7,Dienstplan!$BK$8:$CO$19)))))-H43</f>
        <v>2</v>
      </c>
      <c r="H43">
        <f>SUMPRODUCT((ISNUMBER(SEARCH($Y10,Dienstplan!$B$8:$B$19))*(ISNUMBER(SEARCH($AB$8,Dienstplan!$BK$8:$CO$19)))))</f>
        <v>4</v>
      </c>
      <c r="I43">
        <f>SUMPRODUCT((ISNUMBER(SEARCH($Y10,Dienstplan!$B$8:$B$19))*(ISNUMBER(SEARCH($AB$9,Dienstplan!$BK$8:$CO$19)))))</f>
        <v>0</v>
      </c>
      <c r="J43">
        <f>SUMPRODUCT((ISNUMBER(SEARCH($Y10,Dienstplan!$B$8:$B$19))*(ISNUMBER(SEARCH($AB$10,Dienstplan!$BK$8:$CO$19)))))</f>
        <v>13</v>
      </c>
      <c r="K43">
        <f>SUMPRODUCT((ISNUMBER(SEARCH($Y10,Dienstplan!$B$8:$B$19))*(ISNUMBER(SEARCH($AB$11,Dienstplan!$BK$8:$CO$19)))))-$Q43</f>
        <v>1</v>
      </c>
      <c r="L43">
        <f>SUMPRODUCT((ISNUMBER(SEARCH($Y10,Dienstplan!$B$8:$B$19))*(ISNUMBER(SEARCH($AB$12,Dienstplan!$BK$8:$CO$19)))))</f>
        <v>1</v>
      </c>
      <c r="M43">
        <f>SUMPRODUCT((ISNUMBER(SEARCH($Y10,Dienstplan!$B$8:$B$19))*(ISNUMBER(SEARCH($AB$13,Dienstplan!$BK$8:$CO$19)))))</f>
        <v>0</v>
      </c>
      <c r="N43">
        <f>SUMPRODUCT((ISNUMBER(SEARCH($Y10,Dienstplan!$B$8:$B$19))*(ISNUMBER(SEARCH($AB$14,Dienstplan!$BK$8:$CO$19)))))</f>
        <v>0</v>
      </c>
      <c r="O43">
        <f>SUMPRODUCT((ISNUMBER(SEARCH($Y10,Dienstplan!$B$8:$B$19))*(ISNUMBER(SEARCH($AB$15,Dienstplan!$BK$8:$CO$19)))))</f>
        <v>0</v>
      </c>
      <c r="P43">
        <f>SUMPRODUCT((ISNUMBER(SEARCH($Y10,Dienstplan!$B$8:$B$19))*(ISNUMBER(SEARCH($AB$16,Dienstplan!$BK$8:$CO$19)))))</f>
        <v>0</v>
      </c>
      <c r="Q43">
        <f>SUMPRODUCT((ISNUMBER(SEARCH($Y10,Dienstplan!$B$8:$B$19))*(ISNUMBER(SEARCH($AB$17,Dienstplan!$BK$8:$CO$19)))))</f>
        <v>0</v>
      </c>
      <c r="R43">
        <f>SUMPRODUCT((ISNUMBER(SEARCH($Y10,Dienstplan!$B$8:$B$19))*(ISNUMBER(SEARCH($AB$18,Dienstplan!$BK$8:$CO$19)))))</f>
        <v>0</v>
      </c>
      <c r="S43" s="11">
        <f>SUMPRODUCT((ISNUMBER(SEARCH($Y10,Dienstplan!$B$8:$B$19))*(ISNUMBER(SEARCH($AB$19,Dienstplan!$BK$8:$CO$19)))))</f>
        <v>0</v>
      </c>
      <c r="T43">
        <f t="shared" si="14"/>
        <v>73.600000000000009</v>
      </c>
      <c r="U43" s="14">
        <f>SUM($C43*Frueh_1+$D43*Spaet_1+$E43*Nacht_1+$F43*Normal_1+$I43*Sonderd_1-$J43*Krem_E+$K43*Krem_E+$L43*EH_Kurs+$M43*Koor_taet+$N43*Sekre_1+$O43*Krem_E+$R43*Krem_E+$P43*Krem_E+$Q43*Krem_E+G43*Krem_E+H43*Krem_E)</f>
        <v>3.7999999999999989</v>
      </c>
      <c r="V43" s="11">
        <f t="shared" si="16"/>
        <v>-69.800000000000011</v>
      </c>
      <c r="W43" s="20">
        <f t="shared" si="15"/>
        <v>-140.70000000000002</v>
      </c>
    </row>
    <row r="44" spans="1:23" x14ac:dyDescent="0.25">
      <c r="A44" s="11"/>
      <c r="B44" s="27" t="str">
        <f t="shared" si="13"/>
        <v>Putschler</v>
      </c>
      <c r="C44">
        <f>SUMPRODUCT((ISNUMBER(SEARCH($Y11,Dienstplan!$B$8:$B$19))*(ISNUMBER(SEARCH($AB$3,Dienstplan!$BK$8:$CO$19)))))-D44</f>
        <v>2</v>
      </c>
      <c r="D44">
        <f>SUMPRODUCT((ISNUMBER(SEARCH($Y11,Dienstplan!$B$8:$B$19))*(ISNUMBER(SEARCH($AB$4,Dienstplan!$BK$8:$CO$19)))))</f>
        <v>0</v>
      </c>
      <c r="E44">
        <f>SUMPRODUCT((ISNUMBER(SEARCH($Y11,Dienstplan!$B$8:$B$19))*(ISNUMBER(SEARCH($AB$5,Dienstplan!$BK$8:$CO$19)))))</f>
        <v>0</v>
      </c>
      <c r="F44">
        <f>SUMPRODUCT((ISNUMBER(SEARCH($Y11,Dienstplan!$B$8:$B$19))*(ISNUMBER(SEARCH($AB$6,Dienstplan!$BK$8:$CO$19)))))</f>
        <v>0</v>
      </c>
      <c r="G44">
        <f>SUMPRODUCT((ISNUMBER(SEARCH($Y11,Dienstplan!$B$8:$B$19))*(ISNUMBER(SEARCH($AB$7,Dienstplan!$BK$8:$CO$19)))))-H44</f>
        <v>0</v>
      </c>
      <c r="H44">
        <f>SUMPRODUCT((ISNUMBER(SEARCH($Y11,Dienstplan!$B$8:$B$19))*(ISNUMBER(SEARCH($AB$8,Dienstplan!$BK$8:$CO$19)))))</f>
        <v>0</v>
      </c>
      <c r="I44">
        <f>SUMPRODUCT((ISNUMBER(SEARCH($Y11,Dienstplan!$B$8:$B$19))*(ISNUMBER(SEARCH($AB$9,Dienstplan!$BK$8:$CO$19)))))</f>
        <v>0</v>
      </c>
      <c r="J44">
        <f>SUMPRODUCT((ISNUMBER(SEARCH($Y11,Dienstplan!$B$8:$B$19))*(ISNUMBER(SEARCH($AB$10,Dienstplan!$BK$8:$CO$19)))))</f>
        <v>0</v>
      </c>
      <c r="K44">
        <f>SUMPRODUCT((ISNUMBER(SEARCH($Y11,Dienstplan!$B$8:$B$19))*(ISNUMBER(SEARCH($AB$11,Dienstplan!$BK$8:$CO$19)))))-$Q44</f>
        <v>0</v>
      </c>
      <c r="L44">
        <f>SUMPRODUCT((ISNUMBER(SEARCH($Y11,Dienstplan!$B$8:$B$19))*(ISNUMBER(SEARCH($AB$12,Dienstplan!$BK$8:$CO$19)))))</f>
        <v>0</v>
      </c>
      <c r="M44">
        <f>SUMPRODUCT((ISNUMBER(SEARCH($Y11,Dienstplan!$B$8:$B$19))*(ISNUMBER(SEARCH($AB$13,Dienstplan!$BK$8:$CO$19)))))</f>
        <v>21</v>
      </c>
      <c r="N44">
        <f>SUMPRODUCT((ISNUMBER(SEARCH($Y11,Dienstplan!$B$8:$B$19))*(ISNUMBER(SEARCH($AB$14,Dienstplan!$BK$8:$CO$19)))))</f>
        <v>0</v>
      </c>
      <c r="O44">
        <f>SUMPRODUCT((ISNUMBER(SEARCH($Y11,Dienstplan!$B$8:$B$19))*(ISNUMBER(SEARCH($AB$15,Dienstplan!$BK$8:$CO$19)))))</f>
        <v>0</v>
      </c>
      <c r="P44">
        <f>SUMPRODUCT((ISNUMBER(SEARCH($Y11,Dienstplan!$B$8:$B$19))*(ISNUMBER(SEARCH($AB$16,Dienstplan!$BK$8:$CO$19)))))</f>
        <v>0</v>
      </c>
      <c r="Q44">
        <f>SUMPRODUCT((ISNUMBER(SEARCH($Y11,Dienstplan!$B$8:$B$19))*(ISNUMBER(SEARCH($AB$17,Dienstplan!$BK$8:$CO$19)))))</f>
        <v>0</v>
      </c>
      <c r="R44">
        <f>SUMPRODUCT((ISNUMBER(SEARCH($Y11,Dienstplan!$B$8:$B$19))*(ISNUMBER(SEARCH($AB$18,Dienstplan!$BK$8:$CO$19)))))</f>
        <v>0</v>
      </c>
      <c r="S44" s="11">
        <f>SUMPRODUCT((ISNUMBER(SEARCH($Y11,Dienstplan!$B$8:$B$19))*(ISNUMBER(SEARCH($AB$19,Dienstplan!$BK$8:$CO$19)))))</f>
        <v>0</v>
      </c>
      <c r="T44">
        <f t="shared" si="14"/>
        <v>184</v>
      </c>
      <c r="U44" s="14">
        <f>SUM($C44*Frueh_1+$D44*Spaet_1+$E44*Nacht_1+$F44*Normal_1+$I44*Sonderd_1-$J44*Put_W+$K44*Put_W+$L44*EH_Kurs+$M44*Koor_taet+$N44*Sekre_1+$O44*Put_W+$R44*Put_W+$P44*Put_W+$Q44*Put_W+G44*Put_W+H44*Put_W)</f>
        <v>182.5</v>
      </c>
      <c r="V44" s="11">
        <f t="shared" si="16"/>
        <v>-1.5</v>
      </c>
      <c r="W44" s="20">
        <f t="shared" si="15"/>
        <v>6.5</v>
      </c>
    </row>
    <row r="45" spans="1:23" x14ac:dyDescent="0.25">
      <c r="A45" s="11"/>
      <c r="B45" s="27" t="str">
        <f t="shared" si="13"/>
        <v>Schmidt</v>
      </c>
      <c r="C45">
        <f>SUMPRODUCT((ISNUMBER(SEARCH($Y12,Dienstplan!$B$8:$B$19))*(ISNUMBER(SEARCH($AB$3,Dienstplan!$BK$8:$CO$19)))))-D45</f>
        <v>0</v>
      </c>
      <c r="D45">
        <f>SUMPRODUCT((ISNUMBER(SEARCH($Y12,Dienstplan!$B$8:$B$19))*(ISNUMBER(SEARCH($AB$4,Dienstplan!$BK$8:$CO$19)))))</f>
        <v>0</v>
      </c>
      <c r="E45">
        <f>SUMPRODUCT((ISNUMBER(SEARCH($Y12,Dienstplan!$B$8:$B$19))*(ISNUMBER(SEARCH($AB$5,Dienstplan!$BK$8:$CO$19)))))</f>
        <v>0</v>
      </c>
      <c r="F45">
        <f>SUMPRODUCT((ISNUMBER(SEARCH($Y12,Dienstplan!$B$8:$B$19))*(ISNUMBER(SEARCH($AB$6,Dienstplan!$BK$8:$CO$19)))))</f>
        <v>0</v>
      </c>
      <c r="G45">
        <f>SUMPRODUCT((ISNUMBER(SEARCH($Y12,Dienstplan!$B$8:$B$19))*(ISNUMBER(SEARCH($AB$7,Dienstplan!$BK$8:$CO$19)))))-H45</f>
        <v>0</v>
      </c>
      <c r="H45">
        <f>SUMPRODUCT((ISNUMBER(SEARCH($Y12,Dienstplan!$B$8:$B$19))*(ISNUMBER(SEARCH($AB$8,Dienstplan!$BK$8:$CO$19)))))</f>
        <v>0</v>
      </c>
      <c r="I45">
        <f>SUMPRODUCT((ISNUMBER(SEARCH($Y12,Dienstplan!$B$8:$B$19))*(ISNUMBER(SEARCH($AB$9,Dienstplan!$BK$8:$CO$19)))))</f>
        <v>0</v>
      </c>
      <c r="J45">
        <f>SUMPRODUCT((ISNUMBER(SEARCH($Y12,Dienstplan!$B$8:$B$19))*(ISNUMBER(SEARCH($AB$10,Dienstplan!$BK$8:$CO$19)))))</f>
        <v>0</v>
      </c>
      <c r="K45">
        <f>SUMPRODUCT((ISNUMBER(SEARCH($Y12,Dienstplan!$B$8:$B$19))*(ISNUMBER(SEARCH($AB$11,Dienstplan!$BK$8:$CO$19)))))-$Q45</f>
        <v>2</v>
      </c>
      <c r="L45">
        <f>SUMPRODUCT((ISNUMBER(SEARCH($Y12,Dienstplan!$B$8:$B$19))*(ISNUMBER(SEARCH($AB$12,Dienstplan!$BK$8:$CO$19)))))</f>
        <v>0</v>
      </c>
      <c r="M45">
        <f>SUMPRODUCT((ISNUMBER(SEARCH($Y12,Dienstplan!$B$8:$B$19))*(ISNUMBER(SEARCH($AB$13,Dienstplan!$BK$8:$CO$19)))))</f>
        <v>0</v>
      </c>
      <c r="N45">
        <f>SUMPRODUCT((ISNUMBER(SEARCH($Y12,Dienstplan!$B$8:$B$19))*(ISNUMBER(SEARCH($AB$14,Dienstplan!$BK$8:$CO$19)))))</f>
        <v>0</v>
      </c>
      <c r="O45">
        <f>SUMPRODUCT((ISNUMBER(SEARCH($Y12,Dienstplan!$B$8:$B$19))*(ISNUMBER(SEARCH($AB$15,Dienstplan!$BK$8:$CO$19)))))</f>
        <v>0</v>
      </c>
      <c r="P45">
        <f>SUMPRODUCT((ISNUMBER(SEARCH($Y12,Dienstplan!$B$8:$B$19))*(ISNUMBER(SEARCH($AB$16,Dienstplan!$BK$8:$CO$19)))))</f>
        <v>0</v>
      </c>
      <c r="Q45">
        <f>SUMPRODUCT((ISNUMBER(SEARCH($Y12,Dienstplan!$B$8:$B$19))*(ISNUMBER(SEARCH($AB$17,Dienstplan!$BK$8:$CO$19)))))</f>
        <v>0</v>
      </c>
      <c r="R45">
        <f>SUMPRODUCT((ISNUMBER(SEARCH($Y12,Dienstplan!$B$8:$B$19))*(ISNUMBER(SEARCH($AB$18,Dienstplan!$BK$8:$CO$19)))))</f>
        <v>0</v>
      </c>
      <c r="S45" s="11">
        <f>SUMPRODUCT((ISNUMBER(SEARCH($Y12,Dienstplan!$B$8:$B$19))*(ISNUMBER(SEARCH($AB$19,Dienstplan!$BK$8:$CO$19)))))</f>
        <v>0</v>
      </c>
      <c r="T45">
        <f t="shared" si="14"/>
        <v>161</v>
      </c>
      <c r="U45" s="14">
        <f>SUM($C45*Frueh_1+$D45*Spaet_1+$E45*Nacht_1+$F45*Normal_1+$I45*Sonderd_1-$J45*Radi_L+$K45*Radi_L+$L45*EH_Kurs+$M45*Koor_taet+$N45*Sekre_1+$O45*Radi_L+$R45*Radi_L+$P45*Radi_L+$Q45*Radi_L+G45*Radi_L+H45*Radi_L)</f>
        <v>14</v>
      </c>
      <c r="V45" s="11">
        <f t="shared" si="16"/>
        <v>-147</v>
      </c>
      <c r="W45" s="20">
        <f t="shared" si="15"/>
        <v>-434</v>
      </c>
    </row>
    <row r="46" spans="1:23" x14ac:dyDescent="0.25">
      <c r="A46" s="11"/>
      <c r="B46" s="27" t="str">
        <f t="shared" si="13"/>
        <v>Radimersky</v>
      </c>
      <c r="C46">
        <f>SUMPRODUCT((ISNUMBER(SEARCH($Y13,Dienstplan!$B$8:$B$19))*(ISNUMBER(SEARCH($AB$3,Dienstplan!$BK$8:$CO$19)))))-D46</f>
        <v>0</v>
      </c>
      <c r="D46">
        <f>SUMPRODUCT((ISNUMBER(SEARCH($Y13,Dienstplan!$B$8:$B$19))*(ISNUMBER(SEARCH($AB$4,Dienstplan!$BK$8:$CO$19)))))</f>
        <v>0</v>
      </c>
      <c r="E46">
        <f>SUMPRODUCT((ISNUMBER(SEARCH($Y13,Dienstplan!$B$8:$B$19))*(ISNUMBER(SEARCH($AB$5,Dienstplan!$BK$8:$CO$19)))))</f>
        <v>0</v>
      </c>
      <c r="F46">
        <f>SUMPRODUCT((ISNUMBER(SEARCH($Y13,Dienstplan!$B$8:$B$19))*(ISNUMBER(SEARCH($AB$6,Dienstplan!$BK$8:$CO$19)))))</f>
        <v>0</v>
      </c>
      <c r="G46">
        <f>SUMPRODUCT((ISNUMBER(SEARCH($Y13,Dienstplan!$B$8:$B$19))*(ISNUMBER(SEARCH($AB$7,Dienstplan!$BK$8:$CO$19)))))-H46</f>
        <v>0</v>
      </c>
      <c r="H46">
        <f>SUMPRODUCT((ISNUMBER(SEARCH($Y13,Dienstplan!$B$8:$B$19))*(ISNUMBER(SEARCH($AB$8,Dienstplan!$BK$8:$CO$19)))))</f>
        <v>0</v>
      </c>
      <c r="I46">
        <f>SUMPRODUCT((ISNUMBER(SEARCH($Y13,Dienstplan!$B$8:$B$19))*(ISNUMBER(SEARCH($AB$9,Dienstplan!$BK$8:$CO$19)))))</f>
        <v>0</v>
      </c>
      <c r="J46">
        <f>SUMPRODUCT((ISNUMBER(SEARCH($Y13,Dienstplan!$B$8:$B$19))*(ISNUMBER(SEARCH($AB$10,Dienstplan!$BK$8:$CO$19)))))</f>
        <v>0</v>
      </c>
      <c r="K46">
        <f>SUMPRODUCT((ISNUMBER(SEARCH($Y13,Dienstplan!$B$8:$B$19))*(ISNUMBER(SEARCH($AB$11,Dienstplan!$BK$8:$CO$19)))))-$Q46</f>
        <v>3</v>
      </c>
      <c r="L46">
        <f>SUMPRODUCT((ISNUMBER(SEARCH($Y13,Dienstplan!$B$8:$B$19))*(ISNUMBER(SEARCH($AB$12,Dienstplan!$BK$8:$CO$19)))))</f>
        <v>0</v>
      </c>
      <c r="M46">
        <f>SUMPRODUCT((ISNUMBER(SEARCH($Y13,Dienstplan!$B$8:$B$19))*(ISNUMBER(SEARCH($AB$13,Dienstplan!$BK$8:$CO$19)))))</f>
        <v>0</v>
      </c>
      <c r="N46">
        <f>SUMPRODUCT((ISNUMBER(SEARCH($Y13,Dienstplan!$B$8:$B$19))*(ISNUMBER(SEARCH($AB$14,Dienstplan!$BK$8:$CO$19)))))</f>
        <v>0</v>
      </c>
      <c r="O46">
        <f>SUMPRODUCT((ISNUMBER(SEARCH($Y13,Dienstplan!$B$8:$B$19))*(ISNUMBER(SEARCH($AB$15,Dienstplan!$BK$8:$CO$19)))))</f>
        <v>0</v>
      </c>
      <c r="P46">
        <f>SUMPRODUCT((ISNUMBER(SEARCH($Y13,Dienstplan!$B$8:$B$19))*(ISNUMBER(SEARCH($AB$16,Dienstplan!$BK$8:$CO$19)))))</f>
        <v>0</v>
      </c>
      <c r="Q46">
        <f>SUMPRODUCT((ISNUMBER(SEARCH($Y13,Dienstplan!$B$8:$B$19))*(ISNUMBER(SEARCH($AB$17,Dienstplan!$BK$8:$CO$19)))))</f>
        <v>0</v>
      </c>
      <c r="R46">
        <f>SUMPRODUCT((ISNUMBER(SEARCH($Y13,Dienstplan!$B$8:$B$19))*(ISNUMBER(SEARCH($AB$18,Dienstplan!$BK$8:$CO$19)))))</f>
        <v>0</v>
      </c>
      <c r="S46" s="11">
        <f>SUMPRODUCT((ISNUMBER(SEARCH($Y13,Dienstplan!$B$8:$B$19))*(ISNUMBER(SEARCH($AB$19,Dienstplan!$BK$8:$CO$19)))))</f>
        <v>0</v>
      </c>
      <c r="T46">
        <f t="shared" si="14"/>
        <v>69</v>
      </c>
      <c r="U46" s="14">
        <f>SUM($C46*Frueh_1+$D46*Spaet_1+$E46*Nacht_1+$F46*Normal_1+$I46*Sonderd_1-$J46*Fortenb+$K46*Fortenb+$L46*EH_Kurs+$M46*Koor_taet+$N46*Sekre_1+$O46*Fortenb+$R46*Fortenb+$P46*Fortenb+$Q46*Fortenb+G46*Fortenb+H46*Fortenb)</f>
        <v>9</v>
      </c>
      <c r="V46" s="11">
        <f t="shared" si="16"/>
        <v>-60</v>
      </c>
      <c r="W46" s="20">
        <f t="shared" si="15"/>
        <v>-183</v>
      </c>
    </row>
    <row r="47" spans="1:23" x14ac:dyDescent="0.25">
      <c r="A47" s="11"/>
      <c r="B47" s="27"/>
      <c r="S47" s="11"/>
      <c r="V47" s="11"/>
      <c r="W47" s="20"/>
    </row>
    <row r="48" spans="1:23" x14ac:dyDescent="0.25">
      <c r="A48" s="11"/>
      <c r="B48" s="27" t="s">
        <v>23</v>
      </c>
      <c r="C48" s="4">
        <f t="shared" ref="C48:S48" si="17">SUM(C36:C47)</f>
        <v>26</v>
      </c>
      <c r="D48" s="4">
        <f t="shared" si="17"/>
        <v>22</v>
      </c>
      <c r="E48" s="4">
        <f t="shared" si="17"/>
        <v>23</v>
      </c>
      <c r="F48" s="4">
        <f t="shared" si="17"/>
        <v>27</v>
      </c>
      <c r="G48" s="4">
        <f t="shared" si="17"/>
        <v>16</v>
      </c>
      <c r="H48" s="4">
        <f t="shared" si="17"/>
        <v>14</v>
      </c>
      <c r="I48" s="4">
        <f t="shared" si="17"/>
        <v>8</v>
      </c>
      <c r="J48" s="4">
        <f t="shared" si="17"/>
        <v>17</v>
      </c>
      <c r="K48" s="4">
        <f t="shared" si="17"/>
        <v>27</v>
      </c>
      <c r="L48" s="4">
        <f t="shared" si="17"/>
        <v>4</v>
      </c>
      <c r="M48" s="4">
        <f t="shared" si="17"/>
        <v>21</v>
      </c>
      <c r="N48" s="4">
        <f t="shared" si="17"/>
        <v>0</v>
      </c>
      <c r="O48" s="4">
        <f t="shared" si="17"/>
        <v>8</v>
      </c>
      <c r="P48" s="4">
        <f t="shared" si="17"/>
        <v>0</v>
      </c>
      <c r="Q48" s="4">
        <f t="shared" si="17"/>
        <v>0</v>
      </c>
      <c r="R48" s="4">
        <f t="shared" si="17"/>
        <v>0</v>
      </c>
      <c r="S48" s="13">
        <f t="shared" si="17"/>
        <v>5</v>
      </c>
      <c r="T48" s="4">
        <f>SUM(T36:T44)</f>
        <v>1453.6</v>
      </c>
      <c r="U48" s="4">
        <f>SUM(U36:U44)</f>
        <v>1335.3</v>
      </c>
      <c r="V48" s="13"/>
      <c r="W48" s="21"/>
    </row>
    <row r="49" spans="1:23" x14ac:dyDescent="0.25">
      <c r="A49" s="11"/>
      <c r="B49" s="12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2"/>
      <c r="T49" s="1"/>
      <c r="U49" s="1"/>
      <c r="V49" s="12"/>
      <c r="W49" s="17"/>
    </row>
    <row r="50" spans="1:23" x14ac:dyDescent="0.25">
      <c r="A50" s="11"/>
      <c r="B50" s="26" t="s">
        <v>25</v>
      </c>
      <c r="D50" s="365" t="s">
        <v>34</v>
      </c>
      <c r="E50" s="366"/>
      <c r="F50" s="36">
        <v>18</v>
      </c>
      <c r="G50" s="109"/>
      <c r="H50" s="18"/>
      <c r="I50" s="365" t="s">
        <v>51</v>
      </c>
      <c r="J50" s="366"/>
      <c r="K50" s="36">
        <v>5</v>
      </c>
      <c r="S50" s="11"/>
      <c r="V50" s="11"/>
      <c r="W50" s="20"/>
    </row>
    <row r="51" spans="1:23" x14ac:dyDescent="0.25">
      <c r="A51" s="11"/>
      <c r="B51" s="11"/>
      <c r="C51" s="4" t="str">
        <f>Jahr!C3</f>
        <v>FI</v>
      </c>
      <c r="D51" s="4" t="str">
        <f>Jahr!D3</f>
        <v>FII</v>
      </c>
      <c r="E51" s="4" t="str">
        <f>Jahr!E3</f>
        <v>SI</v>
      </c>
      <c r="F51" s="4" t="str">
        <f>Jahr!F3</f>
        <v>NI</v>
      </c>
      <c r="G51" s="4" t="str">
        <f>Jahr!G3</f>
        <v>DI</v>
      </c>
      <c r="H51" s="4" t="str">
        <f>Jahr!H3</f>
        <v>DII</v>
      </c>
      <c r="I51" s="4" t="str">
        <f>Jahr!I3</f>
        <v>SD</v>
      </c>
      <c r="J51" s="4" t="str">
        <f>Jahr!J3</f>
        <v>GT</v>
      </c>
      <c r="K51" s="4" t="str">
        <f>Jahr!K3</f>
        <v>U</v>
      </c>
      <c r="L51" s="4" t="str">
        <f>Jahr!L3</f>
        <v>EH</v>
      </c>
      <c r="M51" s="4" t="str">
        <f>Jahr!M3</f>
        <v>KT</v>
      </c>
      <c r="N51" s="4" t="str">
        <f>Jahr!N3</f>
        <v>Sek</v>
      </c>
      <c r="O51" s="4" t="str">
        <f>Jahr!O3</f>
        <v>Fobi</v>
      </c>
      <c r="P51" s="4" t="str">
        <f>Jahr!P3</f>
        <v>A</v>
      </c>
      <c r="Q51" s="4" t="str">
        <f>Jahr!Q3</f>
        <v>Kur</v>
      </c>
      <c r="R51" s="4" t="str">
        <f>Jahr!R3</f>
        <v>FZC</v>
      </c>
      <c r="S51" s="4" t="str">
        <f>Jahr!S3</f>
        <v>NST</v>
      </c>
      <c r="T51" s="4" t="s">
        <v>37</v>
      </c>
      <c r="U51" s="4" t="s">
        <v>38</v>
      </c>
      <c r="V51" s="13" t="s">
        <v>39</v>
      </c>
      <c r="W51" s="21" t="s">
        <v>52</v>
      </c>
    </row>
    <row r="52" spans="1:23" x14ac:dyDescent="0.25">
      <c r="A52" s="11"/>
      <c r="B52" s="27" t="str">
        <f t="shared" ref="B52:B62" si="18">B4</f>
        <v>Breig</v>
      </c>
      <c r="C52">
        <f>SUMPRODUCT((ISNUMBER(SEARCH($Y3,Dienstplan!$B$8:$B$19))*(ISNUMBER(SEARCH($AB$3,Dienstplan!$CP$8:$DS$19)))))-D52</f>
        <v>5</v>
      </c>
      <c r="D52">
        <f>SUMPRODUCT((ISNUMBER(SEARCH($Y3,Dienstplan!$B$8:$B$19))*(ISNUMBER(SEARCH($AB$4,Dienstplan!$CP$8:$DS$19)))))</f>
        <v>2</v>
      </c>
      <c r="E52">
        <f>SUMPRODUCT((ISNUMBER(SEARCH($Y3,Dienstplan!$B$8:$B$19))*(ISNUMBER(SEARCH($AB$5,Dienstplan!$CP$8:$DS$19)))))</f>
        <v>5</v>
      </c>
      <c r="F52">
        <f>SUMPRODUCT((ISNUMBER(SEARCH($Y3,Dienstplan!$B$8:$B$19))*(ISNUMBER(SEARCH($AB$6,Dienstplan!$CP$8:$DS$19)))))</f>
        <v>3</v>
      </c>
      <c r="G52">
        <f>SUMPRODUCT((ISNUMBER(SEARCH($Y3,Dienstplan!$B$8:$B$19))*(ISNUMBER(SEARCH($AB$7,Dienstplan!$CP$8:$DS$19)))))-H52</f>
        <v>0</v>
      </c>
      <c r="H52">
        <f>SUMPRODUCT((ISNUMBER(SEARCH($Y3,Dienstplan!$B$8:$B$19))*(ISNUMBER(SEARCH($AB$8,Dienstplan!$CP$8:$DS$19)))))</f>
        <v>0</v>
      </c>
      <c r="I52">
        <f>SUMPRODUCT((ISNUMBER(SEARCH($Y3,Dienstplan!$B$8:$B$19))*(ISNUMBER(SEARCH($AB$9,Dienstplan!$CP$8:$DS$19)))))</f>
        <v>0</v>
      </c>
      <c r="J52">
        <f>SUMPRODUCT((ISNUMBER(SEARCH($Y3,Dienstplan!$B$8:$B$19))*(ISNUMBER(SEARCH($AB$10,Dienstplan!$CP$8:$DS$19)))))</f>
        <v>0</v>
      </c>
      <c r="K52">
        <f>SUMPRODUCT((ISNUMBER(SEARCH($Y3,Dienstplan!$B$8:$B$19))*(ISNUMBER(SEARCH($AB$11,Dienstplan!$CP$8:$DS$19)))))-$Q52</f>
        <v>3</v>
      </c>
      <c r="L52">
        <f>SUMPRODUCT((ISNUMBER(SEARCH($Y3,Dienstplan!$B$8:$B$19))*(ISNUMBER(SEARCH($AB$12,Dienstplan!$CP$8:$DS$19)))))</f>
        <v>0</v>
      </c>
      <c r="M52">
        <f>SUMPRODUCT((ISNUMBER(SEARCH($Y3,Dienstplan!$B$8:$B$19))*(ISNUMBER(SEARCH($AB$13,Dienstplan!$CP$8:$DS$19)))))</f>
        <v>0</v>
      </c>
      <c r="N52">
        <f>SUMPRODUCT((ISNUMBER(SEARCH($Y3,Dienstplan!$B$8:$B$19))*(ISNUMBER(SEARCH($AB$14,Dienstplan!$CP$8:$DS$19)))))</f>
        <v>0</v>
      </c>
      <c r="O52">
        <f>SUMPRODUCT((ISNUMBER(SEARCH($Y3,Dienstplan!$B$8:$B$19))*(ISNUMBER(SEARCH($AB$15,Dienstplan!$CP$8:$DS$19)))))</f>
        <v>0</v>
      </c>
      <c r="P52">
        <f>SUMPRODUCT((ISNUMBER(SEARCH($Y3,Dienstplan!$B$8:$B$19))*(ISNUMBER(SEARCH($AB$16,Dienstplan!$CP$8:$DS$19)))))</f>
        <v>0</v>
      </c>
      <c r="Q52">
        <f>SUMPRODUCT((ISNUMBER(SEARCH($Y3,Dienstplan!$B$8:$B$19))*(ISNUMBER(SEARCH($AB$17,Dienstplan!$CP$8:$DS$19)))))</f>
        <v>0</v>
      </c>
      <c r="R52">
        <f>SUMPRODUCT((ISNUMBER(SEARCH($Y3,Dienstplan!$B$8:$B$19))*(ISNUMBER(SEARCH($AB$18,Dienstplan!$CP$8:$DS$19)))))</f>
        <v>0</v>
      </c>
      <c r="S52" s="11">
        <f>SUMPRODUCT((ISNUMBER(SEARCH($Y3,Dienstplan!$B$8:$B$19))*(ISNUMBER(SEARCH($AB$19,Dienstplan!$CP$8:$DS$19)))))</f>
        <v>1</v>
      </c>
      <c r="T52">
        <f t="shared" ref="T52:T62" si="19">SUM($F$50*$Z3)</f>
        <v>144</v>
      </c>
      <c r="U52" s="14">
        <f>SUM($C52*Frueh_1+$D52*Spaet_1+$E52*Nacht_1+$F52*Normal_1+$I52*Sonderd_1-$J52*Velten+$K52*Velten+$L52*EH_Kurs+$M52*Koor_taet+$N52*Sekre_1+$O52*Velten+$R52*Velten+$P52*Velten+$Q52*Velten+G52*Velt_M+H52*Velt_M)</f>
        <v>135.25</v>
      </c>
      <c r="V52" s="11">
        <f>SUM($U52-$T52)</f>
        <v>-8.75</v>
      </c>
      <c r="W52" s="20">
        <f t="shared" ref="W52:W62" si="20">V52+W36</f>
        <v>-48.75</v>
      </c>
    </row>
    <row r="53" spans="1:23" x14ac:dyDescent="0.25">
      <c r="A53" s="11"/>
      <c r="B53" s="27" t="str">
        <f t="shared" si="18"/>
        <v>Siebert</v>
      </c>
      <c r="C53">
        <f>SUMPRODUCT((ISNUMBER(SEARCH($Y4,Dienstplan!$B$8:$B$19))*(ISNUMBER(SEARCH($AB$3,Dienstplan!$CP$8:$DS$19)))))-D53</f>
        <v>4</v>
      </c>
      <c r="D53">
        <f>SUMPRODUCT((ISNUMBER(SEARCH($Y4,Dienstplan!$B$8:$B$19))*(ISNUMBER(SEARCH($AB$4,Dienstplan!$CP$8:$DS$19)))))</f>
        <v>0</v>
      </c>
      <c r="E53">
        <f>SUMPRODUCT((ISNUMBER(SEARCH($Y4,Dienstplan!$B$8:$B$19))*(ISNUMBER(SEARCH($AB$5,Dienstplan!$CP$8:$DS$19)))))</f>
        <v>0</v>
      </c>
      <c r="F53">
        <f>SUMPRODUCT((ISNUMBER(SEARCH($Y4,Dienstplan!$B$8:$B$19))*(ISNUMBER(SEARCH($AB$6,Dienstplan!$CP$8:$DS$19)))))</f>
        <v>5</v>
      </c>
      <c r="G53">
        <f>SUMPRODUCT((ISNUMBER(SEARCH($Y4,Dienstplan!$B$8:$B$19))*(ISNUMBER(SEARCH($AB$7,Dienstplan!$CP$8:$DS$19)))))-H53</f>
        <v>3</v>
      </c>
      <c r="H53">
        <f>SUMPRODUCT((ISNUMBER(SEARCH($Y4,Dienstplan!$B$8:$B$19))*(ISNUMBER(SEARCH($AB$8,Dienstplan!$CP$8:$DS$19)))))</f>
        <v>0</v>
      </c>
      <c r="I53">
        <f>SUMPRODUCT((ISNUMBER(SEARCH($Y4,Dienstplan!$B$8:$B$19))*(ISNUMBER(SEARCH($AB$9,Dienstplan!$CP$8:$DS$19)))))</f>
        <v>0</v>
      </c>
      <c r="J53">
        <f>SUMPRODUCT((ISNUMBER(SEARCH($Y4,Dienstplan!$B$8:$B$19))*(ISNUMBER(SEARCH($AB$10,Dienstplan!$CP$8:$DS$19)))))</f>
        <v>0</v>
      </c>
      <c r="K53">
        <f>SUMPRODUCT((ISNUMBER(SEARCH($Y4,Dienstplan!$B$8:$B$19))*(ISNUMBER(SEARCH($AB$11,Dienstplan!$CP$8:$DS$19)))))-$Q53</f>
        <v>7</v>
      </c>
      <c r="L53">
        <f>SUMPRODUCT((ISNUMBER(SEARCH($Y4,Dienstplan!$B$8:$B$19))*(ISNUMBER(SEARCH($AB$12,Dienstplan!$CP$8:$DS$19)))))</f>
        <v>0</v>
      </c>
      <c r="M53">
        <f>SUMPRODUCT((ISNUMBER(SEARCH($Y4,Dienstplan!$B$8:$B$19))*(ISNUMBER(SEARCH($AB$13,Dienstplan!$CP$8:$DS$19)))))</f>
        <v>0</v>
      </c>
      <c r="N53">
        <f>SUMPRODUCT((ISNUMBER(SEARCH($Y4,Dienstplan!$B$8:$B$19))*(ISNUMBER(SEARCH($AB$14,Dienstplan!$CP$8:$DS$19)))))</f>
        <v>0</v>
      </c>
      <c r="O53">
        <f>SUMPRODUCT((ISNUMBER(SEARCH($Y4,Dienstplan!$B$8:$B$19))*(ISNUMBER(SEARCH($AB$15,Dienstplan!$CP$8:$DS$19)))))</f>
        <v>0</v>
      </c>
      <c r="P53">
        <f>SUMPRODUCT((ISNUMBER(SEARCH($Y4,Dienstplan!$B$8:$B$19))*(ISNUMBER(SEARCH($AB$16,Dienstplan!$CP$8:$DS$19)))))</f>
        <v>0</v>
      </c>
      <c r="Q53">
        <f>SUMPRODUCT((ISNUMBER(SEARCH($Y4,Dienstplan!$B$8:$B$19))*(ISNUMBER(SEARCH($AB$17,Dienstplan!$CP$8:$DS$19)))))</f>
        <v>0</v>
      </c>
      <c r="R53">
        <f>SUMPRODUCT((ISNUMBER(SEARCH($Y4,Dienstplan!$B$8:$B$19))*(ISNUMBER(SEARCH($AB$18,Dienstplan!$CP$8:$DS$19)))))</f>
        <v>0</v>
      </c>
      <c r="S53" s="11">
        <f>SUMPRODUCT((ISNUMBER(SEARCH($Y4,Dienstplan!$B$8:$B$19))*(ISNUMBER(SEARCH($AB$19,Dienstplan!$CP$8:$DS$19)))))</f>
        <v>1</v>
      </c>
      <c r="T53">
        <f t="shared" si="19"/>
        <v>126</v>
      </c>
      <c r="U53" s="14">
        <f>SUM($C53*Frueh_1+$D53*Spaet_1+$E53*Nacht_1+$F53*Normal_1+$I53*Sonderd_1-$J53*Brue_H+$K53*Brue_H+$L53*EH_Kurs+$M53*Koor_taet+$N53*Sekre_1+$O53*Brue_H+$R53*Brue_H+$P53*Brue_H+$Q53*Brue_H+G53*Brue_H+H53*Brue_H)</f>
        <v>136.5</v>
      </c>
      <c r="V53" s="11">
        <f t="shared" ref="V53:V62" si="21">SUM($U53-$T53)</f>
        <v>10.5</v>
      </c>
      <c r="W53" s="20">
        <f t="shared" si="20"/>
        <v>39.25</v>
      </c>
    </row>
    <row r="54" spans="1:23" x14ac:dyDescent="0.25">
      <c r="A54" s="11"/>
      <c r="B54" s="27" t="str">
        <f t="shared" si="18"/>
        <v>Jochim</v>
      </c>
      <c r="C54">
        <f>SUMPRODUCT((ISNUMBER(SEARCH($Y5,Dienstplan!$B$8:$B$19))*(ISNUMBER(SEARCH($AB$3,Dienstplan!$CP$8:$DS$19)))))-D54</f>
        <v>1</v>
      </c>
      <c r="D54">
        <f>SUMPRODUCT((ISNUMBER(SEARCH($Y5,Dienstplan!$B$8:$B$19))*(ISNUMBER(SEARCH($AB$4,Dienstplan!$CP$8:$DS$19)))))</f>
        <v>0</v>
      </c>
      <c r="E54">
        <f>SUMPRODUCT((ISNUMBER(SEARCH($Y5,Dienstplan!$B$8:$B$19))*(ISNUMBER(SEARCH($AB$5,Dienstplan!$CP$8:$DS$19)))))</f>
        <v>4</v>
      </c>
      <c r="F54">
        <f>SUMPRODUCT((ISNUMBER(SEARCH($Y5,Dienstplan!$B$8:$B$19))*(ISNUMBER(SEARCH($AB$6,Dienstplan!$CP$8:$DS$19)))))</f>
        <v>5</v>
      </c>
      <c r="G54">
        <f>SUMPRODUCT((ISNUMBER(SEARCH($Y5,Dienstplan!$B$8:$B$19))*(ISNUMBER(SEARCH($AB$7,Dienstplan!$CP$8:$DS$19)))))-H54</f>
        <v>0</v>
      </c>
      <c r="H54">
        <f>SUMPRODUCT((ISNUMBER(SEARCH($Y5,Dienstplan!$B$8:$B$19))*(ISNUMBER(SEARCH($AB$8,Dienstplan!$CP$8:$DS$19)))))</f>
        <v>0</v>
      </c>
      <c r="I54">
        <f>SUMPRODUCT((ISNUMBER(SEARCH($Y5,Dienstplan!$B$8:$B$19))*(ISNUMBER(SEARCH($AB$9,Dienstplan!$CP$8:$DS$19)))))</f>
        <v>0</v>
      </c>
      <c r="J54">
        <f>SUMPRODUCT((ISNUMBER(SEARCH($Y5,Dienstplan!$B$8:$B$19))*(ISNUMBER(SEARCH($AB$10,Dienstplan!$CP$8:$DS$19)))))</f>
        <v>0</v>
      </c>
      <c r="K54">
        <f>SUMPRODUCT((ISNUMBER(SEARCH($Y5,Dienstplan!$B$8:$B$19))*(ISNUMBER(SEARCH($AB$11,Dienstplan!$CP$8:$DS$19)))))-$Q54</f>
        <v>0</v>
      </c>
      <c r="L54">
        <f>SUMPRODUCT((ISNUMBER(SEARCH($Y5,Dienstplan!$B$8:$B$19))*(ISNUMBER(SEARCH($AB$12,Dienstplan!$CP$8:$DS$19)))))</f>
        <v>0</v>
      </c>
      <c r="M54">
        <f>SUMPRODUCT((ISNUMBER(SEARCH($Y5,Dienstplan!$B$8:$B$19))*(ISNUMBER(SEARCH($AB$13,Dienstplan!$CP$8:$DS$19)))))</f>
        <v>0</v>
      </c>
      <c r="N54">
        <f>SUMPRODUCT((ISNUMBER(SEARCH($Y5,Dienstplan!$B$8:$B$19))*(ISNUMBER(SEARCH($AB$14,Dienstplan!$CP$8:$DS$19)))))</f>
        <v>0</v>
      </c>
      <c r="O54">
        <f>SUMPRODUCT((ISNUMBER(SEARCH($Y5,Dienstplan!$B$8:$B$19))*(ISNUMBER(SEARCH($AB$15,Dienstplan!$CP$8:$DS$19)))))</f>
        <v>0</v>
      </c>
      <c r="P54">
        <f>SUMPRODUCT((ISNUMBER(SEARCH($Y5,Dienstplan!$B$8:$B$19))*(ISNUMBER(SEARCH($AB$16,Dienstplan!$CP$8:$DS$19)))))</f>
        <v>0</v>
      </c>
      <c r="Q54">
        <f>SUMPRODUCT((ISNUMBER(SEARCH($Y5,Dienstplan!$B$8:$B$19))*(ISNUMBER(SEARCH($AB$17,Dienstplan!$CP$8:$DS$19)))))</f>
        <v>0</v>
      </c>
      <c r="R54">
        <f>SUMPRODUCT((ISNUMBER(SEARCH($Y5,Dienstplan!$B$8:$B$19))*(ISNUMBER(SEARCH($AB$18,Dienstplan!$CP$8:$DS$19)))))</f>
        <v>0</v>
      </c>
      <c r="S54" s="11">
        <f>SUMPRODUCT((ISNUMBER(SEARCH($Y5,Dienstplan!$B$8:$B$19))*(ISNUMBER(SEARCH($AB$19,Dienstplan!$CP$8:$DS$19)))))</f>
        <v>1</v>
      </c>
      <c r="T54">
        <f t="shared" si="19"/>
        <v>126</v>
      </c>
      <c r="U54" s="14">
        <f>SUM($C54*Frueh_1+$D54*Spaet_1+$E54*Nacht_1+$F54*Normal_1+$I54*Sonderd_1-$J54*Rath_M+$K54*Rath_M+$L54*EH_Kurs+$M54*Koor_taet+$N54*Sekre_1+$O54*Rath_M+$R54*Rath_M+$P54*Rath_M+$Q54*Rath_M+G54*Rath_M+H54*Rath_M)</f>
        <v>74.75</v>
      </c>
      <c r="V54" s="11">
        <f t="shared" si="21"/>
        <v>-51.25</v>
      </c>
      <c r="W54" s="20">
        <f t="shared" si="20"/>
        <v>-312</v>
      </c>
    </row>
    <row r="55" spans="1:23" x14ac:dyDescent="0.25">
      <c r="A55" s="11"/>
      <c r="B55" s="27" t="str">
        <f t="shared" si="18"/>
        <v>Wunsch</v>
      </c>
      <c r="C55">
        <f>SUMPRODUCT((ISNUMBER(SEARCH($Y6,Dienstplan!$B$8:$B$19))*(ISNUMBER(SEARCH($AB$3,Dienstplan!$CP$8:$DS$19)))))-D55</f>
        <v>6</v>
      </c>
      <c r="D55">
        <f>SUMPRODUCT((ISNUMBER(SEARCH($Y6,Dienstplan!$B$8:$B$19))*(ISNUMBER(SEARCH($AB$4,Dienstplan!$CP$8:$DS$19)))))</f>
        <v>2</v>
      </c>
      <c r="E55">
        <f>SUMPRODUCT((ISNUMBER(SEARCH($Y6,Dienstplan!$B$8:$B$19))*(ISNUMBER(SEARCH($AB$5,Dienstplan!$CP$8:$DS$19)))))</f>
        <v>4</v>
      </c>
      <c r="F55">
        <f>SUMPRODUCT((ISNUMBER(SEARCH($Y6,Dienstplan!$B$8:$B$19))*(ISNUMBER(SEARCH($AB$6,Dienstplan!$CP$8:$DS$19)))))</f>
        <v>5</v>
      </c>
      <c r="G55">
        <f>SUMPRODUCT((ISNUMBER(SEARCH($Y6,Dienstplan!$B$8:$B$19))*(ISNUMBER(SEARCH($AB$7,Dienstplan!$CP$8:$DS$19)))))-H55</f>
        <v>0</v>
      </c>
      <c r="H55">
        <f>SUMPRODUCT((ISNUMBER(SEARCH($Y6,Dienstplan!$B$8:$B$19))*(ISNUMBER(SEARCH($AB$8,Dienstplan!$CP$8:$DS$19)))))</f>
        <v>0</v>
      </c>
      <c r="I55">
        <f>SUMPRODUCT((ISNUMBER(SEARCH($Y6,Dienstplan!$B$8:$B$19))*(ISNUMBER(SEARCH($AB$9,Dienstplan!$CP$8:$DS$19)))))</f>
        <v>0</v>
      </c>
      <c r="J55">
        <f>SUMPRODUCT((ISNUMBER(SEARCH($Y6,Dienstplan!$B$8:$B$19))*(ISNUMBER(SEARCH($AB$10,Dienstplan!$CP$8:$DS$19)))))</f>
        <v>1</v>
      </c>
      <c r="K55">
        <f>SUMPRODUCT((ISNUMBER(SEARCH($Y6,Dienstplan!$B$8:$B$19))*(ISNUMBER(SEARCH($AB$11,Dienstplan!$CP$8:$DS$19)))))-$Q55</f>
        <v>2</v>
      </c>
      <c r="L55">
        <f>SUMPRODUCT((ISNUMBER(SEARCH($Y6,Dienstplan!$B$8:$B$19))*(ISNUMBER(SEARCH($AB$12,Dienstplan!$CP$8:$DS$19)))))</f>
        <v>0</v>
      </c>
      <c r="M55">
        <f>SUMPRODUCT((ISNUMBER(SEARCH($Y6,Dienstplan!$B$8:$B$19))*(ISNUMBER(SEARCH($AB$13,Dienstplan!$CP$8:$DS$19)))))</f>
        <v>0</v>
      </c>
      <c r="N55">
        <f>SUMPRODUCT((ISNUMBER(SEARCH($Y6,Dienstplan!$B$8:$B$19))*(ISNUMBER(SEARCH($AB$14,Dienstplan!$CP$8:$DS$19)))))</f>
        <v>0</v>
      </c>
      <c r="O55">
        <f>SUMPRODUCT((ISNUMBER(SEARCH($Y6,Dienstplan!$B$8:$B$19))*(ISNUMBER(SEARCH($AB$15,Dienstplan!$CP$8:$DS$19)))))</f>
        <v>0</v>
      </c>
      <c r="P55">
        <f>SUMPRODUCT((ISNUMBER(SEARCH($Y6,Dienstplan!$B$8:$B$19))*(ISNUMBER(SEARCH($AB$16,Dienstplan!$CP$8:$DS$19)))))</f>
        <v>0</v>
      </c>
      <c r="Q55">
        <f>SUMPRODUCT((ISNUMBER(SEARCH($Y6,Dienstplan!$B$8:$B$19))*(ISNUMBER(SEARCH($AB$17,Dienstplan!$CP$8:$DS$19)))))</f>
        <v>0</v>
      </c>
      <c r="R55">
        <f>SUMPRODUCT((ISNUMBER(SEARCH($Y6,Dienstplan!$B$8:$B$19))*(ISNUMBER(SEARCH($AB$18,Dienstplan!$CP$8:$DS$19)))))</f>
        <v>0</v>
      </c>
      <c r="S55" s="11">
        <f>SUMPRODUCT((ISNUMBER(SEARCH($Y6,Dienstplan!$B$8:$B$19))*(ISNUMBER(SEARCH($AB$19,Dienstplan!$CP$8:$DS$19)))))</f>
        <v>0</v>
      </c>
      <c r="T55">
        <f t="shared" si="19"/>
        <v>144</v>
      </c>
      <c r="U55" s="14">
        <f>SUM($C55*Frueh_1+$D55*Spaet_1+$E55*Nacht_1+$F55*Normal_1+$I55*Sonderd_1-$J55*Scho_K+$K55*Scho_K+$L55*EH_Kurs+$M55*Koor_taet+$N55*Sekre_1+$O55*Scho_K+$R55*Scho_K+$P55*Scho_K+$Q55*Scho_K+G55*Scho_K+H55*Scho_K)</f>
        <v>134</v>
      </c>
      <c r="V55" s="11">
        <f t="shared" si="21"/>
        <v>-10</v>
      </c>
      <c r="W55" s="20">
        <f t="shared" si="20"/>
        <v>-56.75</v>
      </c>
    </row>
    <row r="56" spans="1:23" x14ac:dyDescent="0.25">
      <c r="A56" s="11"/>
      <c r="B56" s="27" t="str">
        <f t="shared" si="18"/>
        <v>Göpfrich</v>
      </c>
      <c r="C56">
        <f>SUMPRODUCT((ISNUMBER(SEARCH($Y7,Dienstplan!$B$8:$B$19))*(ISNUMBER(SEARCH($AB$3,Dienstplan!$CP$8:$DS$19)))))-D56</f>
        <v>0</v>
      </c>
      <c r="D56">
        <f>SUMPRODUCT((ISNUMBER(SEARCH($Y7,Dienstplan!$B$8:$B$19))*(ISNUMBER(SEARCH($AB$4,Dienstplan!$CP$8:$DS$19)))))</f>
        <v>0</v>
      </c>
      <c r="E56">
        <f>SUMPRODUCT((ISNUMBER(SEARCH($Y7,Dienstplan!$B$8:$B$19))*(ISNUMBER(SEARCH($AB$5,Dienstplan!$CP$8:$DS$19)))))</f>
        <v>6</v>
      </c>
      <c r="F56">
        <f>SUMPRODUCT((ISNUMBER(SEARCH($Y7,Dienstplan!$B$8:$B$19))*(ISNUMBER(SEARCH($AB$6,Dienstplan!$CP$8:$DS$19)))))</f>
        <v>0</v>
      </c>
      <c r="G56">
        <f>SUMPRODUCT((ISNUMBER(SEARCH($Y7,Dienstplan!$B$8:$B$19))*(ISNUMBER(SEARCH($AB$7,Dienstplan!$CP$8:$DS$19)))))-H56</f>
        <v>4</v>
      </c>
      <c r="H56">
        <f>SUMPRODUCT((ISNUMBER(SEARCH($Y7,Dienstplan!$B$8:$B$19))*(ISNUMBER(SEARCH($AB$8,Dienstplan!$CP$8:$DS$19)))))</f>
        <v>0</v>
      </c>
      <c r="I56">
        <f>SUMPRODUCT((ISNUMBER(SEARCH($Y7,Dienstplan!$B$8:$B$19))*(ISNUMBER(SEARCH($AB$9,Dienstplan!$CP$8:$DS$19)))))</f>
        <v>2</v>
      </c>
      <c r="J56">
        <f>SUMPRODUCT((ISNUMBER(SEARCH($Y7,Dienstplan!$B$8:$B$19))*(ISNUMBER(SEARCH($AB$10,Dienstplan!$CP$8:$DS$19)))))</f>
        <v>2</v>
      </c>
      <c r="K56">
        <f>SUMPRODUCT((ISNUMBER(SEARCH($Y7,Dienstplan!$B$8:$B$19))*(ISNUMBER(SEARCH($AB$11,Dienstplan!$CP$8:$DS$19)))))-$Q56</f>
        <v>4</v>
      </c>
      <c r="L56">
        <f>SUMPRODUCT((ISNUMBER(SEARCH($Y7,Dienstplan!$B$8:$B$19))*(ISNUMBER(SEARCH($AB$12,Dienstplan!$CP$8:$DS$19)))))</f>
        <v>1</v>
      </c>
      <c r="M56">
        <f>SUMPRODUCT((ISNUMBER(SEARCH($Y7,Dienstplan!$B$8:$B$19))*(ISNUMBER(SEARCH($AB$13,Dienstplan!$CP$8:$DS$19)))))</f>
        <v>0</v>
      </c>
      <c r="N56">
        <f>SUMPRODUCT((ISNUMBER(SEARCH($Y7,Dienstplan!$B$8:$B$19))*(ISNUMBER(SEARCH($AB$14,Dienstplan!$CP$8:$DS$19)))))</f>
        <v>0</v>
      </c>
      <c r="O56">
        <f>SUMPRODUCT((ISNUMBER(SEARCH($Y7,Dienstplan!$B$8:$B$19))*(ISNUMBER(SEARCH($AB$15,Dienstplan!$CP$8:$DS$19)))))</f>
        <v>0</v>
      </c>
      <c r="P56">
        <f>SUMPRODUCT((ISNUMBER(SEARCH($Y7,Dienstplan!$B$8:$B$19))*(ISNUMBER(SEARCH($AB$16,Dienstplan!$CP$8:$DS$19)))))</f>
        <v>0</v>
      </c>
      <c r="Q56">
        <f>SUMPRODUCT((ISNUMBER(SEARCH($Y7,Dienstplan!$B$8:$B$19))*(ISNUMBER(SEARCH($AB$17,Dienstplan!$CP$8:$DS$19)))))</f>
        <v>0</v>
      </c>
      <c r="R56">
        <f>SUMPRODUCT((ISNUMBER(SEARCH($Y7,Dienstplan!$B$8:$B$19))*(ISNUMBER(SEARCH($AB$18,Dienstplan!$CP$8:$DS$19)))))</f>
        <v>0</v>
      </c>
      <c r="S56" s="11">
        <f>SUMPRODUCT((ISNUMBER(SEARCH($Y7,Dienstplan!$B$8:$B$19))*(ISNUMBER(SEARCH($AB$19,Dienstplan!$CP$8:$DS$19)))))</f>
        <v>0</v>
      </c>
      <c r="T56">
        <f t="shared" si="19"/>
        <v>126</v>
      </c>
      <c r="U56" s="14">
        <f>SUM($C56*Frueh_1+$D56*Spaet_1+$E56*Nacht_1+$F56*Normal_1+$I56*Sonderd_1-$J56*Krie_B+$K56*Krie_B+$L56*EH_Kurs+$M56*Koor_taet+$N56*Sekre_1+$O56*Krie_B+$R56*Krie_B+$P56*Krie_B+$Q56*Krie_B+G56*Krie_B+H56*Krie_B)</f>
        <v>109</v>
      </c>
      <c r="V56" s="11">
        <f t="shared" si="21"/>
        <v>-17</v>
      </c>
      <c r="W56" s="20">
        <f t="shared" si="20"/>
        <v>-29.75</v>
      </c>
    </row>
    <row r="57" spans="1:23" x14ac:dyDescent="0.25">
      <c r="A57" s="11"/>
      <c r="B57" s="27" t="str">
        <f t="shared" si="18"/>
        <v>Zeller</v>
      </c>
      <c r="C57">
        <f>SUMPRODUCT((ISNUMBER(SEARCH($Y8,Dienstplan!$B$8:$B$19))*(ISNUMBER(SEARCH($AB$3,Dienstplan!$CP$8:$DS$19)))))-D57</f>
        <v>0</v>
      </c>
      <c r="D57">
        <f>SUMPRODUCT((ISNUMBER(SEARCH($Y8,Dienstplan!$B$8:$B$19))*(ISNUMBER(SEARCH($AB$4,Dienstplan!$CP$8:$DS$19)))))</f>
        <v>2</v>
      </c>
      <c r="E57">
        <f>SUMPRODUCT((ISNUMBER(SEARCH($Y8,Dienstplan!$B$8:$B$19))*(ISNUMBER(SEARCH($AB$5,Dienstplan!$CP$8:$DS$19)))))</f>
        <v>0</v>
      </c>
      <c r="F57">
        <f>SUMPRODUCT((ISNUMBER(SEARCH($Y8,Dienstplan!$B$8:$B$19))*(ISNUMBER(SEARCH($AB$6,Dienstplan!$CP$8:$DS$19)))))</f>
        <v>0</v>
      </c>
      <c r="G57">
        <f>SUMPRODUCT((ISNUMBER(SEARCH($Y8,Dienstplan!$B$8:$B$19))*(ISNUMBER(SEARCH($AB$7,Dienstplan!$CP$8:$DS$19)))))-H57</f>
        <v>5</v>
      </c>
      <c r="H57">
        <f>SUMPRODUCT((ISNUMBER(SEARCH($Y8,Dienstplan!$B$8:$B$19))*(ISNUMBER(SEARCH($AB$8,Dienstplan!$CP$8:$DS$19)))))</f>
        <v>0</v>
      </c>
      <c r="I57">
        <f>SUMPRODUCT((ISNUMBER(SEARCH($Y8,Dienstplan!$B$8:$B$19))*(ISNUMBER(SEARCH($AB$9,Dienstplan!$CP$8:$DS$19)))))</f>
        <v>0</v>
      </c>
      <c r="J57">
        <f>SUMPRODUCT((ISNUMBER(SEARCH($Y8,Dienstplan!$B$8:$B$19))*(ISNUMBER(SEARCH($AB$10,Dienstplan!$CP$8:$DS$19)))))</f>
        <v>0</v>
      </c>
      <c r="K57">
        <f>SUMPRODUCT((ISNUMBER(SEARCH($Y8,Dienstplan!$B$8:$B$19))*(ISNUMBER(SEARCH($AB$11,Dienstplan!$CP$8:$DS$19)))))-$Q57</f>
        <v>11</v>
      </c>
      <c r="L57">
        <f>SUMPRODUCT((ISNUMBER(SEARCH($Y8,Dienstplan!$B$8:$B$19))*(ISNUMBER(SEARCH($AB$12,Dienstplan!$CP$8:$DS$19)))))</f>
        <v>0</v>
      </c>
      <c r="M57">
        <f>SUMPRODUCT((ISNUMBER(SEARCH($Y8,Dienstplan!$B$8:$B$19))*(ISNUMBER(SEARCH($AB$13,Dienstplan!$CP$8:$DS$19)))))</f>
        <v>0</v>
      </c>
      <c r="N57">
        <f>SUMPRODUCT((ISNUMBER(SEARCH($Y8,Dienstplan!$B$8:$B$19))*(ISNUMBER(SEARCH($AB$14,Dienstplan!$CP$8:$DS$19)))))</f>
        <v>0</v>
      </c>
      <c r="O57">
        <f>SUMPRODUCT((ISNUMBER(SEARCH($Y8,Dienstplan!$B$8:$B$19))*(ISNUMBER(SEARCH($AB$15,Dienstplan!$CP$8:$DS$19)))))</f>
        <v>0</v>
      </c>
      <c r="P57">
        <f>SUMPRODUCT((ISNUMBER(SEARCH($Y8,Dienstplan!$B$8:$B$19))*(ISNUMBER(SEARCH($AB$16,Dienstplan!$CP$8:$DS$19)))))</f>
        <v>0</v>
      </c>
      <c r="Q57">
        <f>SUMPRODUCT((ISNUMBER(SEARCH($Y8,Dienstplan!$B$8:$B$19))*(ISNUMBER(SEARCH($AB$17,Dienstplan!$CP$8:$DS$19)))))</f>
        <v>0</v>
      </c>
      <c r="R57">
        <f>SUMPRODUCT((ISNUMBER(SEARCH($Y8,Dienstplan!$B$8:$B$19))*(ISNUMBER(SEARCH($AB$18,Dienstplan!$CP$8:$DS$19)))))</f>
        <v>0</v>
      </c>
      <c r="S57" s="11">
        <f>SUMPRODUCT((ISNUMBER(SEARCH($Y8,Dienstplan!$B$8:$B$19))*(ISNUMBER(SEARCH($AB$19,Dienstplan!$CP$8:$DS$19)))))</f>
        <v>1</v>
      </c>
      <c r="T57">
        <f t="shared" si="19"/>
        <v>144</v>
      </c>
      <c r="U57" s="14">
        <f>SUM($C57*Frueh_1+$D57*Spaet_1+$E57*Nacht_1+$F57*Normal_1+$I57*Sonderd_1-$J57*Muster+$K57*Muster+$L57*EH_Kurs+$M57*Koor_taet+$N57*Sekre_1+$O57*Muster+$P57*Muster+$Q57*Muster+$R57*Muster+G57*Muster+H57*Muster)</f>
        <v>143</v>
      </c>
      <c r="V57" s="11">
        <f t="shared" si="21"/>
        <v>-1</v>
      </c>
      <c r="W57" s="20">
        <f t="shared" si="20"/>
        <v>-84</v>
      </c>
    </row>
    <row r="58" spans="1:23" x14ac:dyDescent="0.25">
      <c r="A58" s="11"/>
      <c r="B58" s="27" t="str">
        <f t="shared" si="18"/>
        <v>Behrendt</v>
      </c>
      <c r="C58">
        <f>SUMPRODUCT((ISNUMBER(SEARCH($Y9,Dienstplan!$B$8:$B$19))*(ISNUMBER(SEARCH($AB$3,Dienstplan!$CP$8:$DS$19)))))-D58</f>
        <v>4</v>
      </c>
      <c r="D58">
        <f>SUMPRODUCT((ISNUMBER(SEARCH($Y9,Dienstplan!$B$8:$B$19))*(ISNUMBER(SEARCH($AB$4,Dienstplan!$CP$8:$DS$19)))))</f>
        <v>5</v>
      </c>
      <c r="E58">
        <f>SUMPRODUCT((ISNUMBER(SEARCH($Y9,Dienstplan!$B$8:$B$19))*(ISNUMBER(SEARCH($AB$5,Dienstplan!$CP$8:$DS$19)))))</f>
        <v>4</v>
      </c>
      <c r="F58">
        <f>SUMPRODUCT((ISNUMBER(SEARCH($Y9,Dienstplan!$B$8:$B$19))*(ISNUMBER(SEARCH($AB$6,Dienstplan!$CP$8:$DS$19)))))</f>
        <v>6</v>
      </c>
      <c r="G58">
        <f>SUMPRODUCT((ISNUMBER(SEARCH($Y9,Dienstplan!$B$8:$B$19))*(ISNUMBER(SEARCH($AB$7,Dienstplan!$CP$8:$DS$19)))))-H58</f>
        <v>0</v>
      </c>
      <c r="H58">
        <f>SUMPRODUCT((ISNUMBER(SEARCH($Y9,Dienstplan!$B$8:$B$19))*(ISNUMBER(SEARCH($AB$8,Dienstplan!$CP$8:$DS$19)))))</f>
        <v>0</v>
      </c>
      <c r="I58">
        <f>SUMPRODUCT((ISNUMBER(SEARCH($Y9,Dienstplan!$B$8:$B$19))*(ISNUMBER(SEARCH($AB$9,Dienstplan!$CP$8:$DS$19)))))</f>
        <v>0</v>
      </c>
      <c r="J58">
        <f>SUMPRODUCT((ISNUMBER(SEARCH($Y9,Dienstplan!$B$8:$B$19))*(ISNUMBER(SEARCH($AB$10,Dienstplan!$CP$8:$DS$19)))))</f>
        <v>0</v>
      </c>
      <c r="K58">
        <f>SUMPRODUCT((ISNUMBER(SEARCH($Y9,Dienstplan!$B$8:$B$19))*(ISNUMBER(SEARCH($AB$11,Dienstplan!$CP$8:$DS$19)))))-$Q58</f>
        <v>0</v>
      </c>
      <c r="L58">
        <f>SUMPRODUCT((ISNUMBER(SEARCH($Y9,Dienstplan!$B$8:$B$19))*(ISNUMBER(SEARCH($AB$12,Dienstplan!$CP$8:$DS$19)))))</f>
        <v>0</v>
      </c>
      <c r="M58">
        <f>SUMPRODUCT((ISNUMBER(SEARCH($Y9,Dienstplan!$B$8:$B$19))*(ISNUMBER(SEARCH($AB$13,Dienstplan!$CP$8:$DS$19)))))</f>
        <v>0</v>
      </c>
      <c r="N58">
        <f>SUMPRODUCT((ISNUMBER(SEARCH($Y9,Dienstplan!$B$8:$B$19))*(ISNUMBER(SEARCH($AB$14,Dienstplan!$CP$8:$DS$19)))))</f>
        <v>0</v>
      </c>
      <c r="O58">
        <f>SUMPRODUCT((ISNUMBER(SEARCH($Y9,Dienstplan!$B$8:$B$19))*(ISNUMBER(SEARCH($AB$15,Dienstplan!$CP$8:$DS$19)))))</f>
        <v>0</v>
      </c>
      <c r="P58">
        <f>SUMPRODUCT((ISNUMBER(SEARCH($Y9,Dienstplan!$B$8:$B$19))*(ISNUMBER(SEARCH($AB$16,Dienstplan!$CP$8:$DS$19)))))</f>
        <v>0</v>
      </c>
      <c r="Q58">
        <f>SUMPRODUCT((ISNUMBER(SEARCH($Y9,Dienstplan!$B$8:$B$19))*(ISNUMBER(SEARCH($AB$17,Dienstplan!$CP$8:$DS$19)))))</f>
        <v>0</v>
      </c>
      <c r="R58">
        <f>SUMPRODUCT((ISNUMBER(SEARCH($Y9,Dienstplan!$B$8:$B$19))*(ISNUMBER(SEARCH($AB$18,Dienstplan!$CP$8:$DS$19)))))</f>
        <v>0</v>
      </c>
      <c r="S58" s="11">
        <f>SUMPRODUCT((ISNUMBER(SEARCH($Y9,Dienstplan!$B$8:$B$19))*(ISNUMBER(SEARCH($AB$19,Dienstplan!$CP$8:$DS$19)))))</f>
        <v>1</v>
      </c>
      <c r="T58">
        <f t="shared" si="19"/>
        <v>126</v>
      </c>
      <c r="U58" s="14">
        <f>SUM($C58*Frueh_1+$D58*Spaet_1+$E58*Nacht_1+$F58*Normal_1+$I58*Sonderd_1-$J58*Muster+$K58*Muster+$L58*EH_Kurs+$M58*Koor_taet+$N58*Sekre_1+$O58*Muster+$P58*Muster+$Q58*Muster+$R58*Muster+G58*Muster+H58*Muster)</f>
        <v>141.5</v>
      </c>
      <c r="V58" s="11">
        <f t="shared" si="21"/>
        <v>15.5</v>
      </c>
      <c r="W58" s="20">
        <f t="shared" si="20"/>
        <v>-45.95</v>
      </c>
    </row>
    <row r="59" spans="1:23" x14ac:dyDescent="0.25">
      <c r="A59" s="11"/>
      <c r="B59" s="27" t="str">
        <f t="shared" si="18"/>
        <v>Krempl</v>
      </c>
      <c r="C59">
        <f>SUMPRODUCT((ISNUMBER(SEARCH($Y10,Dienstplan!$B$8:$B$19))*(ISNUMBER(SEARCH($AB$3,Dienstplan!$CP$8:$DS$19)))))-D59</f>
        <v>0</v>
      </c>
      <c r="D59">
        <f>SUMPRODUCT((ISNUMBER(SEARCH($Y10,Dienstplan!$B$8:$B$19))*(ISNUMBER(SEARCH($AB$4,Dienstplan!$CP$8:$DS$19)))))</f>
        <v>0</v>
      </c>
      <c r="E59">
        <f>SUMPRODUCT((ISNUMBER(SEARCH($Y10,Dienstplan!$B$8:$B$19))*(ISNUMBER(SEARCH($AB$5,Dienstplan!$CP$8:$DS$19)))))</f>
        <v>0</v>
      </c>
      <c r="F59">
        <f>SUMPRODUCT((ISNUMBER(SEARCH($Y10,Dienstplan!$B$8:$B$19))*(ISNUMBER(SEARCH($AB$6,Dienstplan!$CP$8:$DS$19)))))</f>
        <v>0</v>
      </c>
      <c r="G59">
        <f>SUMPRODUCT((ISNUMBER(SEARCH($Y10,Dienstplan!$B$8:$B$19))*(ISNUMBER(SEARCH($AB$7,Dienstplan!$CP$8:$DS$19)))))-H59</f>
        <v>2</v>
      </c>
      <c r="H59">
        <f>SUMPRODUCT((ISNUMBER(SEARCH($Y10,Dienstplan!$B$8:$B$19))*(ISNUMBER(SEARCH($AB$8,Dienstplan!$CP$8:$DS$19)))))</f>
        <v>0</v>
      </c>
      <c r="I59">
        <f>SUMPRODUCT((ISNUMBER(SEARCH($Y10,Dienstplan!$B$8:$B$19))*(ISNUMBER(SEARCH($AB$9,Dienstplan!$CP$8:$DS$19)))))</f>
        <v>1</v>
      </c>
      <c r="J59">
        <f>SUMPRODUCT((ISNUMBER(SEARCH($Y10,Dienstplan!$B$8:$B$19))*(ISNUMBER(SEARCH($AB$10,Dienstplan!$CP$8:$DS$19)))))</f>
        <v>9</v>
      </c>
      <c r="K59">
        <f>SUMPRODUCT((ISNUMBER(SEARCH($Y10,Dienstplan!$B$8:$B$19))*(ISNUMBER(SEARCH($AB$11,Dienstplan!$CP$8:$DS$19)))))-$Q59</f>
        <v>6</v>
      </c>
      <c r="L59">
        <f>SUMPRODUCT((ISNUMBER(SEARCH($Y10,Dienstplan!$B$8:$B$19))*(ISNUMBER(SEARCH($AB$12,Dienstplan!$CP$8:$DS$19)))))</f>
        <v>1</v>
      </c>
      <c r="M59">
        <f>SUMPRODUCT((ISNUMBER(SEARCH($Y10,Dienstplan!$B$8:$B$19))*(ISNUMBER(SEARCH($AB$13,Dienstplan!$CP$8:$DS$19)))))</f>
        <v>0</v>
      </c>
      <c r="N59">
        <f>SUMPRODUCT((ISNUMBER(SEARCH($Y10,Dienstplan!$B$8:$B$19))*(ISNUMBER(SEARCH($AB$14,Dienstplan!$CP$8:$DS$19)))))</f>
        <v>0</v>
      </c>
      <c r="O59">
        <f>SUMPRODUCT((ISNUMBER(SEARCH($Y10,Dienstplan!$B$8:$B$19))*(ISNUMBER(SEARCH($AB$15,Dienstplan!$CP$8:$DS$19)))))</f>
        <v>0</v>
      </c>
      <c r="P59">
        <f>SUMPRODUCT((ISNUMBER(SEARCH($Y10,Dienstplan!$B$8:$B$19))*(ISNUMBER(SEARCH($AB$16,Dienstplan!$CP$8:$DS$19)))))</f>
        <v>0</v>
      </c>
      <c r="Q59">
        <f>SUMPRODUCT((ISNUMBER(SEARCH($Y10,Dienstplan!$B$8:$B$19))*(ISNUMBER(SEARCH($AB$17,Dienstplan!$CP$8:$DS$19)))))</f>
        <v>0</v>
      </c>
      <c r="R59">
        <f>SUMPRODUCT((ISNUMBER(SEARCH($Y10,Dienstplan!$B$8:$B$19))*(ISNUMBER(SEARCH($AB$18,Dienstplan!$CP$8:$DS$19)))))</f>
        <v>0</v>
      </c>
      <c r="S59" s="11">
        <f>SUMPRODUCT((ISNUMBER(SEARCH($Y10,Dienstplan!$B$8:$B$19))*(ISNUMBER(SEARCH($AB$19,Dienstplan!$CP$8:$DS$19)))))</f>
        <v>0</v>
      </c>
      <c r="T59">
        <f t="shared" si="19"/>
        <v>57.6</v>
      </c>
      <c r="U59" s="14">
        <f>SUM($C59*Frueh_1+$D59*Spaet_1+$E59*Nacht_1+$F59*Normal_1+$I59*Sonderd_1-$J59*Krem_E+$K59*Krem_E+$L59*EH_Kurs+$M59*Koor_taet+$N59*Sekre_1+$O59*Krem_E+$R59*Krem_E+$P59*Krem_E+$Q59*Krem_E+G59*Krem_E+H59*Krem_E)</f>
        <v>11.800000000000002</v>
      </c>
      <c r="V59" s="11">
        <f t="shared" si="21"/>
        <v>-45.8</v>
      </c>
      <c r="W59" s="20">
        <f t="shared" si="20"/>
        <v>-186.5</v>
      </c>
    </row>
    <row r="60" spans="1:23" x14ac:dyDescent="0.25">
      <c r="A60" s="11"/>
      <c r="B60" s="27" t="str">
        <f t="shared" si="18"/>
        <v>Putschler</v>
      </c>
      <c r="C60">
        <f>SUMPRODUCT((ISNUMBER(SEARCH($Y11,Dienstplan!$B$8:$B$19))*(ISNUMBER(SEARCH($AB$3,Dienstplan!$CP$8:$DS$19)))))-D60</f>
        <v>0</v>
      </c>
      <c r="D60">
        <f>SUMPRODUCT((ISNUMBER(SEARCH($Y11,Dienstplan!$B$8:$B$19))*(ISNUMBER(SEARCH($AB$4,Dienstplan!$CP$8:$DS$19)))))</f>
        <v>0</v>
      </c>
      <c r="E60">
        <f>SUMPRODUCT((ISNUMBER(SEARCH($Y11,Dienstplan!$B$8:$B$19))*(ISNUMBER(SEARCH($AB$5,Dienstplan!$CP$8:$DS$19)))))</f>
        <v>0</v>
      </c>
      <c r="F60">
        <f>SUMPRODUCT((ISNUMBER(SEARCH($Y11,Dienstplan!$B$8:$B$19))*(ISNUMBER(SEARCH($AB$6,Dienstplan!$CP$8:$DS$19)))))</f>
        <v>0</v>
      </c>
      <c r="G60">
        <f>SUMPRODUCT((ISNUMBER(SEARCH($Y11,Dienstplan!$B$8:$B$19))*(ISNUMBER(SEARCH($AB$7,Dienstplan!$CP$8:$DS$19)))))-H60</f>
        <v>0</v>
      </c>
      <c r="H60">
        <f>SUMPRODUCT((ISNUMBER(SEARCH($Y11,Dienstplan!$B$8:$B$19))*(ISNUMBER(SEARCH($AB$8,Dienstplan!$CP$8:$DS$19)))))</f>
        <v>0</v>
      </c>
      <c r="I60">
        <f>SUMPRODUCT((ISNUMBER(SEARCH($Y11,Dienstplan!$B$8:$B$19))*(ISNUMBER(SEARCH($AB$9,Dienstplan!$CP$8:$DS$19)))))</f>
        <v>0</v>
      </c>
      <c r="J60">
        <f>SUMPRODUCT((ISNUMBER(SEARCH($Y11,Dienstplan!$B$8:$B$19))*(ISNUMBER(SEARCH($AB$10,Dienstplan!$CP$8:$DS$19)))))</f>
        <v>1</v>
      </c>
      <c r="K60">
        <f>SUMPRODUCT((ISNUMBER(SEARCH($Y11,Dienstplan!$B$8:$B$19))*(ISNUMBER(SEARCH($AB$11,Dienstplan!$CP$8:$DS$19)))))-$Q60</f>
        <v>2</v>
      </c>
      <c r="L60">
        <f>SUMPRODUCT((ISNUMBER(SEARCH($Y11,Dienstplan!$B$8:$B$19))*(ISNUMBER(SEARCH($AB$12,Dienstplan!$CP$8:$DS$19)))))</f>
        <v>0</v>
      </c>
      <c r="M60">
        <f>SUMPRODUCT((ISNUMBER(SEARCH($Y11,Dienstplan!$B$8:$B$19))*(ISNUMBER(SEARCH($AB$13,Dienstplan!$CP$8:$DS$19)))))</f>
        <v>16</v>
      </c>
      <c r="N60">
        <f>SUMPRODUCT((ISNUMBER(SEARCH($Y11,Dienstplan!$B$8:$B$19))*(ISNUMBER(SEARCH($AB$14,Dienstplan!$CP$8:$DS$19)))))</f>
        <v>0</v>
      </c>
      <c r="O60">
        <f>SUMPRODUCT((ISNUMBER(SEARCH($Y11,Dienstplan!$B$8:$B$19))*(ISNUMBER(SEARCH($AB$15,Dienstplan!$CP$8:$DS$19)))))</f>
        <v>0</v>
      </c>
      <c r="P60">
        <f>SUMPRODUCT((ISNUMBER(SEARCH($Y11,Dienstplan!$B$8:$B$19))*(ISNUMBER(SEARCH($AB$16,Dienstplan!$CP$8:$DS$19)))))</f>
        <v>0</v>
      </c>
      <c r="Q60">
        <f>SUMPRODUCT((ISNUMBER(SEARCH($Y11,Dienstplan!$B$8:$B$19))*(ISNUMBER(SEARCH($AB$17,Dienstplan!$CP$8:$DS$19)))))</f>
        <v>0</v>
      </c>
      <c r="R60">
        <f>SUMPRODUCT((ISNUMBER(SEARCH($Y11,Dienstplan!$B$8:$B$19))*(ISNUMBER(SEARCH($AB$18,Dienstplan!$CP$8:$DS$19)))))</f>
        <v>0</v>
      </c>
      <c r="S60" s="11">
        <f>SUMPRODUCT((ISNUMBER(SEARCH($Y11,Dienstplan!$B$8:$B$19))*(ISNUMBER(SEARCH($AB$19,Dienstplan!$CP$8:$DS$19)))))</f>
        <v>0</v>
      </c>
      <c r="T60">
        <f t="shared" si="19"/>
        <v>144</v>
      </c>
      <c r="U60" s="14">
        <f>SUM($C60*Frueh_1+$D60*Spaet_1+$E60*Nacht_1+$F60*Normal_1+$I60*Sonderd_1-$J60*Put_W+$K60*Put_W+$L60*EH_Kurs+$M60*Koor_taet+$N60*Sekre_1+$O60*Put_W+$R60*Put_W+$P60*Put_W+$Q60*Put_W+G60*Put_W+H60*Put_W)</f>
        <v>136</v>
      </c>
      <c r="V60" s="11">
        <f t="shared" si="21"/>
        <v>-8</v>
      </c>
      <c r="W60" s="20">
        <f t="shared" si="20"/>
        <v>-1.5</v>
      </c>
    </row>
    <row r="61" spans="1:23" x14ac:dyDescent="0.25">
      <c r="A61" s="11"/>
      <c r="B61" s="27" t="str">
        <f t="shared" si="18"/>
        <v>Schmidt</v>
      </c>
      <c r="C61">
        <f>SUMPRODUCT((ISNUMBER(SEARCH($Y12,Dienstplan!$B$8:$B$19))*(ISNUMBER(SEARCH($AB$3,Dienstplan!$CP$8:$DS$19)))))-D61</f>
        <v>0</v>
      </c>
      <c r="D61">
        <f>SUMPRODUCT((ISNUMBER(SEARCH($Y12,Dienstplan!$B$8:$B$19))*(ISNUMBER(SEARCH($AB$4,Dienstplan!$CP$8:$DS$19)))))</f>
        <v>0</v>
      </c>
      <c r="E61">
        <f>SUMPRODUCT((ISNUMBER(SEARCH($Y12,Dienstplan!$B$8:$B$19))*(ISNUMBER(SEARCH($AB$5,Dienstplan!$CP$8:$DS$19)))))</f>
        <v>0</v>
      </c>
      <c r="F61">
        <f>SUMPRODUCT((ISNUMBER(SEARCH($Y12,Dienstplan!$B$8:$B$19))*(ISNUMBER(SEARCH($AB$6,Dienstplan!$CP$8:$DS$19)))))</f>
        <v>0</v>
      </c>
      <c r="G61">
        <f>SUMPRODUCT((ISNUMBER(SEARCH($Y12,Dienstplan!$B$8:$B$19))*(ISNUMBER(SEARCH($AB$7,Dienstplan!$CP$8:$DS$19)))))-H61</f>
        <v>0</v>
      </c>
      <c r="H61">
        <f>SUMPRODUCT((ISNUMBER(SEARCH($Y12,Dienstplan!$B$8:$B$19))*(ISNUMBER(SEARCH($AB$8,Dienstplan!$CP$8:$DS$19)))))</f>
        <v>0</v>
      </c>
      <c r="I61">
        <f>SUMPRODUCT((ISNUMBER(SEARCH($Y12,Dienstplan!$B$8:$B$19))*(ISNUMBER(SEARCH($AB$9,Dienstplan!$CP$8:$DS$19)))))</f>
        <v>0</v>
      </c>
      <c r="J61">
        <f>SUMPRODUCT((ISNUMBER(SEARCH($Y12,Dienstplan!$B$8:$B$19))*(ISNUMBER(SEARCH($AB$10,Dienstplan!$CP$8:$DS$19)))))</f>
        <v>0</v>
      </c>
      <c r="K61">
        <f>SUMPRODUCT((ISNUMBER(SEARCH($Y12,Dienstplan!$B$8:$B$19))*(ISNUMBER(SEARCH($AB$11,Dienstplan!$CP$8:$DS$19)))))-$Q61</f>
        <v>0</v>
      </c>
      <c r="L61">
        <f>SUMPRODUCT((ISNUMBER(SEARCH($Y12,Dienstplan!$B$8:$B$19))*(ISNUMBER(SEARCH($AB$12,Dienstplan!$CP$8:$DS$19)))))</f>
        <v>0</v>
      </c>
      <c r="M61">
        <f>SUMPRODUCT((ISNUMBER(SEARCH($Y12,Dienstplan!$B$8:$B$19))*(ISNUMBER(SEARCH($AB$13,Dienstplan!$CP$8:$DS$19)))))</f>
        <v>0</v>
      </c>
      <c r="N61">
        <f>SUMPRODUCT((ISNUMBER(SEARCH($Y12,Dienstplan!$B$8:$B$19))*(ISNUMBER(SEARCH($AB$14,Dienstplan!$CP$8:$DS$19)))))</f>
        <v>0</v>
      </c>
      <c r="O61">
        <f>SUMPRODUCT((ISNUMBER(SEARCH($Y12,Dienstplan!$B$8:$B$19))*(ISNUMBER(SEARCH($AB$15,Dienstplan!$CP$8:$DS$19)))))</f>
        <v>0</v>
      </c>
      <c r="P61">
        <f>SUMPRODUCT((ISNUMBER(SEARCH($Y12,Dienstplan!$B$8:$B$19))*(ISNUMBER(SEARCH($AB$16,Dienstplan!$CP$8:$DS$19)))))</f>
        <v>0</v>
      </c>
      <c r="Q61">
        <f>SUMPRODUCT((ISNUMBER(SEARCH($Y12,Dienstplan!$B$8:$B$19))*(ISNUMBER(SEARCH($AB$17,Dienstplan!$CP$8:$DS$19)))))</f>
        <v>0</v>
      </c>
      <c r="R61">
        <f>SUMPRODUCT((ISNUMBER(SEARCH($Y12,Dienstplan!$B$8:$B$19))*(ISNUMBER(SEARCH($AB$18,Dienstplan!$CP$8:$DS$19)))))</f>
        <v>0</v>
      </c>
      <c r="S61" s="11">
        <f>SUMPRODUCT((ISNUMBER(SEARCH($Y12,Dienstplan!$B$8:$B$19))*(ISNUMBER(SEARCH($AB$19,Dienstplan!$CP$8:$DS$19)))))</f>
        <v>0</v>
      </c>
      <c r="T61">
        <f t="shared" si="19"/>
        <v>126</v>
      </c>
      <c r="U61" s="14">
        <f>SUM($C61*Frueh_1+$D61*Spaet_1+$E61*Nacht_1+$F61*Normal_1+$I61*Sonderd_1-$J61*Radi_L+$K61*Radi_L+$L61*EH_Kurs+$M61*Koor_taet+$N61*Sekre_1+$O61*Radi_L+$R61*Radi_L+$P61*Radi_L+$Q61*Radi_L+G61*Radi_L+H61*Radi_L)</f>
        <v>0</v>
      </c>
      <c r="V61" s="11">
        <f t="shared" si="21"/>
        <v>-126</v>
      </c>
      <c r="W61" s="20">
        <f t="shared" si="20"/>
        <v>-560</v>
      </c>
    </row>
    <row r="62" spans="1:23" x14ac:dyDescent="0.25">
      <c r="A62" s="11"/>
      <c r="B62" s="27" t="str">
        <f t="shared" si="18"/>
        <v>Radimersky</v>
      </c>
      <c r="C62">
        <f>SUMPRODUCT((ISNUMBER(SEARCH($Y13,Dienstplan!$B$8:$B$19))*(ISNUMBER(SEARCH($AB$3,Dienstplan!$CP$8:$DS$19)))))-D62</f>
        <v>0</v>
      </c>
      <c r="D62">
        <f>SUMPRODUCT((ISNUMBER(SEARCH($Y13,Dienstplan!$B$8:$B$19))*(ISNUMBER(SEARCH($AB$4,Dienstplan!$CP$8:$DS$19)))))</f>
        <v>0</v>
      </c>
      <c r="E62">
        <f>SUMPRODUCT((ISNUMBER(SEARCH($Y13,Dienstplan!$B$8:$B$19))*(ISNUMBER(SEARCH($AB$5,Dienstplan!$CP$8:$DS$19)))))</f>
        <v>0</v>
      </c>
      <c r="F62">
        <f>SUMPRODUCT((ISNUMBER(SEARCH($Y13,Dienstplan!$B$8:$B$19))*(ISNUMBER(SEARCH($AB$6,Dienstplan!$CP$8:$DS$19)))))</f>
        <v>0</v>
      </c>
      <c r="G62">
        <f>SUMPRODUCT((ISNUMBER(SEARCH($Y13,Dienstplan!$B$8:$B$19))*(ISNUMBER(SEARCH($AB$7,Dienstplan!$CP$8:$DS$19)))))-H62</f>
        <v>0</v>
      </c>
      <c r="H62">
        <f>SUMPRODUCT((ISNUMBER(SEARCH($Y13,Dienstplan!$B$8:$B$19))*(ISNUMBER(SEARCH($AB$8,Dienstplan!$CP$8:$DS$19)))))</f>
        <v>0</v>
      </c>
      <c r="I62">
        <f>SUMPRODUCT((ISNUMBER(SEARCH($Y13,Dienstplan!$B$8:$B$19))*(ISNUMBER(SEARCH($AB$9,Dienstplan!$CP$8:$DS$19)))))</f>
        <v>0</v>
      </c>
      <c r="J62">
        <f>SUMPRODUCT((ISNUMBER(SEARCH($Y13,Dienstplan!$B$8:$B$19))*(ISNUMBER(SEARCH($AB$10,Dienstplan!$CP$8:$DS$19)))))</f>
        <v>0</v>
      </c>
      <c r="K62">
        <f>SUMPRODUCT((ISNUMBER(SEARCH($Y13,Dienstplan!$B$8:$B$19))*(ISNUMBER(SEARCH($AB$11,Dienstplan!$CP$8:$DS$19)))))-$Q62</f>
        <v>5</v>
      </c>
      <c r="L62">
        <f>SUMPRODUCT((ISNUMBER(SEARCH($Y13,Dienstplan!$B$8:$B$19))*(ISNUMBER(SEARCH($AB$12,Dienstplan!$CP$8:$DS$19)))))</f>
        <v>0</v>
      </c>
      <c r="M62">
        <f>SUMPRODUCT((ISNUMBER(SEARCH($Y13,Dienstplan!$B$8:$B$19))*(ISNUMBER(SEARCH($AB$13,Dienstplan!$CP$8:$DS$19)))))</f>
        <v>0</v>
      </c>
      <c r="N62">
        <f>SUMPRODUCT((ISNUMBER(SEARCH($Y13,Dienstplan!$B$8:$B$19))*(ISNUMBER(SEARCH($AB$14,Dienstplan!$CP$8:$DS$19)))))</f>
        <v>0</v>
      </c>
      <c r="O62">
        <f>SUMPRODUCT((ISNUMBER(SEARCH($Y13,Dienstplan!$B$8:$B$19))*(ISNUMBER(SEARCH($AB$15,Dienstplan!$CP$8:$DS$19)))))</f>
        <v>0</v>
      </c>
      <c r="P62">
        <f>SUMPRODUCT((ISNUMBER(SEARCH($Y13,Dienstplan!$B$8:$B$19))*(ISNUMBER(SEARCH($AB$16,Dienstplan!$CP$8:$DS$19)))))</f>
        <v>0</v>
      </c>
      <c r="Q62">
        <f>SUMPRODUCT((ISNUMBER(SEARCH($Y13,Dienstplan!$B$8:$B$19))*(ISNUMBER(SEARCH($AB$17,Dienstplan!$CP$8:$DS$19)))))</f>
        <v>0</v>
      </c>
      <c r="R62">
        <f>SUMPRODUCT((ISNUMBER(SEARCH($Y13,Dienstplan!$B$8:$B$19))*(ISNUMBER(SEARCH($AB$18,Dienstplan!$CP$8:$DS$19)))))</f>
        <v>0</v>
      </c>
      <c r="S62" s="11">
        <f>SUMPRODUCT((ISNUMBER(SEARCH($Y13,Dienstplan!$B$8:$B$19))*(ISNUMBER(SEARCH($AB$19,Dienstplan!$CP$8:$DS$19)))))</f>
        <v>0</v>
      </c>
      <c r="T62">
        <f t="shared" si="19"/>
        <v>54</v>
      </c>
      <c r="U62" s="14">
        <f>SUM($C62*Frueh_1+$D62*Spaet_1+$E62*Nacht_1+$F62*Normal_1+$I62*Sonderd_1-$J62*Fortenb+$K62*Fortenb+$L62*EH_Kurs+$M62*Koor_taet+$N62*Sekre_1+$O62*Fortenb+$R62*Fortenb+$P62*Fortenb+$Q62*Fortenb+G62*Fortenb+H62*Fortenb)</f>
        <v>15</v>
      </c>
      <c r="V62" s="11">
        <f t="shared" si="21"/>
        <v>-39</v>
      </c>
      <c r="W62" s="20">
        <f t="shared" si="20"/>
        <v>-222</v>
      </c>
    </row>
    <row r="63" spans="1:23" x14ac:dyDescent="0.25">
      <c r="A63" s="11"/>
      <c r="B63" s="27"/>
      <c r="S63" s="11"/>
      <c r="V63" s="11"/>
      <c r="W63" s="20"/>
    </row>
    <row r="64" spans="1:23" x14ac:dyDescent="0.25">
      <c r="A64" s="11"/>
      <c r="B64" s="27" t="s">
        <v>23</v>
      </c>
      <c r="C64" s="4">
        <f t="shared" ref="C64:S64" si="22">SUM(C52:C63)</f>
        <v>20</v>
      </c>
      <c r="D64" s="4">
        <f t="shared" si="22"/>
        <v>11</v>
      </c>
      <c r="E64" s="4">
        <f t="shared" si="22"/>
        <v>23</v>
      </c>
      <c r="F64" s="4">
        <f t="shared" si="22"/>
        <v>24</v>
      </c>
      <c r="G64" s="4">
        <f t="shared" si="22"/>
        <v>14</v>
      </c>
      <c r="H64" s="4">
        <f t="shared" si="22"/>
        <v>0</v>
      </c>
      <c r="I64" s="4">
        <f t="shared" si="22"/>
        <v>3</v>
      </c>
      <c r="J64" s="4">
        <f t="shared" si="22"/>
        <v>13</v>
      </c>
      <c r="K64" s="4">
        <f t="shared" si="22"/>
        <v>40</v>
      </c>
      <c r="L64" s="4">
        <f t="shared" si="22"/>
        <v>2</v>
      </c>
      <c r="M64" s="4">
        <f t="shared" si="22"/>
        <v>16</v>
      </c>
      <c r="N64" s="4">
        <f t="shared" si="22"/>
        <v>0</v>
      </c>
      <c r="O64" s="4">
        <f t="shared" si="22"/>
        <v>0</v>
      </c>
      <c r="P64" s="4">
        <f t="shared" si="22"/>
        <v>0</v>
      </c>
      <c r="Q64" s="4">
        <f t="shared" si="22"/>
        <v>0</v>
      </c>
      <c r="R64" s="4">
        <f t="shared" si="22"/>
        <v>0</v>
      </c>
      <c r="S64" s="13">
        <f t="shared" si="22"/>
        <v>5</v>
      </c>
      <c r="T64" s="4">
        <f>SUM(T52:T60)</f>
        <v>1137.5999999999999</v>
      </c>
      <c r="U64" s="4">
        <f>SUM(U52:U60)</f>
        <v>1021.8</v>
      </c>
      <c r="V64" s="13"/>
      <c r="W64" s="21"/>
    </row>
    <row r="65" spans="1:23" x14ac:dyDescent="0.25">
      <c r="A65" s="11"/>
      <c r="B65" s="12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2"/>
      <c r="T65" s="1"/>
      <c r="U65" s="1"/>
      <c r="V65" s="12"/>
      <c r="W65" s="17"/>
    </row>
    <row r="66" spans="1:23" x14ac:dyDescent="0.25">
      <c r="A66" s="11"/>
      <c r="B66" s="26" t="s">
        <v>26</v>
      </c>
      <c r="D66" s="365" t="s">
        <v>34</v>
      </c>
      <c r="E66" s="366"/>
      <c r="F66" s="36">
        <v>20</v>
      </c>
      <c r="G66" s="109"/>
      <c r="H66" s="18"/>
      <c r="I66" s="365" t="s">
        <v>51</v>
      </c>
      <c r="J66" s="366"/>
      <c r="K66" s="36">
        <v>4</v>
      </c>
      <c r="S66" s="11"/>
      <c r="V66" s="11"/>
      <c r="W66" s="20"/>
    </row>
    <row r="67" spans="1:23" x14ac:dyDescent="0.25">
      <c r="A67" s="11"/>
      <c r="B67" s="11"/>
      <c r="C67" s="4" t="str">
        <f>Jahr!C3</f>
        <v>FI</v>
      </c>
      <c r="D67" s="4" t="str">
        <f>Jahr!D3</f>
        <v>FII</v>
      </c>
      <c r="E67" s="4" t="str">
        <f>Jahr!E3</f>
        <v>SI</v>
      </c>
      <c r="F67" s="4" t="str">
        <f>Jahr!F3</f>
        <v>NI</v>
      </c>
      <c r="G67" s="4" t="str">
        <f>Jahr!G3</f>
        <v>DI</v>
      </c>
      <c r="H67" s="4" t="str">
        <f>Jahr!H3</f>
        <v>DII</v>
      </c>
      <c r="I67" s="4" t="str">
        <f>Jahr!I3</f>
        <v>SD</v>
      </c>
      <c r="J67" s="4" t="str">
        <f>Jahr!J3</f>
        <v>GT</v>
      </c>
      <c r="K67" s="4" t="str">
        <f>Jahr!K3</f>
        <v>U</v>
      </c>
      <c r="L67" s="4" t="str">
        <f>Jahr!L3</f>
        <v>EH</v>
      </c>
      <c r="M67" s="4" t="str">
        <f>Jahr!M3</f>
        <v>KT</v>
      </c>
      <c r="N67" s="4" t="str">
        <f>Jahr!N3</f>
        <v>Sek</v>
      </c>
      <c r="O67" s="4" t="str">
        <f>Jahr!O3</f>
        <v>Fobi</v>
      </c>
      <c r="P67" s="4" t="str">
        <f>Jahr!P3</f>
        <v>A</v>
      </c>
      <c r="Q67" s="4" t="str">
        <f>Jahr!Q3</f>
        <v>Kur</v>
      </c>
      <c r="R67" s="4" t="str">
        <f>Jahr!R3</f>
        <v>FZC</v>
      </c>
      <c r="S67" s="4" t="str">
        <f>Jahr!S3</f>
        <v>NST</v>
      </c>
      <c r="T67" s="4" t="s">
        <v>37</v>
      </c>
      <c r="U67" s="4" t="s">
        <v>38</v>
      </c>
      <c r="V67" s="13" t="s">
        <v>39</v>
      </c>
      <c r="W67" s="21" t="s">
        <v>52</v>
      </c>
    </row>
    <row r="68" spans="1:23" x14ac:dyDescent="0.25">
      <c r="A68" s="11"/>
      <c r="B68" s="27" t="str">
        <f t="shared" ref="B68:B78" si="23">B4</f>
        <v>Breig</v>
      </c>
      <c r="C68">
        <f>SUMPRODUCT((ISNUMBER(SEARCH($Y3,Dienstplan!$B$8:$B$19))*(ISNUMBER(SEARCH($AB$3,Dienstplan!$DT$8:$EX$19)))))-D68</f>
        <v>0</v>
      </c>
      <c r="D68">
        <f>SUMPRODUCT((ISNUMBER(SEARCH($Y3,Dienstplan!$B$8:$B$19))*(ISNUMBER(SEARCH($AB$4,Dienstplan!$DT$8:$EX$19)))))</f>
        <v>0</v>
      </c>
      <c r="E68">
        <f>SUMPRODUCT((ISNUMBER(SEARCH($Y3,Dienstplan!$B$8:$B$19))*(ISNUMBER(SEARCH($AB$5,Dienstplan!$DT$8:$EX$19)))))</f>
        <v>0</v>
      </c>
      <c r="F68">
        <f>SUMPRODUCT((ISNUMBER(SEARCH($Y3,Dienstplan!$B$8:$B$19))*(ISNUMBER(SEARCH($AB$6,Dienstplan!$DT$8:$EX$19)))))</f>
        <v>5</v>
      </c>
      <c r="G68">
        <f>SUMPRODUCT((ISNUMBER(SEARCH($Y3,Dienstplan!$B$8:$B$19))*(ISNUMBER(SEARCH($AB$7,Dienstplan!$DT$8:$EX$19)))))-H68</f>
        <v>0</v>
      </c>
      <c r="H68">
        <f>SUMPRODUCT((ISNUMBER(SEARCH($Y3,Dienstplan!$B$8:$B$19))*(ISNUMBER(SEARCH($AB$8,Dienstplan!$DT$8:$EX$19)))))</f>
        <v>0</v>
      </c>
      <c r="I68">
        <f>SUMPRODUCT((ISNUMBER(SEARCH($Y3,Dienstplan!$B$8:$B$19))*(ISNUMBER(SEARCH($AB$9,Dienstplan!$DT$8:$EX$19)))))</f>
        <v>0</v>
      </c>
      <c r="J68">
        <f>SUMPRODUCT((ISNUMBER(SEARCH($Y3,Dienstplan!$B$8:$B$19))*(ISNUMBER(SEARCH($AB$10,Dienstplan!$DT$8:$EX$19)))))</f>
        <v>1</v>
      </c>
      <c r="K68">
        <f>SUMPRODUCT((ISNUMBER(SEARCH($Y3,Dienstplan!$B$8:$B$19))*(ISNUMBER(SEARCH($AB$11,Dienstplan!$DT$8:$EX$19)))))-$Q68</f>
        <v>5</v>
      </c>
      <c r="L68">
        <f>SUMPRODUCT((ISNUMBER(SEARCH($Y3,Dienstplan!$B$8:$B$19))*(ISNUMBER(SEARCH($AB$12,Dienstplan!$DT$8:$EX$19)))))</f>
        <v>0</v>
      </c>
      <c r="M68">
        <f>SUMPRODUCT((ISNUMBER(SEARCH($Y3,Dienstplan!$B$8:$B$19))*(ISNUMBER(SEARCH($AB$13,Dienstplan!$DT$8:$EX$19)))))</f>
        <v>0</v>
      </c>
      <c r="N68">
        <f>SUMPRODUCT((ISNUMBER(SEARCH($Y3,Dienstplan!$B$8:$B$19))*(ISNUMBER(SEARCH($AB$14,Dienstplan!$DT$8:$EX$19)))))</f>
        <v>0</v>
      </c>
      <c r="O68">
        <f>SUMPRODUCT((ISNUMBER(SEARCH($Y3,Dienstplan!$B$8:$B$19))*(ISNUMBER(SEARCH($AB$15,Dienstplan!$DT$8:$EX$19)))))</f>
        <v>0</v>
      </c>
      <c r="P68">
        <f>SUMPRODUCT((ISNUMBER(SEARCH($Y3,Dienstplan!$B$8:$B$19))*(ISNUMBER(SEARCH($AB$16,Dienstplan!$DT$8:$EX$19)))))</f>
        <v>0</v>
      </c>
      <c r="Q68">
        <f>SUMPRODUCT((ISNUMBER(SEARCH($Y3,Dienstplan!$B$8:$B$19))*(ISNUMBER(SEARCH($AB$17,Dienstplan!$DT$8:$EX$19)))))</f>
        <v>0</v>
      </c>
      <c r="R68">
        <f>SUMPRODUCT((ISNUMBER(SEARCH($Y3,Dienstplan!$B$8:$B$19))*(ISNUMBER(SEARCH($AB$18,Dienstplan!$DT$8:$EX$19)))))</f>
        <v>0</v>
      </c>
      <c r="S68" s="11">
        <f>SUMPRODUCT((ISNUMBER(SEARCH($Y3,Dienstplan!$B$8:$B$19))*(ISNUMBER(SEARCH($AB$19,Dienstplan!$DT$8:$EX$19)))))</f>
        <v>1</v>
      </c>
      <c r="T68">
        <f t="shared" ref="T68:T78" si="24">SUM($F$66*$Z3)</f>
        <v>160</v>
      </c>
      <c r="U68" s="14">
        <f>SUM($C68*Frueh_1+$D68*Spaet_1+$E68*Nacht_1+$F68*Normal_1+$I68*Sonderd_1-$J68*Velten+$K68*Velten+$L68*EH_Kurs+$M68*Koor_taet+$N68*Sekre_1+$O68*Velten+$R68*Velten+$P68*Velten+$Q68*Velten+G68*Velt_M+H68*Velt_M)</f>
        <v>69.5</v>
      </c>
      <c r="V68" s="11">
        <f>SUM($U68-$T68)</f>
        <v>-90.5</v>
      </c>
      <c r="W68" s="20">
        <f t="shared" ref="W68:W78" si="25">V68+W52</f>
        <v>-139.25</v>
      </c>
    </row>
    <row r="69" spans="1:23" x14ac:dyDescent="0.25">
      <c r="A69" s="11"/>
      <c r="B69" s="27" t="str">
        <f t="shared" si="23"/>
        <v>Siebert</v>
      </c>
      <c r="C69">
        <f>SUMPRODUCT((ISNUMBER(SEARCH($Y4,Dienstplan!$B$8:$B$19))*(ISNUMBER(SEARCH($AB$3,Dienstplan!$DT$8:$EX$19)))))-D69</f>
        <v>0</v>
      </c>
      <c r="D69">
        <f>SUMPRODUCT((ISNUMBER(SEARCH($Y4,Dienstplan!$B$8:$B$19))*(ISNUMBER(SEARCH($AB$4,Dienstplan!$DT$8:$EX$19)))))</f>
        <v>0</v>
      </c>
      <c r="E69">
        <f>SUMPRODUCT((ISNUMBER(SEARCH($Y4,Dienstplan!$B$8:$B$19))*(ISNUMBER(SEARCH($AB$5,Dienstplan!$DT$8:$EX$19)))))</f>
        <v>5</v>
      </c>
      <c r="F69">
        <f>SUMPRODUCT((ISNUMBER(SEARCH($Y4,Dienstplan!$B$8:$B$19))*(ISNUMBER(SEARCH($AB$6,Dienstplan!$DT$8:$EX$19)))))</f>
        <v>2</v>
      </c>
      <c r="G69">
        <f>SUMPRODUCT((ISNUMBER(SEARCH($Y4,Dienstplan!$B$8:$B$19))*(ISNUMBER(SEARCH($AB$7,Dienstplan!$DT$8:$EX$19)))))-H69</f>
        <v>0</v>
      </c>
      <c r="H69">
        <f>SUMPRODUCT((ISNUMBER(SEARCH($Y4,Dienstplan!$B$8:$B$19))*(ISNUMBER(SEARCH($AB$8,Dienstplan!$DT$8:$EX$19)))))</f>
        <v>0</v>
      </c>
      <c r="I69">
        <f>SUMPRODUCT((ISNUMBER(SEARCH($Y4,Dienstplan!$B$8:$B$19))*(ISNUMBER(SEARCH($AB$9,Dienstplan!$DT$8:$EX$19)))))</f>
        <v>0</v>
      </c>
      <c r="J69">
        <f>SUMPRODUCT((ISNUMBER(SEARCH($Y4,Dienstplan!$B$8:$B$19))*(ISNUMBER(SEARCH($AB$10,Dienstplan!$DT$8:$EX$19)))))</f>
        <v>0</v>
      </c>
      <c r="K69">
        <f>SUMPRODUCT((ISNUMBER(SEARCH($Y4,Dienstplan!$B$8:$B$19))*(ISNUMBER(SEARCH($AB$11,Dienstplan!$DT$8:$EX$19)))))-$Q69</f>
        <v>0</v>
      </c>
      <c r="L69">
        <f>SUMPRODUCT((ISNUMBER(SEARCH($Y4,Dienstplan!$B$8:$B$19))*(ISNUMBER(SEARCH($AB$12,Dienstplan!$DT$8:$EX$19)))))</f>
        <v>0</v>
      </c>
      <c r="M69">
        <f>SUMPRODUCT((ISNUMBER(SEARCH($Y4,Dienstplan!$B$8:$B$19))*(ISNUMBER(SEARCH($AB$13,Dienstplan!$DT$8:$EX$19)))))</f>
        <v>0</v>
      </c>
      <c r="N69">
        <f>SUMPRODUCT((ISNUMBER(SEARCH($Y4,Dienstplan!$B$8:$B$19))*(ISNUMBER(SEARCH($AB$14,Dienstplan!$DT$8:$EX$19)))))</f>
        <v>0</v>
      </c>
      <c r="O69">
        <f>SUMPRODUCT((ISNUMBER(SEARCH($Y4,Dienstplan!$B$8:$B$19))*(ISNUMBER(SEARCH($AB$15,Dienstplan!$DT$8:$EX$19)))))</f>
        <v>0</v>
      </c>
      <c r="P69">
        <f>SUMPRODUCT((ISNUMBER(SEARCH($Y4,Dienstplan!$B$8:$B$19))*(ISNUMBER(SEARCH($AB$16,Dienstplan!$DT$8:$EX$19)))))</f>
        <v>0</v>
      </c>
      <c r="Q69">
        <f>SUMPRODUCT((ISNUMBER(SEARCH($Y4,Dienstplan!$B$8:$B$19))*(ISNUMBER(SEARCH($AB$17,Dienstplan!$DT$8:$EX$19)))))</f>
        <v>0</v>
      </c>
      <c r="R69">
        <f>SUMPRODUCT((ISNUMBER(SEARCH($Y4,Dienstplan!$B$8:$B$19))*(ISNUMBER(SEARCH($AB$18,Dienstplan!$DT$8:$EX$19)))))</f>
        <v>0</v>
      </c>
      <c r="S69" s="11">
        <f>SUMPRODUCT((ISNUMBER(SEARCH($Y4,Dienstplan!$B$8:$B$19))*(ISNUMBER(SEARCH($AB$19,Dienstplan!$DT$8:$EX$19)))))</f>
        <v>0</v>
      </c>
      <c r="T69">
        <f t="shared" si="24"/>
        <v>140</v>
      </c>
      <c r="U69" s="14">
        <f>SUM($C69*Frueh_1+$D69*Spaet_1+$E69*Nacht_1+$F69*Normal_1+$I69*Sonderd_1-$J69*Brue_H+$K69*Brue_H+$L69*EH_Kurs+$M69*Koor_taet+$N69*Sekre_1+$O69*Brue_H+$R69*Brue_H+$P69*Brue_H+$Q69*Brue_H+G69*Brue_H+H69*Brue_H)</f>
        <v>52.5</v>
      </c>
      <c r="V69" s="11">
        <f t="shared" ref="V69:V78" si="26">SUM($U69-$T69)</f>
        <v>-87.5</v>
      </c>
      <c r="W69" s="20">
        <f t="shared" si="25"/>
        <v>-48.25</v>
      </c>
    </row>
    <row r="70" spans="1:23" x14ac:dyDescent="0.25">
      <c r="A70" s="11"/>
      <c r="B70" s="27" t="str">
        <f t="shared" si="23"/>
        <v>Jochim</v>
      </c>
      <c r="C70">
        <f>SUMPRODUCT((ISNUMBER(SEARCH($Y5,Dienstplan!$B$8:$B$19))*(ISNUMBER(SEARCH($AB$3,Dienstplan!$DT$8:$EX$19)))))-D70</f>
        <v>0</v>
      </c>
      <c r="D70">
        <f>SUMPRODUCT((ISNUMBER(SEARCH($Y5,Dienstplan!$B$8:$B$19))*(ISNUMBER(SEARCH($AB$4,Dienstplan!$DT$8:$EX$19)))))</f>
        <v>0</v>
      </c>
      <c r="E70">
        <f>SUMPRODUCT((ISNUMBER(SEARCH($Y5,Dienstplan!$B$8:$B$19))*(ISNUMBER(SEARCH($AB$5,Dienstplan!$DT$8:$EX$19)))))</f>
        <v>0</v>
      </c>
      <c r="F70">
        <f>SUMPRODUCT((ISNUMBER(SEARCH($Y5,Dienstplan!$B$8:$B$19))*(ISNUMBER(SEARCH($AB$6,Dienstplan!$DT$8:$EX$19)))))</f>
        <v>0</v>
      </c>
      <c r="G70">
        <f>SUMPRODUCT((ISNUMBER(SEARCH($Y5,Dienstplan!$B$8:$B$19))*(ISNUMBER(SEARCH($AB$7,Dienstplan!$DT$8:$EX$19)))))-H70</f>
        <v>0</v>
      </c>
      <c r="H70">
        <f>SUMPRODUCT((ISNUMBER(SEARCH($Y5,Dienstplan!$B$8:$B$19))*(ISNUMBER(SEARCH($AB$8,Dienstplan!$DT$8:$EX$19)))))</f>
        <v>0</v>
      </c>
      <c r="I70">
        <f>SUMPRODUCT((ISNUMBER(SEARCH($Y5,Dienstplan!$B$8:$B$19))*(ISNUMBER(SEARCH($AB$9,Dienstplan!$DT$8:$EX$19)))))</f>
        <v>0</v>
      </c>
      <c r="J70">
        <f>SUMPRODUCT((ISNUMBER(SEARCH($Y5,Dienstplan!$B$8:$B$19))*(ISNUMBER(SEARCH($AB$10,Dienstplan!$DT$8:$EX$19)))))</f>
        <v>0</v>
      </c>
      <c r="K70">
        <f>SUMPRODUCT((ISNUMBER(SEARCH($Y5,Dienstplan!$B$8:$B$19))*(ISNUMBER(SEARCH($AB$11,Dienstplan!$DT$8:$EX$19)))))-$Q70</f>
        <v>0</v>
      </c>
      <c r="L70">
        <f>SUMPRODUCT((ISNUMBER(SEARCH($Y5,Dienstplan!$B$8:$B$19))*(ISNUMBER(SEARCH($AB$12,Dienstplan!$DT$8:$EX$19)))))</f>
        <v>0</v>
      </c>
      <c r="M70">
        <f>SUMPRODUCT((ISNUMBER(SEARCH($Y5,Dienstplan!$B$8:$B$19))*(ISNUMBER(SEARCH($AB$13,Dienstplan!$DT$8:$EX$19)))))</f>
        <v>0</v>
      </c>
      <c r="N70">
        <f>SUMPRODUCT((ISNUMBER(SEARCH($Y5,Dienstplan!$B$8:$B$19))*(ISNUMBER(SEARCH($AB$14,Dienstplan!$DT$8:$EX$19)))))</f>
        <v>0</v>
      </c>
      <c r="O70">
        <f>SUMPRODUCT((ISNUMBER(SEARCH($Y5,Dienstplan!$B$8:$B$19))*(ISNUMBER(SEARCH($AB$15,Dienstplan!$DT$8:$EX$19)))))</f>
        <v>0</v>
      </c>
      <c r="P70">
        <f>SUMPRODUCT((ISNUMBER(SEARCH($Y5,Dienstplan!$B$8:$B$19))*(ISNUMBER(SEARCH($AB$16,Dienstplan!$DT$8:$EX$19)))))</f>
        <v>0</v>
      </c>
      <c r="Q70">
        <f>SUMPRODUCT((ISNUMBER(SEARCH($Y5,Dienstplan!$B$8:$B$19))*(ISNUMBER(SEARCH($AB$17,Dienstplan!$DT$8:$EX$19)))))</f>
        <v>0</v>
      </c>
      <c r="R70">
        <f>SUMPRODUCT((ISNUMBER(SEARCH($Y5,Dienstplan!$B$8:$B$19))*(ISNUMBER(SEARCH($AB$18,Dienstplan!$DT$8:$EX$19)))))</f>
        <v>0</v>
      </c>
      <c r="S70" s="11">
        <f>SUMPRODUCT((ISNUMBER(SEARCH($Y5,Dienstplan!$B$8:$B$19))*(ISNUMBER(SEARCH($AB$19,Dienstplan!$DT$8:$EX$19)))))</f>
        <v>0</v>
      </c>
      <c r="T70">
        <f t="shared" si="24"/>
        <v>140</v>
      </c>
      <c r="U70" s="14">
        <f>SUM($C70*Frueh_1+$D70*Spaet_1+$E70*Nacht_1+$F70*Normal_1+$I70*Sonderd_1-$J70*Rath_M+$K70*Rath_M+$L70*EH_Kurs+$M70*Koor_taet+$N70*Sekre_1+$O70*Rath_M+$R70*Rath_M+$P70*Rath_M+$Q70*Rath_M+G70*Rath_M+H70*Rath_M)</f>
        <v>0</v>
      </c>
      <c r="V70" s="11">
        <f t="shared" si="26"/>
        <v>-140</v>
      </c>
      <c r="W70" s="20">
        <f t="shared" si="25"/>
        <v>-452</v>
      </c>
    </row>
    <row r="71" spans="1:23" x14ac:dyDescent="0.25">
      <c r="A71" s="11"/>
      <c r="B71" s="27" t="str">
        <f t="shared" si="23"/>
        <v>Wunsch</v>
      </c>
      <c r="C71">
        <f>SUMPRODUCT((ISNUMBER(SEARCH($Y6,Dienstplan!$B$8:$B$19))*(ISNUMBER(SEARCH($AB$3,Dienstplan!$DT$8:$EX$19)))))-D71</f>
        <v>0</v>
      </c>
      <c r="D71">
        <f>SUMPRODUCT((ISNUMBER(SEARCH($Y6,Dienstplan!$B$8:$B$19))*(ISNUMBER(SEARCH($AB$4,Dienstplan!$DT$8:$EX$19)))))</f>
        <v>0</v>
      </c>
      <c r="E71">
        <f>SUMPRODUCT((ISNUMBER(SEARCH($Y6,Dienstplan!$B$8:$B$19))*(ISNUMBER(SEARCH($AB$5,Dienstplan!$DT$8:$EX$19)))))</f>
        <v>1</v>
      </c>
      <c r="F71">
        <f>SUMPRODUCT((ISNUMBER(SEARCH($Y6,Dienstplan!$B$8:$B$19))*(ISNUMBER(SEARCH($AB$6,Dienstplan!$DT$8:$EX$19)))))</f>
        <v>3</v>
      </c>
      <c r="G71">
        <f>SUMPRODUCT((ISNUMBER(SEARCH($Y6,Dienstplan!$B$8:$B$19))*(ISNUMBER(SEARCH($AB$7,Dienstplan!$DT$8:$EX$19)))))-H71</f>
        <v>0</v>
      </c>
      <c r="H71">
        <f>SUMPRODUCT((ISNUMBER(SEARCH($Y6,Dienstplan!$B$8:$B$19))*(ISNUMBER(SEARCH($AB$8,Dienstplan!$DT$8:$EX$19)))))</f>
        <v>0</v>
      </c>
      <c r="I71">
        <f>SUMPRODUCT((ISNUMBER(SEARCH($Y6,Dienstplan!$B$8:$B$19))*(ISNUMBER(SEARCH($AB$9,Dienstplan!$DT$8:$EX$19)))))</f>
        <v>0</v>
      </c>
      <c r="J71">
        <f>SUMPRODUCT((ISNUMBER(SEARCH($Y6,Dienstplan!$B$8:$B$19))*(ISNUMBER(SEARCH($AB$10,Dienstplan!$DT$8:$EX$19)))))</f>
        <v>0</v>
      </c>
      <c r="K71">
        <f>SUMPRODUCT((ISNUMBER(SEARCH($Y6,Dienstplan!$B$8:$B$19))*(ISNUMBER(SEARCH($AB$11,Dienstplan!$DT$8:$EX$19)))))-$Q71</f>
        <v>6</v>
      </c>
      <c r="L71">
        <f>SUMPRODUCT((ISNUMBER(SEARCH($Y6,Dienstplan!$B$8:$B$19))*(ISNUMBER(SEARCH($AB$12,Dienstplan!$DT$8:$EX$19)))))</f>
        <v>0</v>
      </c>
      <c r="M71">
        <f>SUMPRODUCT((ISNUMBER(SEARCH($Y6,Dienstplan!$B$8:$B$19))*(ISNUMBER(SEARCH($AB$13,Dienstplan!$DT$8:$EX$19)))))</f>
        <v>0</v>
      </c>
      <c r="N71">
        <f>SUMPRODUCT((ISNUMBER(SEARCH($Y6,Dienstplan!$B$8:$B$19))*(ISNUMBER(SEARCH($AB$14,Dienstplan!$DT$8:$EX$19)))))</f>
        <v>0</v>
      </c>
      <c r="O71">
        <f>SUMPRODUCT((ISNUMBER(SEARCH($Y6,Dienstplan!$B$8:$B$19))*(ISNUMBER(SEARCH($AB$15,Dienstplan!$DT$8:$EX$19)))))</f>
        <v>0</v>
      </c>
      <c r="P71">
        <f>SUMPRODUCT((ISNUMBER(SEARCH($Y6,Dienstplan!$B$8:$B$19))*(ISNUMBER(SEARCH($AB$16,Dienstplan!$DT$8:$EX$19)))))</f>
        <v>0</v>
      </c>
      <c r="Q71">
        <f>SUMPRODUCT((ISNUMBER(SEARCH($Y6,Dienstplan!$B$8:$B$19))*(ISNUMBER(SEARCH($AB$17,Dienstplan!$DT$8:$EX$19)))))</f>
        <v>0</v>
      </c>
      <c r="R71">
        <f>SUMPRODUCT((ISNUMBER(SEARCH($Y6,Dienstplan!$B$8:$B$19))*(ISNUMBER(SEARCH($AB$18,Dienstplan!$DT$8:$EX$19)))))</f>
        <v>0</v>
      </c>
      <c r="S71" s="11">
        <f>SUMPRODUCT((ISNUMBER(SEARCH($Y6,Dienstplan!$B$8:$B$19))*(ISNUMBER(SEARCH($AB$19,Dienstplan!$DT$8:$EX$19)))))</f>
        <v>1</v>
      </c>
      <c r="T71">
        <f t="shared" si="24"/>
        <v>160</v>
      </c>
      <c r="U71" s="14">
        <f>SUM($C71*Frueh_1+$D71*Spaet_1+$E71*Nacht_1+$F71*Normal_1+$I71*Sonderd_1-$J71*Scho_K+$K71*Scho_K+$L71*EH_Kurs+$M71*Koor_taet+$N71*Sekre_1+$O71*Scho_K+$R71*Scho_K+$P71*Scho_K+$Q71*Scho_K+G71*Scho_K+H71*Scho_K)</f>
        <v>78</v>
      </c>
      <c r="V71" s="11">
        <f t="shared" si="26"/>
        <v>-82</v>
      </c>
      <c r="W71" s="20">
        <f t="shared" si="25"/>
        <v>-138.75</v>
      </c>
    </row>
    <row r="72" spans="1:23" x14ac:dyDescent="0.25">
      <c r="A72" s="11"/>
      <c r="B72" s="27" t="str">
        <f t="shared" si="23"/>
        <v>Göpfrich</v>
      </c>
      <c r="C72">
        <f>SUMPRODUCT((ISNUMBER(SEARCH($Y7,Dienstplan!$B$8:$B$19))*(ISNUMBER(SEARCH($AB$3,Dienstplan!$DT$8:$EX$19)))))-D72</f>
        <v>0</v>
      </c>
      <c r="D72">
        <f>SUMPRODUCT((ISNUMBER(SEARCH($Y7,Dienstplan!$B$8:$B$19))*(ISNUMBER(SEARCH($AB$4,Dienstplan!$DT$8:$EX$19)))))</f>
        <v>0</v>
      </c>
      <c r="E72">
        <f>SUMPRODUCT((ISNUMBER(SEARCH($Y7,Dienstplan!$B$8:$B$19))*(ISNUMBER(SEARCH($AB$5,Dienstplan!$DT$8:$EX$19)))))</f>
        <v>4</v>
      </c>
      <c r="F72">
        <f>SUMPRODUCT((ISNUMBER(SEARCH($Y7,Dienstplan!$B$8:$B$19))*(ISNUMBER(SEARCH($AB$6,Dienstplan!$DT$8:$EX$19)))))</f>
        <v>5</v>
      </c>
      <c r="G72">
        <f>SUMPRODUCT((ISNUMBER(SEARCH($Y7,Dienstplan!$B$8:$B$19))*(ISNUMBER(SEARCH($AB$7,Dienstplan!$DT$8:$EX$19)))))-H72</f>
        <v>0</v>
      </c>
      <c r="H72">
        <f>SUMPRODUCT((ISNUMBER(SEARCH($Y7,Dienstplan!$B$8:$B$19))*(ISNUMBER(SEARCH($AB$8,Dienstplan!$DT$8:$EX$19)))))</f>
        <v>0</v>
      </c>
      <c r="I72">
        <f>SUMPRODUCT((ISNUMBER(SEARCH($Y7,Dienstplan!$B$8:$B$19))*(ISNUMBER(SEARCH($AB$9,Dienstplan!$DT$8:$EX$19)))))</f>
        <v>0</v>
      </c>
      <c r="J72">
        <f>SUMPRODUCT((ISNUMBER(SEARCH($Y7,Dienstplan!$B$8:$B$19))*(ISNUMBER(SEARCH($AB$10,Dienstplan!$DT$8:$EX$19)))))</f>
        <v>0</v>
      </c>
      <c r="K72">
        <f>SUMPRODUCT((ISNUMBER(SEARCH($Y7,Dienstplan!$B$8:$B$19))*(ISNUMBER(SEARCH($AB$11,Dienstplan!$DT$8:$EX$19)))))-$Q72</f>
        <v>0</v>
      </c>
      <c r="L72">
        <f>SUMPRODUCT((ISNUMBER(SEARCH($Y7,Dienstplan!$B$8:$B$19))*(ISNUMBER(SEARCH($AB$12,Dienstplan!$DT$8:$EX$19)))))</f>
        <v>0</v>
      </c>
      <c r="M72">
        <f>SUMPRODUCT((ISNUMBER(SEARCH($Y7,Dienstplan!$B$8:$B$19))*(ISNUMBER(SEARCH($AB$13,Dienstplan!$DT$8:$EX$19)))))</f>
        <v>0</v>
      </c>
      <c r="N72">
        <f>SUMPRODUCT((ISNUMBER(SEARCH($Y7,Dienstplan!$B$8:$B$19))*(ISNUMBER(SEARCH($AB$14,Dienstplan!$DT$8:$EX$19)))))</f>
        <v>0</v>
      </c>
      <c r="O72">
        <f>SUMPRODUCT((ISNUMBER(SEARCH($Y7,Dienstplan!$B$8:$B$19))*(ISNUMBER(SEARCH($AB$15,Dienstplan!$DT$8:$EX$19)))))</f>
        <v>0</v>
      </c>
      <c r="P72">
        <f>SUMPRODUCT((ISNUMBER(SEARCH($Y7,Dienstplan!$B$8:$B$19))*(ISNUMBER(SEARCH($AB$16,Dienstplan!$DT$8:$EX$19)))))</f>
        <v>0</v>
      </c>
      <c r="Q72">
        <f>SUMPRODUCT((ISNUMBER(SEARCH($Y7,Dienstplan!$B$8:$B$19))*(ISNUMBER(SEARCH($AB$17,Dienstplan!$DT$8:$EX$19)))))</f>
        <v>0</v>
      </c>
      <c r="R72">
        <f>SUMPRODUCT((ISNUMBER(SEARCH($Y7,Dienstplan!$B$8:$B$19))*(ISNUMBER(SEARCH($AB$18,Dienstplan!$DT$8:$EX$19)))))</f>
        <v>0</v>
      </c>
      <c r="S72" s="11">
        <f>SUMPRODUCT((ISNUMBER(SEARCH($Y7,Dienstplan!$B$8:$B$19))*(ISNUMBER(SEARCH($AB$19,Dienstplan!$DT$8:$EX$19)))))</f>
        <v>1</v>
      </c>
      <c r="T72">
        <f t="shared" si="24"/>
        <v>140</v>
      </c>
      <c r="U72" s="14">
        <f>SUM($C72*Frueh_1+$D72*Spaet_1+$E72*Nacht_1+$F72*Normal_1+$I72*Sonderd_1-$J72*Krie_B+$K72*Krie_B+$L72*EH_Kurs+$M72*Koor_taet+$N72*Sekre_1+$O72*Krie_B+$R72*Krie_B+$P72*Krie_B+$Q72*Krie_B+G72*Krie_B+H72*Krie_B)</f>
        <v>67.5</v>
      </c>
      <c r="V72" s="11">
        <f t="shared" si="26"/>
        <v>-72.5</v>
      </c>
      <c r="W72" s="20">
        <f t="shared" si="25"/>
        <v>-102.25</v>
      </c>
    </row>
    <row r="73" spans="1:23" x14ac:dyDescent="0.25">
      <c r="A73" s="11"/>
      <c r="B73" s="27" t="str">
        <f t="shared" si="23"/>
        <v>Zeller</v>
      </c>
      <c r="C73">
        <f>SUMPRODUCT((ISNUMBER(SEARCH($Y8,Dienstplan!$B$8:$B$19))*(ISNUMBER(SEARCH($AB$3,Dienstplan!$DT$8:$EX$19)))))-D73</f>
        <v>0</v>
      </c>
      <c r="D73">
        <f>SUMPRODUCT((ISNUMBER(SEARCH($Y8,Dienstplan!$B$8:$B$19))*(ISNUMBER(SEARCH($AB$4,Dienstplan!$DT$8:$EX$19)))))</f>
        <v>0</v>
      </c>
      <c r="E73">
        <f>SUMPRODUCT((ISNUMBER(SEARCH($Y8,Dienstplan!$B$8:$B$19))*(ISNUMBER(SEARCH($AB$5,Dienstplan!$DT$8:$EX$19)))))</f>
        <v>0</v>
      </c>
      <c r="F73">
        <f>SUMPRODUCT((ISNUMBER(SEARCH($Y8,Dienstplan!$B$8:$B$19))*(ISNUMBER(SEARCH($AB$6,Dienstplan!$DT$8:$EX$19)))))</f>
        <v>4</v>
      </c>
      <c r="G73">
        <f>SUMPRODUCT((ISNUMBER(SEARCH($Y8,Dienstplan!$B$8:$B$19))*(ISNUMBER(SEARCH($AB$7,Dienstplan!$DT$8:$EX$19)))))-H73</f>
        <v>0</v>
      </c>
      <c r="H73">
        <f>SUMPRODUCT((ISNUMBER(SEARCH($Y8,Dienstplan!$B$8:$B$19))*(ISNUMBER(SEARCH($AB$8,Dienstplan!$DT$8:$EX$19)))))</f>
        <v>0</v>
      </c>
      <c r="I73">
        <f>SUMPRODUCT((ISNUMBER(SEARCH($Y8,Dienstplan!$B$8:$B$19))*(ISNUMBER(SEARCH($AB$9,Dienstplan!$DT$8:$EX$19)))))</f>
        <v>0</v>
      </c>
      <c r="J73">
        <f>SUMPRODUCT((ISNUMBER(SEARCH($Y8,Dienstplan!$B$8:$B$19))*(ISNUMBER(SEARCH($AB$10,Dienstplan!$DT$8:$EX$19)))))</f>
        <v>0</v>
      </c>
      <c r="K73">
        <f>SUMPRODUCT((ISNUMBER(SEARCH($Y8,Dienstplan!$B$8:$B$19))*(ISNUMBER(SEARCH($AB$11,Dienstplan!$DT$8:$EX$19)))))-$Q73</f>
        <v>6</v>
      </c>
      <c r="L73">
        <f>SUMPRODUCT((ISNUMBER(SEARCH($Y8,Dienstplan!$B$8:$B$19))*(ISNUMBER(SEARCH($AB$12,Dienstplan!$DT$8:$EX$19)))))</f>
        <v>0</v>
      </c>
      <c r="M73">
        <f>SUMPRODUCT((ISNUMBER(SEARCH($Y8,Dienstplan!$B$8:$B$19))*(ISNUMBER(SEARCH($AB$13,Dienstplan!$DT$8:$EX$19)))))</f>
        <v>0</v>
      </c>
      <c r="N73">
        <f>SUMPRODUCT((ISNUMBER(SEARCH($Y8,Dienstplan!$B$8:$B$19))*(ISNUMBER(SEARCH($AB$14,Dienstplan!$DT$8:$EX$19)))))</f>
        <v>0</v>
      </c>
      <c r="O73">
        <f>SUMPRODUCT((ISNUMBER(SEARCH($Y8,Dienstplan!$B$8:$B$19))*(ISNUMBER(SEARCH($AB$15,Dienstplan!$DT$8:$EX$19)))))</f>
        <v>0</v>
      </c>
      <c r="P73">
        <f>SUMPRODUCT((ISNUMBER(SEARCH($Y8,Dienstplan!$B$8:$B$19))*(ISNUMBER(SEARCH($AB$16,Dienstplan!$DT$8:$EX$19)))))</f>
        <v>0</v>
      </c>
      <c r="Q73">
        <f>SUMPRODUCT((ISNUMBER(SEARCH($Y8,Dienstplan!$B$8:$B$19))*(ISNUMBER(SEARCH($AB$17,Dienstplan!$DT$8:$EX$19)))))</f>
        <v>0</v>
      </c>
      <c r="R73">
        <f>SUMPRODUCT((ISNUMBER(SEARCH($Y8,Dienstplan!$B$8:$B$19))*(ISNUMBER(SEARCH($AB$18,Dienstplan!$DT$8:$EX$19)))))</f>
        <v>0</v>
      </c>
      <c r="S73" s="11">
        <f>SUMPRODUCT((ISNUMBER(SEARCH($Y8,Dienstplan!$B$8:$B$19))*(ISNUMBER(SEARCH($AB$19,Dienstplan!$DT$8:$EX$19)))))</f>
        <v>1</v>
      </c>
      <c r="T73">
        <f t="shared" si="24"/>
        <v>160</v>
      </c>
      <c r="U73" s="14">
        <f>SUM($C73*Frueh_1+$D73*Spaet_1+$E73*Nacht_1+$F73*Normal_1+$I73*Sonderd_1-$J73*Muster+$K73*Muster+$L73*EH_Kurs+$M73*Koor_taet+$N73*Sekre_1+$O73*Muster+$P73*Muster+$Q73*Muster+$R73*Muster+G73*Muster+H73*Muster)</f>
        <v>78</v>
      </c>
      <c r="V73" s="11">
        <f t="shared" si="26"/>
        <v>-82</v>
      </c>
      <c r="W73" s="20">
        <f t="shared" si="25"/>
        <v>-166</v>
      </c>
    </row>
    <row r="74" spans="1:23" x14ac:dyDescent="0.25">
      <c r="A74" s="11"/>
      <c r="B74" s="27" t="str">
        <f t="shared" si="23"/>
        <v>Behrendt</v>
      </c>
      <c r="C74">
        <f>SUMPRODUCT((ISNUMBER(SEARCH($Y9,Dienstplan!$B$8:$B$19))*(ISNUMBER(SEARCH($AB$3,Dienstplan!$DT$8:$EX$19)))))-D74</f>
        <v>0</v>
      </c>
      <c r="D74">
        <f>SUMPRODUCT((ISNUMBER(SEARCH($Y9,Dienstplan!$B$8:$B$19))*(ISNUMBER(SEARCH($AB$4,Dienstplan!$DT$8:$EX$19)))))</f>
        <v>0</v>
      </c>
      <c r="E74">
        <f>SUMPRODUCT((ISNUMBER(SEARCH($Y9,Dienstplan!$B$8:$B$19))*(ISNUMBER(SEARCH($AB$5,Dienstplan!$DT$8:$EX$19)))))</f>
        <v>0</v>
      </c>
      <c r="F74">
        <f>SUMPRODUCT((ISNUMBER(SEARCH($Y9,Dienstplan!$B$8:$B$19))*(ISNUMBER(SEARCH($AB$6,Dienstplan!$DT$8:$EX$19)))))</f>
        <v>0</v>
      </c>
      <c r="G74">
        <f>SUMPRODUCT((ISNUMBER(SEARCH($Y9,Dienstplan!$B$8:$B$19))*(ISNUMBER(SEARCH($AB$7,Dienstplan!$DT$8:$EX$19)))))-H74</f>
        <v>0</v>
      </c>
      <c r="H74">
        <f>SUMPRODUCT((ISNUMBER(SEARCH($Y9,Dienstplan!$B$8:$B$19))*(ISNUMBER(SEARCH($AB$8,Dienstplan!$DT$8:$EX$19)))))</f>
        <v>0</v>
      </c>
      <c r="I74">
        <f>SUMPRODUCT((ISNUMBER(SEARCH($Y9,Dienstplan!$B$8:$B$19))*(ISNUMBER(SEARCH($AB$9,Dienstplan!$DT$8:$EX$19)))))</f>
        <v>0</v>
      </c>
      <c r="J74">
        <f>SUMPRODUCT((ISNUMBER(SEARCH($Y9,Dienstplan!$B$8:$B$19))*(ISNUMBER(SEARCH($AB$10,Dienstplan!$DT$8:$EX$19)))))</f>
        <v>0</v>
      </c>
      <c r="K74">
        <f>SUMPRODUCT((ISNUMBER(SEARCH($Y9,Dienstplan!$B$8:$B$19))*(ISNUMBER(SEARCH($AB$11,Dienstplan!$DT$8:$EX$19)))))-$Q74</f>
        <v>0</v>
      </c>
      <c r="L74">
        <f>SUMPRODUCT((ISNUMBER(SEARCH($Y9,Dienstplan!$B$8:$B$19))*(ISNUMBER(SEARCH($AB$12,Dienstplan!$DT$8:$EX$19)))))</f>
        <v>0</v>
      </c>
      <c r="M74">
        <f>SUMPRODUCT((ISNUMBER(SEARCH($Y9,Dienstplan!$B$8:$B$19))*(ISNUMBER(SEARCH($AB$13,Dienstplan!$DT$8:$EX$19)))))</f>
        <v>0</v>
      </c>
      <c r="N74">
        <f>SUMPRODUCT((ISNUMBER(SEARCH($Y9,Dienstplan!$B$8:$B$19))*(ISNUMBER(SEARCH($AB$14,Dienstplan!$DT$8:$EX$19)))))</f>
        <v>0</v>
      </c>
      <c r="O74">
        <f>SUMPRODUCT((ISNUMBER(SEARCH($Y9,Dienstplan!$B$8:$B$19))*(ISNUMBER(SEARCH($AB$15,Dienstplan!$DT$8:$EX$19)))))</f>
        <v>0</v>
      </c>
      <c r="P74">
        <f>SUMPRODUCT((ISNUMBER(SEARCH($Y9,Dienstplan!$B$8:$B$19))*(ISNUMBER(SEARCH($AB$16,Dienstplan!$DT$8:$EX$19)))))</f>
        <v>0</v>
      </c>
      <c r="Q74">
        <f>SUMPRODUCT((ISNUMBER(SEARCH($Y9,Dienstplan!$B$8:$B$19))*(ISNUMBER(SEARCH($AB$17,Dienstplan!$DT$8:$EX$19)))))</f>
        <v>0</v>
      </c>
      <c r="R74">
        <f>SUMPRODUCT((ISNUMBER(SEARCH($Y9,Dienstplan!$B$8:$B$19))*(ISNUMBER(SEARCH($AB$18,Dienstplan!$DT$8:$EX$19)))))</f>
        <v>0</v>
      </c>
      <c r="S74" s="11">
        <f>SUMPRODUCT((ISNUMBER(SEARCH($Y9,Dienstplan!$B$8:$B$19))*(ISNUMBER(SEARCH($AB$19,Dienstplan!$DT$8:$EX$19)))))</f>
        <v>0</v>
      </c>
      <c r="T74">
        <f t="shared" si="24"/>
        <v>140</v>
      </c>
      <c r="U74" s="14">
        <f>SUM($C74*Frueh_1+$D74*Spaet_1+$E74*Nacht_1+$F74*Normal_1+$I74*Sonderd_1-$J74*Muster+$K74*Muster+$L74*EH_Kurs+$M74*Koor_taet+$N74*Sekre_1+$O74*Muster+$P74*Muster+$Q74*Muster+$R74*Muster+G74*Muster+H74*Muster)</f>
        <v>0</v>
      </c>
      <c r="V74" s="11">
        <f t="shared" si="26"/>
        <v>-140</v>
      </c>
      <c r="W74" s="20">
        <f t="shared" si="25"/>
        <v>-185.95</v>
      </c>
    </row>
    <row r="75" spans="1:23" x14ac:dyDescent="0.25">
      <c r="A75" s="11"/>
      <c r="B75" s="27" t="str">
        <f t="shared" si="23"/>
        <v>Krempl</v>
      </c>
      <c r="C75">
        <f>SUMPRODUCT((ISNUMBER(SEARCH($Y10,Dienstplan!$B$8:$B$19))*(ISNUMBER(SEARCH($AB$3,Dienstplan!$DT$8:$EX$19)))))-D75</f>
        <v>0</v>
      </c>
      <c r="D75">
        <f>SUMPRODUCT((ISNUMBER(SEARCH($Y10,Dienstplan!$B$8:$B$19))*(ISNUMBER(SEARCH($AB$4,Dienstplan!$DT$8:$EX$19)))))</f>
        <v>0</v>
      </c>
      <c r="E75">
        <f>SUMPRODUCT((ISNUMBER(SEARCH($Y10,Dienstplan!$B$8:$B$19))*(ISNUMBER(SEARCH($AB$5,Dienstplan!$DT$8:$EX$19)))))</f>
        <v>0</v>
      </c>
      <c r="F75">
        <f>SUMPRODUCT((ISNUMBER(SEARCH($Y10,Dienstplan!$B$8:$B$19))*(ISNUMBER(SEARCH($AB$6,Dienstplan!$DT$8:$EX$19)))))</f>
        <v>0</v>
      </c>
      <c r="G75">
        <f>SUMPRODUCT((ISNUMBER(SEARCH($Y10,Dienstplan!$B$8:$B$19))*(ISNUMBER(SEARCH($AB$7,Dienstplan!$DT$8:$EX$19)))))-H75</f>
        <v>0</v>
      </c>
      <c r="H75">
        <f>SUMPRODUCT((ISNUMBER(SEARCH($Y10,Dienstplan!$B$8:$B$19))*(ISNUMBER(SEARCH($AB$8,Dienstplan!$DT$8:$EX$19)))))</f>
        <v>0</v>
      </c>
      <c r="I75">
        <f>SUMPRODUCT((ISNUMBER(SEARCH($Y10,Dienstplan!$B$8:$B$19))*(ISNUMBER(SEARCH($AB$9,Dienstplan!$DT$8:$EX$19)))))</f>
        <v>0</v>
      </c>
      <c r="J75">
        <f>SUMPRODUCT((ISNUMBER(SEARCH($Y10,Dienstplan!$B$8:$B$19))*(ISNUMBER(SEARCH($AB$10,Dienstplan!$DT$8:$EX$19)))))</f>
        <v>0</v>
      </c>
      <c r="K75">
        <f>SUMPRODUCT((ISNUMBER(SEARCH($Y10,Dienstplan!$B$8:$B$19))*(ISNUMBER(SEARCH($AB$11,Dienstplan!$DT$8:$EX$19)))))-$Q75</f>
        <v>5</v>
      </c>
      <c r="L75">
        <f>SUMPRODUCT((ISNUMBER(SEARCH($Y10,Dienstplan!$B$8:$B$19))*(ISNUMBER(SEARCH($AB$12,Dienstplan!$DT$8:$EX$19)))))</f>
        <v>0</v>
      </c>
      <c r="M75">
        <f>SUMPRODUCT((ISNUMBER(SEARCH($Y10,Dienstplan!$B$8:$B$19))*(ISNUMBER(SEARCH($AB$13,Dienstplan!$DT$8:$EX$19)))))</f>
        <v>0</v>
      </c>
      <c r="N75">
        <f>SUMPRODUCT((ISNUMBER(SEARCH($Y10,Dienstplan!$B$8:$B$19))*(ISNUMBER(SEARCH($AB$14,Dienstplan!$DT$8:$EX$19)))))</f>
        <v>0</v>
      </c>
      <c r="O75">
        <f>SUMPRODUCT((ISNUMBER(SEARCH($Y10,Dienstplan!$B$8:$B$19))*(ISNUMBER(SEARCH($AB$15,Dienstplan!$DT$8:$EX$19)))))</f>
        <v>0</v>
      </c>
      <c r="P75">
        <f>SUMPRODUCT((ISNUMBER(SEARCH($Y10,Dienstplan!$B$8:$B$19))*(ISNUMBER(SEARCH($AB$16,Dienstplan!$DT$8:$EX$19)))))</f>
        <v>0</v>
      </c>
      <c r="Q75">
        <f>SUMPRODUCT((ISNUMBER(SEARCH($Y10,Dienstplan!$B$8:$B$19))*(ISNUMBER(SEARCH($AB$17,Dienstplan!$DT$8:$EX$19)))))</f>
        <v>0</v>
      </c>
      <c r="R75">
        <f>SUMPRODUCT((ISNUMBER(SEARCH($Y10,Dienstplan!$B$8:$B$19))*(ISNUMBER(SEARCH($AB$18,Dienstplan!$DT$8:$EX$19)))))</f>
        <v>0</v>
      </c>
      <c r="S75" s="11">
        <f>SUMPRODUCT((ISNUMBER(SEARCH($Y10,Dienstplan!$B$8:$B$19))*(ISNUMBER(SEARCH($AB$19,Dienstplan!$DT$8:$EX$19)))))</f>
        <v>0</v>
      </c>
      <c r="T75">
        <f t="shared" si="24"/>
        <v>64</v>
      </c>
      <c r="U75" s="14">
        <f>SUM($C75*Frueh_1+$D75*Spaet_1+$E75*Nacht_1+$F75*Normal_1+$I75*Sonderd_1-$J75*Krem_E+$K75*Krem_E+$L75*EH_Kurs+$M75*Koor_taet+$N75*Sekre_1+$O75*Krem_E+$R75*Krem_E+$P75*Krem_E+$Q75*Krem_E+G75*Krem_E+H75*Krem_E)</f>
        <v>16</v>
      </c>
      <c r="V75" s="11">
        <f t="shared" si="26"/>
        <v>-48</v>
      </c>
      <c r="W75" s="20">
        <f t="shared" si="25"/>
        <v>-234.5</v>
      </c>
    </row>
    <row r="76" spans="1:23" x14ac:dyDescent="0.25">
      <c r="A76" s="11"/>
      <c r="B76" s="27" t="str">
        <f t="shared" si="23"/>
        <v>Putschler</v>
      </c>
      <c r="C76">
        <f>SUMPRODUCT((ISNUMBER(SEARCH($Y11,Dienstplan!$B$8:$B$19))*(ISNUMBER(SEARCH($AB$3,Dienstplan!$DT$8:$EX$19)))))-D76</f>
        <v>0</v>
      </c>
      <c r="D76">
        <f>SUMPRODUCT((ISNUMBER(SEARCH($Y11,Dienstplan!$B$8:$B$19))*(ISNUMBER(SEARCH($AB$4,Dienstplan!$DT$8:$EX$19)))))</f>
        <v>0</v>
      </c>
      <c r="E76">
        <f>SUMPRODUCT((ISNUMBER(SEARCH($Y11,Dienstplan!$B$8:$B$19))*(ISNUMBER(SEARCH($AB$5,Dienstplan!$DT$8:$EX$19)))))</f>
        <v>0</v>
      </c>
      <c r="F76">
        <f>SUMPRODUCT((ISNUMBER(SEARCH($Y11,Dienstplan!$B$8:$B$19))*(ISNUMBER(SEARCH($AB$6,Dienstplan!$DT$8:$EX$19)))))</f>
        <v>0</v>
      </c>
      <c r="G76">
        <f>SUMPRODUCT((ISNUMBER(SEARCH($Y11,Dienstplan!$B$8:$B$19))*(ISNUMBER(SEARCH($AB$7,Dienstplan!$DT$8:$EX$19)))))-H76</f>
        <v>0</v>
      </c>
      <c r="H76">
        <f>SUMPRODUCT((ISNUMBER(SEARCH($Y11,Dienstplan!$B$8:$B$19))*(ISNUMBER(SEARCH($AB$8,Dienstplan!$DT$8:$EX$19)))))</f>
        <v>0</v>
      </c>
      <c r="I76">
        <f>SUMPRODUCT((ISNUMBER(SEARCH($Y11,Dienstplan!$B$8:$B$19))*(ISNUMBER(SEARCH($AB$9,Dienstplan!$DT$8:$EX$19)))))</f>
        <v>0</v>
      </c>
      <c r="J76">
        <f>SUMPRODUCT((ISNUMBER(SEARCH($Y11,Dienstplan!$B$8:$B$19))*(ISNUMBER(SEARCH($AB$10,Dienstplan!$DT$8:$EX$19)))))</f>
        <v>0</v>
      </c>
      <c r="K76">
        <f>SUMPRODUCT((ISNUMBER(SEARCH($Y11,Dienstplan!$B$8:$B$19))*(ISNUMBER(SEARCH($AB$11,Dienstplan!$DT$8:$EX$19)))))-$Q76</f>
        <v>9</v>
      </c>
      <c r="L76">
        <f>SUMPRODUCT((ISNUMBER(SEARCH($Y11,Dienstplan!$B$8:$B$19))*(ISNUMBER(SEARCH($AB$12,Dienstplan!$DT$8:$EX$19)))))</f>
        <v>0</v>
      </c>
      <c r="M76">
        <f>SUMPRODUCT((ISNUMBER(SEARCH($Y11,Dienstplan!$B$8:$B$19))*(ISNUMBER(SEARCH($AB$13,Dienstplan!$DT$8:$EX$19)))))</f>
        <v>0</v>
      </c>
      <c r="N76">
        <f>SUMPRODUCT((ISNUMBER(SEARCH($Y11,Dienstplan!$B$8:$B$19))*(ISNUMBER(SEARCH($AB$14,Dienstplan!$DT$8:$EX$19)))))</f>
        <v>0</v>
      </c>
      <c r="O76">
        <f>SUMPRODUCT((ISNUMBER(SEARCH($Y11,Dienstplan!$B$8:$B$19))*(ISNUMBER(SEARCH($AB$15,Dienstplan!$DT$8:$EX$19)))))</f>
        <v>0</v>
      </c>
      <c r="P76">
        <f>SUMPRODUCT((ISNUMBER(SEARCH($Y11,Dienstplan!$B$8:$B$19))*(ISNUMBER(SEARCH($AB$16,Dienstplan!$DT$8:$EX$19)))))</f>
        <v>0</v>
      </c>
      <c r="Q76">
        <f>SUMPRODUCT((ISNUMBER(SEARCH($Y11,Dienstplan!$B$8:$B$19))*(ISNUMBER(SEARCH($AB$17,Dienstplan!$DT$8:$EX$19)))))</f>
        <v>0</v>
      </c>
      <c r="R76">
        <f>SUMPRODUCT((ISNUMBER(SEARCH($Y11,Dienstplan!$B$8:$B$19))*(ISNUMBER(SEARCH($AB$18,Dienstplan!$DT$8:$EX$19)))))</f>
        <v>0</v>
      </c>
      <c r="S76" s="11">
        <f>SUMPRODUCT((ISNUMBER(SEARCH($Y11,Dienstplan!$B$8:$B$19))*(ISNUMBER(SEARCH($AB$19,Dienstplan!$DT$8:$EX$19)))))</f>
        <v>0</v>
      </c>
      <c r="T76">
        <f t="shared" si="24"/>
        <v>160</v>
      </c>
      <c r="U76" s="14">
        <f>SUM($C76*Frueh_1+$D76*Spaet_1+$E76*Nacht_1+$F76*Normal_1+$I76*Sonderd_1-$J76*Put_W+$K76*Put_W+$L76*EH_Kurs+$M76*Koor_taet+$N76*Sekre_1+$O76*Put_W+$R76*Put_W+$P76*Put_W+$Q76*Put_W+G76*Put_W+H76*Put_W)</f>
        <v>72</v>
      </c>
      <c r="V76" s="11">
        <f t="shared" si="26"/>
        <v>-88</v>
      </c>
      <c r="W76" s="20">
        <f t="shared" si="25"/>
        <v>-89.5</v>
      </c>
    </row>
    <row r="77" spans="1:23" x14ac:dyDescent="0.25">
      <c r="A77" s="11"/>
      <c r="B77" s="27" t="str">
        <f t="shared" si="23"/>
        <v>Schmidt</v>
      </c>
      <c r="C77">
        <f>SUMPRODUCT((ISNUMBER(SEARCH($Y12,Dienstplan!$B$8:$B$19))*(ISNUMBER(SEARCH($AB$3,Dienstplan!$DT$8:$EX$19)))))-D77</f>
        <v>0</v>
      </c>
      <c r="D77">
        <f>SUMPRODUCT((ISNUMBER(SEARCH($Y12,Dienstplan!$B$8:$B$19))*(ISNUMBER(SEARCH($AB$4,Dienstplan!$DT$8:$EX$19)))))</f>
        <v>0</v>
      </c>
      <c r="E77">
        <f>SUMPRODUCT((ISNUMBER(SEARCH($Y12,Dienstplan!$B$8:$B$19))*(ISNUMBER(SEARCH($AB$5,Dienstplan!$DT$8:$EX$19)))))</f>
        <v>0</v>
      </c>
      <c r="F77">
        <f>SUMPRODUCT((ISNUMBER(SEARCH($Y12,Dienstplan!$B$8:$B$19))*(ISNUMBER(SEARCH($AB$6,Dienstplan!$DT$8:$EX$19)))))</f>
        <v>0</v>
      </c>
      <c r="G77">
        <f>SUMPRODUCT((ISNUMBER(SEARCH($Y12,Dienstplan!$B$8:$B$19))*(ISNUMBER(SEARCH($AB$7,Dienstplan!$DT$8:$EX$19)))))-H77</f>
        <v>0</v>
      </c>
      <c r="H77">
        <f>SUMPRODUCT((ISNUMBER(SEARCH($Y12,Dienstplan!$B$8:$B$19))*(ISNUMBER(SEARCH($AB$8,Dienstplan!$DT$8:$EX$19)))))</f>
        <v>0</v>
      </c>
      <c r="I77">
        <f>SUMPRODUCT((ISNUMBER(SEARCH($Y12,Dienstplan!$B$8:$B$19))*(ISNUMBER(SEARCH($AB$9,Dienstplan!$DT$8:$EX$19)))))</f>
        <v>0</v>
      </c>
      <c r="J77">
        <f>SUMPRODUCT((ISNUMBER(SEARCH($Y12,Dienstplan!$B$8:$B$19))*(ISNUMBER(SEARCH($AB$10,Dienstplan!$DT$8:$EX$19)))))</f>
        <v>0</v>
      </c>
      <c r="K77">
        <f>SUMPRODUCT((ISNUMBER(SEARCH($Y12,Dienstplan!$B$8:$B$19))*(ISNUMBER(SEARCH($AB$11,Dienstplan!$DT$8:$EX$19)))))-$Q77</f>
        <v>6</v>
      </c>
      <c r="L77">
        <f>SUMPRODUCT((ISNUMBER(SEARCH($Y12,Dienstplan!$B$8:$B$19))*(ISNUMBER(SEARCH($AB$12,Dienstplan!$DT$8:$EX$19)))))</f>
        <v>0</v>
      </c>
      <c r="M77">
        <f>SUMPRODUCT((ISNUMBER(SEARCH($Y12,Dienstplan!$B$8:$B$19))*(ISNUMBER(SEARCH($AB$13,Dienstplan!$DT$8:$EX$19)))))</f>
        <v>0</v>
      </c>
      <c r="N77">
        <f>SUMPRODUCT((ISNUMBER(SEARCH($Y12,Dienstplan!$B$8:$B$19))*(ISNUMBER(SEARCH($AB$14,Dienstplan!$DT$8:$EX$19)))))</f>
        <v>0</v>
      </c>
      <c r="O77">
        <f>SUMPRODUCT((ISNUMBER(SEARCH($Y12,Dienstplan!$B$8:$B$19))*(ISNUMBER(SEARCH($AB$15,Dienstplan!$DT$8:$EX$19)))))</f>
        <v>0</v>
      </c>
      <c r="P77">
        <f>SUMPRODUCT((ISNUMBER(SEARCH($Y12,Dienstplan!$B$8:$B$19))*(ISNUMBER(SEARCH($AB$16,Dienstplan!$DT$8:$EX$19)))))</f>
        <v>0</v>
      </c>
      <c r="Q77">
        <f>SUMPRODUCT((ISNUMBER(SEARCH($Y12,Dienstplan!$B$8:$B$19))*(ISNUMBER(SEARCH($AB$17,Dienstplan!$DT$8:$EX$19)))))</f>
        <v>0</v>
      </c>
      <c r="R77">
        <f>SUMPRODUCT((ISNUMBER(SEARCH($Y12,Dienstplan!$B$8:$B$19))*(ISNUMBER(SEARCH($AB$18,Dienstplan!$DT$8:$EX$19)))))</f>
        <v>0</v>
      </c>
      <c r="S77" s="11">
        <f>SUMPRODUCT((ISNUMBER(SEARCH($Y12,Dienstplan!$B$8:$B$19))*(ISNUMBER(SEARCH($AB$19,Dienstplan!$DT$8:$EX$19)))))</f>
        <v>0</v>
      </c>
      <c r="T77">
        <f t="shared" si="24"/>
        <v>140</v>
      </c>
      <c r="U77" s="14">
        <f>SUM($C77*Frueh_1+$D77*Spaet_1+$E77*Nacht_1+$F77*Normal_1+$I77*Sonderd_1-$J77*Radi_L+$K77*Radi_L+$L77*EH_Kurs+$M77*Koor_taet+$N77*Sekre_1+$O77*Radi_L+$R77*Radi_L+$P77*Radi_L+$Q77*Radi_L+G77*Radi_L+H77*Radi_L)</f>
        <v>42</v>
      </c>
      <c r="V77" s="11">
        <f t="shared" si="26"/>
        <v>-98</v>
      </c>
      <c r="W77" s="20">
        <f t="shared" si="25"/>
        <v>-658</v>
      </c>
    </row>
    <row r="78" spans="1:23" x14ac:dyDescent="0.25">
      <c r="A78" s="11"/>
      <c r="B78" s="27" t="str">
        <f t="shared" si="23"/>
        <v>Radimersky</v>
      </c>
      <c r="C78">
        <f>SUMPRODUCT((ISNUMBER(SEARCH($Y13,Dienstplan!$B$8:$B$19))*(ISNUMBER(SEARCH($AB$3,Dienstplan!$DT$8:$EX$19)))))-D78</f>
        <v>0</v>
      </c>
      <c r="D78">
        <f>SUMPRODUCT((ISNUMBER(SEARCH($Y13,Dienstplan!$B$8:$B$19))*(ISNUMBER(SEARCH($AB$4,Dienstplan!$DT$8:$EX$19)))))</f>
        <v>0</v>
      </c>
      <c r="E78">
        <f>SUMPRODUCT((ISNUMBER(SEARCH($Y13,Dienstplan!$B$8:$B$19))*(ISNUMBER(SEARCH($AB$5,Dienstplan!$DT$8:$EX$19)))))</f>
        <v>0</v>
      </c>
      <c r="F78">
        <f>SUMPRODUCT((ISNUMBER(SEARCH($Y13,Dienstplan!$B$8:$B$19))*(ISNUMBER(SEARCH($AB$6,Dienstplan!$DT$8:$EX$19)))))</f>
        <v>0</v>
      </c>
      <c r="G78">
        <f>SUMPRODUCT((ISNUMBER(SEARCH($Y13,Dienstplan!$B$8:$B$19))*(ISNUMBER(SEARCH($AB$7,Dienstplan!$DT$8:$EX$19)))))-H78</f>
        <v>0</v>
      </c>
      <c r="H78">
        <f>SUMPRODUCT((ISNUMBER(SEARCH($Y13,Dienstplan!$B$8:$B$19))*(ISNUMBER(SEARCH($AB$8,Dienstplan!$DT$8:$EX$19)))))</f>
        <v>0</v>
      </c>
      <c r="I78">
        <f>SUMPRODUCT((ISNUMBER(SEARCH($Y13,Dienstplan!$B$8:$B$19))*(ISNUMBER(SEARCH($AB$9,Dienstplan!$DT$8:$EX$19)))))</f>
        <v>0</v>
      </c>
      <c r="J78">
        <f>SUMPRODUCT((ISNUMBER(SEARCH($Y13,Dienstplan!$B$8:$B$19))*(ISNUMBER(SEARCH($AB$10,Dienstplan!$DT$8:$EX$19)))))</f>
        <v>0</v>
      </c>
      <c r="K78">
        <f>SUMPRODUCT((ISNUMBER(SEARCH($Y13,Dienstplan!$B$8:$B$19))*(ISNUMBER(SEARCH($AB$11,Dienstplan!$DT$8:$EX$19)))))-$Q78</f>
        <v>5</v>
      </c>
      <c r="L78">
        <f>SUMPRODUCT((ISNUMBER(SEARCH($Y13,Dienstplan!$B$8:$B$19))*(ISNUMBER(SEARCH($AB$12,Dienstplan!$DT$8:$EX$19)))))</f>
        <v>0</v>
      </c>
      <c r="M78">
        <f>SUMPRODUCT((ISNUMBER(SEARCH($Y13,Dienstplan!$B$8:$B$19))*(ISNUMBER(SEARCH($AB$13,Dienstplan!$DT$8:$EX$19)))))</f>
        <v>0</v>
      </c>
      <c r="N78">
        <f>SUMPRODUCT((ISNUMBER(SEARCH($Y13,Dienstplan!$B$8:$B$19))*(ISNUMBER(SEARCH($AB$14,Dienstplan!$DT$8:$EX$19)))))</f>
        <v>0</v>
      </c>
      <c r="O78">
        <f>SUMPRODUCT((ISNUMBER(SEARCH($Y13,Dienstplan!$B$8:$B$19))*(ISNUMBER(SEARCH($AB$15,Dienstplan!$DT$8:$EX$19)))))</f>
        <v>0</v>
      </c>
      <c r="P78">
        <f>SUMPRODUCT((ISNUMBER(SEARCH($Y13,Dienstplan!$B$8:$B$19))*(ISNUMBER(SEARCH($AB$16,Dienstplan!$DT$8:$EX$19)))))</f>
        <v>0</v>
      </c>
      <c r="Q78">
        <f>SUMPRODUCT((ISNUMBER(SEARCH($Y13,Dienstplan!$B$8:$B$19))*(ISNUMBER(SEARCH($AB$17,Dienstplan!$DT$8:$EX$19)))))</f>
        <v>0</v>
      </c>
      <c r="R78">
        <f>SUMPRODUCT((ISNUMBER(SEARCH($Y13,Dienstplan!$B$8:$B$19))*(ISNUMBER(SEARCH($AB$18,Dienstplan!$DT$8:$EX$19)))))</f>
        <v>0</v>
      </c>
      <c r="S78" s="11">
        <f>SUMPRODUCT((ISNUMBER(SEARCH($Y13,Dienstplan!$B$8:$B$19))*(ISNUMBER(SEARCH($AB$19,Dienstplan!$DT$8:$EX$19)))))</f>
        <v>0</v>
      </c>
      <c r="T78">
        <f t="shared" si="24"/>
        <v>60</v>
      </c>
      <c r="U78" s="14">
        <f>SUM($C78*Frueh_1+$D78*Spaet_1+$E78*Nacht_1+$F78*Normal_1+$I78*Sonderd_1-$J78*Fortenb+$K78*Fortenb+$L78*EH_Kurs+$M78*Koor_taet+$N78*Sekre_1+$O78*Fortenb+$R78*Fortenb+$P78*Fortenb+$Q78*Fortenb+G78*Fortenb+H78*Fortenb)</f>
        <v>15</v>
      </c>
      <c r="V78" s="11">
        <f t="shared" si="26"/>
        <v>-45</v>
      </c>
      <c r="W78" s="20">
        <f t="shared" si="25"/>
        <v>-267</v>
      </c>
    </row>
    <row r="79" spans="1:23" x14ac:dyDescent="0.25">
      <c r="A79" s="11"/>
      <c r="B79" s="27"/>
      <c r="S79" s="11"/>
      <c r="V79" s="11"/>
      <c r="W79" s="20"/>
    </row>
    <row r="80" spans="1:23" x14ac:dyDescent="0.25">
      <c r="A80" s="11"/>
      <c r="B80" s="27" t="s">
        <v>23</v>
      </c>
      <c r="C80" s="4">
        <f t="shared" ref="C80:S80" si="27">SUM(C68:C79)</f>
        <v>0</v>
      </c>
      <c r="D80" s="4">
        <f t="shared" si="27"/>
        <v>0</v>
      </c>
      <c r="E80" s="4">
        <f t="shared" si="27"/>
        <v>10</v>
      </c>
      <c r="F80" s="4">
        <f t="shared" si="27"/>
        <v>19</v>
      </c>
      <c r="G80" s="4">
        <f t="shared" si="27"/>
        <v>0</v>
      </c>
      <c r="H80" s="4">
        <f t="shared" si="27"/>
        <v>0</v>
      </c>
      <c r="I80" s="4">
        <f t="shared" si="27"/>
        <v>0</v>
      </c>
      <c r="J80" s="4">
        <f t="shared" si="27"/>
        <v>1</v>
      </c>
      <c r="K80" s="4">
        <f t="shared" si="27"/>
        <v>42</v>
      </c>
      <c r="L80" s="4">
        <f t="shared" si="27"/>
        <v>0</v>
      </c>
      <c r="M80" s="4">
        <f t="shared" si="27"/>
        <v>0</v>
      </c>
      <c r="N80" s="4">
        <f t="shared" si="27"/>
        <v>0</v>
      </c>
      <c r="O80" s="4">
        <f t="shared" si="27"/>
        <v>0</v>
      </c>
      <c r="P80" s="4">
        <f t="shared" si="27"/>
        <v>0</v>
      </c>
      <c r="Q80" s="4">
        <f t="shared" si="27"/>
        <v>0</v>
      </c>
      <c r="R80" s="4">
        <f t="shared" si="27"/>
        <v>0</v>
      </c>
      <c r="S80" s="13">
        <f t="shared" si="27"/>
        <v>4</v>
      </c>
      <c r="T80" s="4">
        <f>SUM(T68:T76)</f>
        <v>1264</v>
      </c>
      <c r="U80" s="4">
        <f>SUM(U68:U76)</f>
        <v>433.5</v>
      </c>
      <c r="V80" s="13"/>
      <c r="W80" s="21"/>
    </row>
    <row r="81" spans="1:23" x14ac:dyDescent="0.25">
      <c r="A81" s="11"/>
      <c r="B81" s="12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2"/>
      <c r="T81" s="1"/>
      <c r="U81" s="1"/>
      <c r="V81" s="12"/>
      <c r="W81" s="17"/>
    </row>
    <row r="82" spans="1:23" x14ac:dyDescent="0.25">
      <c r="A82" s="11"/>
      <c r="B82" s="26" t="s">
        <v>27</v>
      </c>
      <c r="D82" s="365" t="s">
        <v>34</v>
      </c>
      <c r="E82" s="366"/>
      <c r="F82" s="36">
        <v>21</v>
      </c>
      <c r="G82" s="109"/>
      <c r="H82" s="18"/>
      <c r="I82" s="365" t="s">
        <v>51</v>
      </c>
      <c r="J82" s="366"/>
      <c r="K82" s="36">
        <v>4</v>
      </c>
      <c r="S82" s="11"/>
      <c r="V82" s="11"/>
      <c r="W82" s="20"/>
    </row>
    <row r="83" spans="1:23" x14ac:dyDescent="0.25">
      <c r="A83" s="11"/>
      <c r="B83" s="11"/>
      <c r="C83" s="4" t="str">
        <f>Jahr!C3</f>
        <v>FI</v>
      </c>
      <c r="D83" s="4" t="str">
        <f>Jahr!D3</f>
        <v>FII</v>
      </c>
      <c r="E83" s="4" t="str">
        <f>Jahr!E3</f>
        <v>SI</v>
      </c>
      <c r="F83" s="4" t="str">
        <f>Jahr!F3</f>
        <v>NI</v>
      </c>
      <c r="G83" s="4" t="str">
        <f>Jahr!G3</f>
        <v>DI</v>
      </c>
      <c r="H83" s="4" t="str">
        <f>Jahr!H3</f>
        <v>DII</v>
      </c>
      <c r="I83" s="4" t="str">
        <f>Jahr!I3</f>
        <v>SD</v>
      </c>
      <c r="J83" s="4" t="str">
        <f>Jahr!J3</f>
        <v>GT</v>
      </c>
      <c r="K83" s="4" t="str">
        <f>Jahr!K3</f>
        <v>U</v>
      </c>
      <c r="L83" s="4" t="str">
        <f>Jahr!L3</f>
        <v>EH</v>
      </c>
      <c r="M83" s="4" t="str">
        <f>Jahr!M3</f>
        <v>KT</v>
      </c>
      <c r="N83" s="4" t="str">
        <f>Jahr!N3</f>
        <v>Sek</v>
      </c>
      <c r="O83" s="4" t="str">
        <f>Jahr!O3</f>
        <v>Fobi</v>
      </c>
      <c r="P83" s="4" t="str">
        <f>Jahr!P3</f>
        <v>A</v>
      </c>
      <c r="Q83" s="4" t="str">
        <f>Jahr!Q3</f>
        <v>Kur</v>
      </c>
      <c r="R83" s="4" t="str">
        <f>Jahr!R3</f>
        <v>FZC</v>
      </c>
      <c r="S83" s="4" t="str">
        <f>Jahr!S3</f>
        <v>NST</v>
      </c>
      <c r="T83" s="15" t="s">
        <v>37</v>
      </c>
      <c r="U83" s="15" t="s">
        <v>38</v>
      </c>
      <c r="V83" s="13" t="s">
        <v>39</v>
      </c>
      <c r="W83" s="21" t="s">
        <v>52</v>
      </c>
    </row>
    <row r="84" spans="1:23" x14ac:dyDescent="0.25">
      <c r="A84" s="11"/>
      <c r="B84" s="27" t="str">
        <f t="shared" ref="B84:B94" si="28">B4</f>
        <v>Breig</v>
      </c>
      <c r="C84">
        <f>SUMPRODUCT((ISNUMBER(SEARCH($Y3,Dienstplan!$B$8:$B$19))*(ISNUMBER(SEARCH($AB$3,Dienstplan!$EY$8:$GB$19)))))-D84</f>
        <v>0</v>
      </c>
      <c r="D84">
        <f>SUMPRODUCT((ISNUMBER(SEARCH($Y3,Dienstplan!$B$8:$B$19))*(ISNUMBER(SEARCH($AB$4,Dienstplan!$EY$8:$GB$19)))))</f>
        <v>0</v>
      </c>
      <c r="E84">
        <f>SUMPRODUCT((ISNUMBER(SEARCH($Y3,Dienstplan!$B$8:$B$19))*(ISNUMBER(SEARCH($AB$5,Dienstplan!$EY$8:$GB$19)))))</f>
        <v>0</v>
      </c>
      <c r="F84">
        <f>SUMPRODUCT((ISNUMBER(SEARCH($Y3,Dienstplan!$B$8:$B$19))*(ISNUMBER(SEARCH($AB$6,Dienstplan!$EY$8:$GB$19)))))</f>
        <v>3</v>
      </c>
      <c r="G84">
        <f>SUMPRODUCT((ISNUMBER(SEARCH($Y3,Dienstplan!$B$8:$B$19))*(ISNUMBER(SEARCH($AB$7,Dienstplan!$EY$8:$GB$19)))))-H84</f>
        <v>0</v>
      </c>
      <c r="H84">
        <f>SUMPRODUCT((ISNUMBER(SEARCH($Y3,Dienstplan!$B$8:$B$19))*(ISNUMBER(SEARCH($AB$8,Dienstplan!$EY$8:$GB$19)))))</f>
        <v>0</v>
      </c>
      <c r="I84">
        <f>SUMPRODUCT((ISNUMBER(SEARCH($Y3,Dienstplan!$B$8:$B$19))*(ISNUMBER(SEARCH($AB$9,Dienstplan!$EY$8:$GB$19)))))</f>
        <v>0</v>
      </c>
      <c r="J84">
        <f>SUMPRODUCT((ISNUMBER(SEARCH($Y3,Dienstplan!$B$8:$B$19))*(ISNUMBER(SEARCH($AB$10,Dienstplan!$EY$8:$GB$19)))))</f>
        <v>0</v>
      </c>
      <c r="K84">
        <f>SUMPRODUCT((ISNUMBER(SEARCH($Y3,Dienstplan!$B$8:$B$19))*(ISNUMBER(SEARCH($AB$11,Dienstplan!$EY$8:$GB$19)))))-$Q84</f>
        <v>3</v>
      </c>
      <c r="L84">
        <f>SUMPRODUCT((ISNUMBER(SEARCH($Y3,Dienstplan!$B$8:$B$19))*(ISNUMBER(SEARCH($AB$12,Dienstplan!$EY$8:$GB$19)))))</f>
        <v>0</v>
      </c>
      <c r="M84">
        <f>SUMPRODUCT((ISNUMBER(SEARCH($Y3,Dienstplan!$B$8:$B$19))*(ISNUMBER(SEARCH($AB$13,Dienstplan!$EY$8:$GB$19)))))</f>
        <v>0</v>
      </c>
      <c r="N84">
        <f>SUMPRODUCT((ISNUMBER(SEARCH($Y3,Dienstplan!$B$8:$B$19))*(ISNUMBER(SEARCH($AB$14,Dienstplan!$EY$8:$GB$19)))))</f>
        <v>0</v>
      </c>
      <c r="O84">
        <f>SUMPRODUCT((ISNUMBER(SEARCH($Y3,Dienstplan!$B$8:$B$19))*(ISNUMBER(SEARCH($AB$15,Dienstplan!$EY$8:$GB$19)))))</f>
        <v>0</v>
      </c>
      <c r="P84">
        <f>SUMPRODUCT((ISNUMBER(SEARCH($Y3,Dienstplan!$B$8:$B$19))*(ISNUMBER(SEARCH($AB$16,Dienstplan!$EY$8:$GB$19)))))</f>
        <v>0</v>
      </c>
      <c r="Q84">
        <f>SUMPRODUCT((ISNUMBER(SEARCH($Y3,Dienstplan!$B$8:$B$19))*(ISNUMBER(SEARCH($AB$17,Dienstplan!$EY$8:$GB$19)))))</f>
        <v>0</v>
      </c>
      <c r="R84">
        <f>SUMPRODUCT((ISNUMBER(SEARCH($Y3,Dienstplan!$B$8:$B$19))*(ISNUMBER(SEARCH($AB$18,Dienstplan!$EY$8:$GB$19)))))</f>
        <v>0</v>
      </c>
      <c r="S84" s="11">
        <f>SUMPRODUCT((ISNUMBER(SEARCH($Y3,Dienstplan!$B$8:$B$19))*(ISNUMBER(SEARCH($AB$19,Dienstplan!$EY$8:$GB$19)))))</f>
        <v>0</v>
      </c>
      <c r="T84">
        <f t="shared" ref="T84:T94" si="29">SUM($F$82*$Z3)</f>
        <v>168</v>
      </c>
      <c r="U84" s="14">
        <f>SUM($C84*Frueh_1+$D84*Spaet_1+$E84*Nacht_1+$F84*Normal_1+$I84*Sonderd_1-$J84*Velten+$K84*Velten+$L84*EH_Kurs+$M84*Koor_taet+$N84*Sekre_1+$O84*Velten+$R84*Velten+$P84*Velten+$Q84*Velten+G84*Velt_M+H84*Velt_M)</f>
        <v>46.5</v>
      </c>
      <c r="V84" s="11">
        <f>SUM($U84-$T84)</f>
        <v>-121.5</v>
      </c>
      <c r="W84" s="20">
        <f t="shared" ref="W84:W94" si="30">V84+W68</f>
        <v>-260.75</v>
      </c>
    </row>
    <row r="85" spans="1:23" x14ac:dyDescent="0.25">
      <c r="A85" s="11"/>
      <c r="B85" s="27" t="str">
        <f t="shared" si="28"/>
        <v>Siebert</v>
      </c>
      <c r="C85">
        <f>SUMPRODUCT((ISNUMBER(SEARCH($Y4,Dienstplan!$B$8:$B$19))*(ISNUMBER(SEARCH($AB$3,Dienstplan!$EY$8:$GB$19)))))-D85</f>
        <v>0</v>
      </c>
      <c r="D85">
        <f>SUMPRODUCT((ISNUMBER(SEARCH($Y4,Dienstplan!$B$8:$B$19))*(ISNUMBER(SEARCH($AB$4,Dienstplan!$EY$8:$GB$19)))))</f>
        <v>0</v>
      </c>
      <c r="E85">
        <f>SUMPRODUCT((ISNUMBER(SEARCH($Y4,Dienstplan!$B$8:$B$19))*(ISNUMBER(SEARCH($AB$5,Dienstplan!$EY$8:$GB$19)))))</f>
        <v>5</v>
      </c>
      <c r="F85">
        <f>SUMPRODUCT((ISNUMBER(SEARCH($Y4,Dienstplan!$B$8:$B$19))*(ISNUMBER(SEARCH($AB$6,Dienstplan!$EY$8:$GB$19)))))</f>
        <v>2</v>
      </c>
      <c r="G85">
        <f>SUMPRODUCT((ISNUMBER(SEARCH($Y4,Dienstplan!$B$8:$B$19))*(ISNUMBER(SEARCH($AB$7,Dienstplan!$EY$8:$GB$19)))))-H85</f>
        <v>0</v>
      </c>
      <c r="H85">
        <f>SUMPRODUCT((ISNUMBER(SEARCH($Y4,Dienstplan!$B$8:$B$19))*(ISNUMBER(SEARCH($AB$8,Dienstplan!$EY$8:$GB$19)))))</f>
        <v>0</v>
      </c>
      <c r="I85">
        <f>SUMPRODUCT((ISNUMBER(SEARCH($Y4,Dienstplan!$B$8:$B$19))*(ISNUMBER(SEARCH($AB$9,Dienstplan!$EY$8:$GB$19)))))</f>
        <v>0</v>
      </c>
      <c r="J85">
        <f>SUMPRODUCT((ISNUMBER(SEARCH($Y4,Dienstplan!$B$8:$B$19))*(ISNUMBER(SEARCH($AB$10,Dienstplan!$EY$8:$GB$19)))))</f>
        <v>0</v>
      </c>
      <c r="K85">
        <f>SUMPRODUCT((ISNUMBER(SEARCH($Y4,Dienstplan!$B$8:$B$19))*(ISNUMBER(SEARCH($AB$11,Dienstplan!$EY$8:$GB$19)))))-$Q85</f>
        <v>2</v>
      </c>
      <c r="L85">
        <f>SUMPRODUCT((ISNUMBER(SEARCH($Y4,Dienstplan!$B$8:$B$19))*(ISNUMBER(SEARCH($AB$12,Dienstplan!$EY$8:$GB$19)))))</f>
        <v>0</v>
      </c>
      <c r="M85">
        <f>SUMPRODUCT((ISNUMBER(SEARCH($Y4,Dienstplan!$B$8:$B$19))*(ISNUMBER(SEARCH($AB$13,Dienstplan!$EY$8:$GB$19)))))</f>
        <v>0</v>
      </c>
      <c r="N85">
        <f>SUMPRODUCT((ISNUMBER(SEARCH($Y4,Dienstplan!$B$8:$B$19))*(ISNUMBER(SEARCH($AB$14,Dienstplan!$EY$8:$GB$19)))))</f>
        <v>0</v>
      </c>
      <c r="O85">
        <f>SUMPRODUCT((ISNUMBER(SEARCH($Y4,Dienstplan!$B$8:$B$19))*(ISNUMBER(SEARCH($AB$15,Dienstplan!$EY$8:$GB$19)))))</f>
        <v>0</v>
      </c>
      <c r="P85">
        <f>SUMPRODUCT((ISNUMBER(SEARCH($Y4,Dienstplan!$B$8:$B$19))*(ISNUMBER(SEARCH($AB$16,Dienstplan!$EY$8:$GB$19)))))</f>
        <v>0</v>
      </c>
      <c r="Q85">
        <f>SUMPRODUCT((ISNUMBER(SEARCH($Y4,Dienstplan!$B$8:$B$19))*(ISNUMBER(SEARCH($AB$17,Dienstplan!$EY$8:$GB$19)))))</f>
        <v>0</v>
      </c>
      <c r="R85">
        <f>SUMPRODUCT((ISNUMBER(SEARCH($Y4,Dienstplan!$B$8:$B$19))*(ISNUMBER(SEARCH($AB$18,Dienstplan!$EY$8:$GB$19)))))</f>
        <v>0</v>
      </c>
      <c r="S85" s="11">
        <f>SUMPRODUCT((ISNUMBER(SEARCH($Y4,Dienstplan!$B$8:$B$19))*(ISNUMBER(SEARCH($AB$19,Dienstplan!$EY$8:$GB$19)))))</f>
        <v>1</v>
      </c>
      <c r="T85">
        <f t="shared" si="29"/>
        <v>147</v>
      </c>
      <c r="U85" s="14">
        <f>SUM($C85*Frueh_1+$D85*Spaet_1+$E85*Nacht_1+$F85*Normal_1+$I85*Sonderd_1-$J85*Brue_H+$K85*Brue_H+$L85*EH_Kurs+$M85*Koor_taet+$N85*Sekre_1+$O85*Brue_H+$R85*Brue_H+$P85*Brue_H+$Q85*Brue_H+G85*Brue_H+H85*Brue_H)</f>
        <v>66.5</v>
      </c>
      <c r="V85" s="11">
        <f t="shared" ref="V85:V94" si="31">SUM($U85-$T85)</f>
        <v>-80.5</v>
      </c>
      <c r="W85" s="20">
        <f t="shared" si="30"/>
        <v>-128.75</v>
      </c>
    </row>
    <row r="86" spans="1:23" x14ac:dyDescent="0.25">
      <c r="A86" s="11"/>
      <c r="B86" s="27" t="str">
        <f t="shared" si="28"/>
        <v>Jochim</v>
      </c>
      <c r="C86">
        <f>SUMPRODUCT((ISNUMBER(SEARCH($Y5,Dienstplan!$B$8:$B$19))*(ISNUMBER(SEARCH($AB$3,Dienstplan!$EY$8:$GB$19)))))-D86</f>
        <v>0</v>
      </c>
      <c r="D86">
        <f>SUMPRODUCT((ISNUMBER(SEARCH($Y5,Dienstplan!$B$8:$B$19))*(ISNUMBER(SEARCH($AB$4,Dienstplan!$EY$8:$GB$19)))))</f>
        <v>0</v>
      </c>
      <c r="E86">
        <f>SUMPRODUCT((ISNUMBER(SEARCH($Y5,Dienstplan!$B$8:$B$19))*(ISNUMBER(SEARCH($AB$5,Dienstplan!$EY$8:$GB$19)))))</f>
        <v>0</v>
      </c>
      <c r="F86">
        <f>SUMPRODUCT((ISNUMBER(SEARCH($Y5,Dienstplan!$B$8:$B$19))*(ISNUMBER(SEARCH($AB$6,Dienstplan!$EY$8:$GB$19)))))</f>
        <v>0</v>
      </c>
      <c r="G86">
        <f>SUMPRODUCT((ISNUMBER(SEARCH($Y5,Dienstplan!$B$8:$B$19))*(ISNUMBER(SEARCH($AB$7,Dienstplan!$EY$8:$GB$19)))))-H86</f>
        <v>0</v>
      </c>
      <c r="H86">
        <f>SUMPRODUCT((ISNUMBER(SEARCH($Y5,Dienstplan!$B$8:$B$19))*(ISNUMBER(SEARCH($AB$8,Dienstplan!$EY$8:$GB$19)))))</f>
        <v>0</v>
      </c>
      <c r="I86">
        <f>SUMPRODUCT((ISNUMBER(SEARCH($Y5,Dienstplan!$B$8:$B$19))*(ISNUMBER(SEARCH($AB$9,Dienstplan!$EY$8:$GB$19)))))</f>
        <v>0</v>
      </c>
      <c r="J86">
        <f>SUMPRODUCT((ISNUMBER(SEARCH($Y5,Dienstplan!$B$8:$B$19))*(ISNUMBER(SEARCH($AB$10,Dienstplan!$EY$8:$GB$19)))))</f>
        <v>0</v>
      </c>
      <c r="K86">
        <f>SUMPRODUCT((ISNUMBER(SEARCH($Y5,Dienstplan!$B$8:$B$19))*(ISNUMBER(SEARCH($AB$11,Dienstplan!$EY$8:$GB$19)))))-$Q86</f>
        <v>0</v>
      </c>
      <c r="L86">
        <f>SUMPRODUCT((ISNUMBER(SEARCH($Y5,Dienstplan!$B$8:$B$19))*(ISNUMBER(SEARCH($AB$12,Dienstplan!$EY$8:$GB$19)))))</f>
        <v>0</v>
      </c>
      <c r="M86">
        <f>SUMPRODUCT((ISNUMBER(SEARCH($Y5,Dienstplan!$B$8:$B$19))*(ISNUMBER(SEARCH($AB$13,Dienstplan!$EY$8:$GB$19)))))</f>
        <v>0</v>
      </c>
      <c r="N86">
        <f>SUMPRODUCT((ISNUMBER(SEARCH($Y5,Dienstplan!$B$8:$B$19))*(ISNUMBER(SEARCH($AB$14,Dienstplan!$EY$8:$GB$19)))))</f>
        <v>0</v>
      </c>
      <c r="O86">
        <f>SUMPRODUCT((ISNUMBER(SEARCH($Y5,Dienstplan!$B$8:$B$19))*(ISNUMBER(SEARCH($AB$15,Dienstplan!$EY$8:$GB$19)))))</f>
        <v>0</v>
      </c>
      <c r="P86">
        <f>SUMPRODUCT((ISNUMBER(SEARCH($Y5,Dienstplan!$B$8:$B$19))*(ISNUMBER(SEARCH($AB$16,Dienstplan!$EY$8:$GB$19)))))</f>
        <v>0</v>
      </c>
      <c r="Q86">
        <f>SUMPRODUCT((ISNUMBER(SEARCH($Y5,Dienstplan!$B$8:$B$19))*(ISNUMBER(SEARCH($AB$17,Dienstplan!$EY$8:$GB$19)))))</f>
        <v>0</v>
      </c>
      <c r="R86">
        <f>SUMPRODUCT((ISNUMBER(SEARCH($Y5,Dienstplan!$B$8:$B$19))*(ISNUMBER(SEARCH($AB$18,Dienstplan!$EY$8:$GB$19)))))</f>
        <v>0</v>
      </c>
      <c r="S86" s="11">
        <f>SUMPRODUCT((ISNUMBER(SEARCH($Y5,Dienstplan!$B$8:$B$19))*(ISNUMBER(SEARCH($AB$19,Dienstplan!$EY$8:$GB$19)))))</f>
        <v>0</v>
      </c>
      <c r="T86">
        <f t="shared" si="29"/>
        <v>147</v>
      </c>
      <c r="U86" s="14">
        <f>SUM($C86*Frueh_1+$D86*Spaet_1+$E86*Nacht_1+$F86*Normal_1+$I86*Sonderd_1-$J86*Rath_M+$K86*Rath_M+$L86*EH_Kurs+$M86*Koor_taet+$N86*Sekre_1+$O86*Rath_M+$R86*Rath_M+$P86*Rath_M+$Q86*Rath_M+G86*Rath_M+H86*Rath_M)</f>
        <v>0</v>
      </c>
      <c r="V86" s="11">
        <f t="shared" si="31"/>
        <v>-147</v>
      </c>
      <c r="W86" s="20">
        <f t="shared" si="30"/>
        <v>-599</v>
      </c>
    </row>
    <row r="87" spans="1:23" x14ac:dyDescent="0.25">
      <c r="A87" s="11"/>
      <c r="B87" s="27" t="str">
        <f t="shared" si="28"/>
        <v>Wunsch</v>
      </c>
      <c r="C87">
        <f>SUMPRODUCT((ISNUMBER(SEARCH($Y6,Dienstplan!$B$8:$B$19))*(ISNUMBER(SEARCH($AB$3,Dienstplan!$EY$8:$GB$19)))))-D87</f>
        <v>0</v>
      </c>
      <c r="D87">
        <f>SUMPRODUCT((ISNUMBER(SEARCH($Y6,Dienstplan!$B$8:$B$19))*(ISNUMBER(SEARCH($AB$4,Dienstplan!$EY$8:$GB$19)))))</f>
        <v>0</v>
      </c>
      <c r="E87">
        <f>SUMPRODUCT((ISNUMBER(SEARCH($Y6,Dienstplan!$B$8:$B$19))*(ISNUMBER(SEARCH($AB$5,Dienstplan!$EY$8:$GB$19)))))</f>
        <v>3</v>
      </c>
      <c r="F87">
        <f>SUMPRODUCT((ISNUMBER(SEARCH($Y6,Dienstplan!$B$8:$B$19))*(ISNUMBER(SEARCH($AB$6,Dienstplan!$EY$8:$GB$19)))))</f>
        <v>0</v>
      </c>
      <c r="G87">
        <f>SUMPRODUCT((ISNUMBER(SEARCH($Y6,Dienstplan!$B$8:$B$19))*(ISNUMBER(SEARCH($AB$7,Dienstplan!$EY$8:$GB$19)))))-H87</f>
        <v>0</v>
      </c>
      <c r="H87">
        <f>SUMPRODUCT((ISNUMBER(SEARCH($Y6,Dienstplan!$B$8:$B$19))*(ISNUMBER(SEARCH($AB$8,Dienstplan!$EY$8:$GB$19)))))</f>
        <v>0</v>
      </c>
      <c r="I87">
        <f>SUMPRODUCT((ISNUMBER(SEARCH($Y6,Dienstplan!$B$8:$B$19))*(ISNUMBER(SEARCH($AB$9,Dienstplan!$EY$8:$GB$19)))))</f>
        <v>0</v>
      </c>
      <c r="J87">
        <f>SUMPRODUCT((ISNUMBER(SEARCH($Y6,Dienstplan!$B$8:$B$19))*(ISNUMBER(SEARCH($AB$10,Dienstplan!$EY$8:$GB$19)))))</f>
        <v>0</v>
      </c>
      <c r="K87">
        <f>SUMPRODUCT((ISNUMBER(SEARCH($Y6,Dienstplan!$B$8:$B$19))*(ISNUMBER(SEARCH($AB$11,Dienstplan!$EY$8:$GB$19)))))-$Q87</f>
        <v>6</v>
      </c>
      <c r="L87">
        <f>SUMPRODUCT((ISNUMBER(SEARCH($Y6,Dienstplan!$B$8:$B$19))*(ISNUMBER(SEARCH($AB$12,Dienstplan!$EY$8:$GB$19)))))</f>
        <v>0</v>
      </c>
      <c r="M87">
        <f>SUMPRODUCT((ISNUMBER(SEARCH($Y6,Dienstplan!$B$8:$B$19))*(ISNUMBER(SEARCH($AB$13,Dienstplan!$EY$8:$GB$19)))))</f>
        <v>0</v>
      </c>
      <c r="N87">
        <f>SUMPRODUCT((ISNUMBER(SEARCH($Y6,Dienstplan!$B$8:$B$19))*(ISNUMBER(SEARCH($AB$14,Dienstplan!$EY$8:$GB$19)))))</f>
        <v>0</v>
      </c>
      <c r="O87">
        <f>SUMPRODUCT((ISNUMBER(SEARCH($Y6,Dienstplan!$B$8:$B$19))*(ISNUMBER(SEARCH($AB$15,Dienstplan!$EY$8:$GB$19)))))</f>
        <v>0</v>
      </c>
      <c r="P87">
        <f>SUMPRODUCT((ISNUMBER(SEARCH($Y6,Dienstplan!$B$8:$B$19))*(ISNUMBER(SEARCH($AB$16,Dienstplan!$EY$8:$GB$19)))))</f>
        <v>0</v>
      </c>
      <c r="Q87">
        <f>SUMPRODUCT((ISNUMBER(SEARCH($Y6,Dienstplan!$B$8:$B$19))*(ISNUMBER(SEARCH($AB$17,Dienstplan!$EY$8:$GB$19)))))</f>
        <v>0</v>
      </c>
      <c r="R87">
        <f>SUMPRODUCT((ISNUMBER(SEARCH($Y6,Dienstplan!$B$8:$B$19))*(ISNUMBER(SEARCH($AB$18,Dienstplan!$EY$8:$GB$19)))))</f>
        <v>0</v>
      </c>
      <c r="S87" s="11">
        <f>SUMPRODUCT((ISNUMBER(SEARCH($Y6,Dienstplan!$B$8:$B$19))*(ISNUMBER(SEARCH($AB$19,Dienstplan!$EY$8:$GB$19)))))</f>
        <v>0</v>
      </c>
      <c r="T87">
        <f t="shared" si="29"/>
        <v>168</v>
      </c>
      <c r="U87" s="14">
        <f>SUM($C87*Frueh_1+$D87*Spaet_1+$E87*Nacht_1+$F87*Normal_1+$I87*Sonderd_1-$J87*Scho_K+$K87*Scho_K+$L87*EH_Kurs+$M87*Koor_taet+$N87*Sekre_1+$O87*Scho_K+$R87*Scho_K+$P87*Scho_K+$Q87*Scho_K+G87*Scho_K+H87*Scho_K)</f>
        <v>70.5</v>
      </c>
      <c r="V87" s="11">
        <f t="shared" si="31"/>
        <v>-97.5</v>
      </c>
      <c r="W87" s="20">
        <f t="shared" si="30"/>
        <v>-236.25</v>
      </c>
    </row>
    <row r="88" spans="1:23" x14ac:dyDescent="0.25">
      <c r="A88" s="11"/>
      <c r="B88" s="27" t="str">
        <f t="shared" si="28"/>
        <v>Göpfrich</v>
      </c>
      <c r="C88">
        <f>SUMPRODUCT((ISNUMBER(SEARCH($Y7,Dienstplan!$B$8:$B$19))*(ISNUMBER(SEARCH($AB$3,Dienstplan!$EY$8:$GB$19)))))-D88</f>
        <v>0</v>
      </c>
      <c r="D88">
        <f>SUMPRODUCT((ISNUMBER(SEARCH($Y7,Dienstplan!$B$8:$B$19))*(ISNUMBER(SEARCH($AB$4,Dienstplan!$EY$8:$GB$19)))))</f>
        <v>0</v>
      </c>
      <c r="E88">
        <f>SUMPRODUCT((ISNUMBER(SEARCH($Y7,Dienstplan!$B$8:$B$19))*(ISNUMBER(SEARCH($AB$5,Dienstplan!$EY$8:$GB$19)))))</f>
        <v>5</v>
      </c>
      <c r="F88">
        <f>SUMPRODUCT((ISNUMBER(SEARCH($Y7,Dienstplan!$B$8:$B$19))*(ISNUMBER(SEARCH($AB$6,Dienstplan!$EY$8:$GB$19)))))</f>
        <v>5</v>
      </c>
      <c r="G88">
        <f>SUMPRODUCT((ISNUMBER(SEARCH($Y7,Dienstplan!$B$8:$B$19))*(ISNUMBER(SEARCH($AB$7,Dienstplan!$EY$8:$GB$19)))))-H88</f>
        <v>0</v>
      </c>
      <c r="H88">
        <f>SUMPRODUCT((ISNUMBER(SEARCH($Y7,Dienstplan!$B$8:$B$19))*(ISNUMBER(SEARCH($AB$8,Dienstplan!$EY$8:$GB$19)))))</f>
        <v>0</v>
      </c>
      <c r="I88">
        <f>SUMPRODUCT((ISNUMBER(SEARCH($Y7,Dienstplan!$B$8:$B$19))*(ISNUMBER(SEARCH($AB$9,Dienstplan!$EY$8:$GB$19)))))</f>
        <v>0</v>
      </c>
      <c r="J88">
        <f>SUMPRODUCT((ISNUMBER(SEARCH($Y7,Dienstplan!$B$8:$B$19))*(ISNUMBER(SEARCH($AB$10,Dienstplan!$EY$8:$GB$19)))))</f>
        <v>0</v>
      </c>
      <c r="K88">
        <f>SUMPRODUCT((ISNUMBER(SEARCH($Y7,Dienstplan!$B$8:$B$19))*(ISNUMBER(SEARCH($AB$11,Dienstplan!$EY$8:$GB$19)))))-$Q88</f>
        <v>0</v>
      </c>
      <c r="L88">
        <f>SUMPRODUCT((ISNUMBER(SEARCH($Y7,Dienstplan!$B$8:$B$19))*(ISNUMBER(SEARCH($AB$12,Dienstplan!$EY$8:$GB$19)))))</f>
        <v>0</v>
      </c>
      <c r="M88">
        <f>SUMPRODUCT((ISNUMBER(SEARCH($Y7,Dienstplan!$B$8:$B$19))*(ISNUMBER(SEARCH($AB$13,Dienstplan!$EY$8:$GB$19)))))</f>
        <v>0</v>
      </c>
      <c r="N88">
        <f>SUMPRODUCT((ISNUMBER(SEARCH($Y7,Dienstplan!$B$8:$B$19))*(ISNUMBER(SEARCH($AB$14,Dienstplan!$EY$8:$GB$19)))))</f>
        <v>0</v>
      </c>
      <c r="O88">
        <f>SUMPRODUCT((ISNUMBER(SEARCH($Y7,Dienstplan!$B$8:$B$19))*(ISNUMBER(SEARCH($AB$15,Dienstplan!$EY$8:$GB$19)))))</f>
        <v>3</v>
      </c>
      <c r="P88">
        <f>SUMPRODUCT((ISNUMBER(SEARCH($Y7,Dienstplan!$B$8:$B$19))*(ISNUMBER(SEARCH($AB$16,Dienstplan!$EY$8:$GB$19)))))</f>
        <v>0</v>
      </c>
      <c r="Q88">
        <f>SUMPRODUCT((ISNUMBER(SEARCH($Y7,Dienstplan!$B$8:$B$19))*(ISNUMBER(SEARCH($AB$17,Dienstplan!$EY$8:$GB$19)))))</f>
        <v>0</v>
      </c>
      <c r="R88">
        <f>SUMPRODUCT((ISNUMBER(SEARCH($Y7,Dienstplan!$B$8:$B$19))*(ISNUMBER(SEARCH($AB$18,Dienstplan!$EY$8:$GB$19)))))</f>
        <v>0</v>
      </c>
      <c r="S88" s="11">
        <f>SUMPRODUCT((ISNUMBER(SEARCH($Y7,Dienstplan!$B$8:$B$19))*(ISNUMBER(SEARCH($AB$19,Dienstplan!$EY$8:$GB$19)))))</f>
        <v>1</v>
      </c>
      <c r="T88">
        <f t="shared" si="29"/>
        <v>147</v>
      </c>
      <c r="U88" s="14">
        <f>SUM($C88*Frueh_1+$D88*Spaet_1+$E88*Nacht_1+$F88*Normal_1+$I88*Sonderd_1-$J88*Krie_B+$K88*Krie_B+$L88*EH_Kurs+$M88*Koor_taet+$N88*Sekre_1+$O88*Krie_B+$R88*Krie_B+$P88*Krie_B+$Q88*Krie_B+G88*Krie_B+H88*Krie_B)</f>
        <v>96</v>
      </c>
      <c r="V88" s="11">
        <f t="shared" si="31"/>
        <v>-51</v>
      </c>
      <c r="W88" s="20">
        <f t="shared" si="30"/>
        <v>-153.25</v>
      </c>
    </row>
    <row r="89" spans="1:23" x14ac:dyDescent="0.25">
      <c r="A89" s="11"/>
      <c r="B89" s="27" t="str">
        <f t="shared" si="28"/>
        <v>Zeller</v>
      </c>
      <c r="C89">
        <f>SUMPRODUCT((ISNUMBER(SEARCH($Y8,Dienstplan!$B$8:$B$19))*(ISNUMBER(SEARCH($AB$3,Dienstplan!$EY$8:$GB$19)))))-D89</f>
        <v>0</v>
      </c>
      <c r="D89">
        <f>SUMPRODUCT((ISNUMBER(SEARCH($Y8,Dienstplan!$B$8:$B$19))*(ISNUMBER(SEARCH($AB$4,Dienstplan!$EY$8:$GB$19)))))</f>
        <v>0</v>
      </c>
      <c r="E89">
        <f>SUMPRODUCT((ISNUMBER(SEARCH($Y8,Dienstplan!$B$8:$B$19))*(ISNUMBER(SEARCH($AB$5,Dienstplan!$EY$8:$GB$19)))))</f>
        <v>2</v>
      </c>
      <c r="F89">
        <f>SUMPRODUCT((ISNUMBER(SEARCH($Y8,Dienstplan!$B$8:$B$19))*(ISNUMBER(SEARCH($AB$6,Dienstplan!$EY$8:$GB$19)))))</f>
        <v>5</v>
      </c>
      <c r="G89">
        <f>SUMPRODUCT((ISNUMBER(SEARCH($Y8,Dienstplan!$B$8:$B$19))*(ISNUMBER(SEARCH($AB$7,Dienstplan!$EY$8:$GB$19)))))-H89</f>
        <v>0</v>
      </c>
      <c r="H89">
        <f>SUMPRODUCT((ISNUMBER(SEARCH($Y8,Dienstplan!$B$8:$B$19))*(ISNUMBER(SEARCH($AB$8,Dienstplan!$EY$8:$GB$19)))))</f>
        <v>0</v>
      </c>
      <c r="I89">
        <f>SUMPRODUCT((ISNUMBER(SEARCH($Y8,Dienstplan!$B$8:$B$19))*(ISNUMBER(SEARCH($AB$9,Dienstplan!$EY$8:$GB$19)))))</f>
        <v>0</v>
      </c>
      <c r="J89">
        <f>SUMPRODUCT((ISNUMBER(SEARCH($Y8,Dienstplan!$B$8:$B$19))*(ISNUMBER(SEARCH($AB$10,Dienstplan!$EY$8:$GB$19)))))</f>
        <v>0</v>
      </c>
      <c r="K89">
        <f>SUMPRODUCT((ISNUMBER(SEARCH($Y8,Dienstplan!$B$8:$B$19))*(ISNUMBER(SEARCH($AB$11,Dienstplan!$EY$8:$GB$19)))))-$Q89</f>
        <v>0</v>
      </c>
      <c r="L89">
        <f>SUMPRODUCT((ISNUMBER(SEARCH($Y8,Dienstplan!$B$8:$B$19))*(ISNUMBER(SEARCH($AB$12,Dienstplan!$EY$8:$GB$19)))))</f>
        <v>0</v>
      </c>
      <c r="M89">
        <f>SUMPRODUCT((ISNUMBER(SEARCH($Y8,Dienstplan!$B$8:$B$19))*(ISNUMBER(SEARCH($AB$13,Dienstplan!$EY$8:$GB$19)))))</f>
        <v>0</v>
      </c>
      <c r="N89">
        <f>SUMPRODUCT((ISNUMBER(SEARCH($Y8,Dienstplan!$B$8:$B$19))*(ISNUMBER(SEARCH($AB$14,Dienstplan!$EY$8:$GB$19)))))</f>
        <v>0</v>
      </c>
      <c r="O89">
        <f>SUMPRODUCT((ISNUMBER(SEARCH($Y8,Dienstplan!$B$8:$B$19))*(ISNUMBER(SEARCH($AB$15,Dienstplan!$EY$8:$GB$19)))))</f>
        <v>0</v>
      </c>
      <c r="P89">
        <f>SUMPRODUCT((ISNUMBER(SEARCH($Y8,Dienstplan!$B$8:$B$19))*(ISNUMBER(SEARCH($AB$16,Dienstplan!$EY$8:$GB$19)))))</f>
        <v>0</v>
      </c>
      <c r="Q89">
        <f>SUMPRODUCT((ISNUMBER(SEARCH($Y8,Dienstplan!$B$8:$B$19))*(ISNUMBER(SEARCH($AB$17,Dienstplan!$EY$8:$GB$19)))))</f>
        <v>0</v>
      </c>
      <c r="R89">
        <f>SUMPRODUCT((ISNUMBER(SEARCH($Y8,Dienstplan!$B$8:$B$19))*(ISNUMBER(SEARCH($AB$18,Dienstplan!$EY$8:$GB$19)))))</f>
        <v>0</v>
      </c>
      <c r="S89" s="11">
        <f>SUMPRODUCT((ISNUMBER(SEARCH($Y8,Dienstplan!$B$8:$B$19))*(ISNUMBER(SEARCH($AB$19,Dienstplan!$EY$8:$GB$19)))))</f>
        <v>1</v>
      </c>
      <c r="T89">
        <f t="shared" si="29"/>
        <v>168</v>
      </c>
      <c r="U89" s="14">
        <f>SUM($C89*Frueh_1+$D89*Spaet_1+$E89*Nacht_1+$F89*Normal_1+$I89*Sonderd_1-$J89*Muster+$K89*Muster+$L89*EH_Kurs+$M89*Koor_taet+$N89*Sekre_1+$O89*Muster+$P89*Muster+$Q89*Muster+$R89*Muster+G89*Muster+H89*Muster)</f>
        <v>52.5</v>
      </c>
      <c r="V89" s="11">
        <f t="shared" si="31"/>
        <v>-115.5</v>
      </c>
      <c r="W89" s="20">
        <f t="shared" si="30"/>
        <v>-281.5</v>
      </c>
    </row>
    <row r="90" spans="1:23" x14ac:dyDescent="0.25">
      <c r="A90" s="11"/>
      <c r="B90" s="27" t="str">
        <f t="shared" si="28"/>
        <v>Behrendt</v>
      </c>
      <c r="C90">
        <f>SUMPRODUCT((ISNUMBER(SEARCH($Y9,Dienstplan!$B$8:$B$19))*(ISNUMBER(SEARCH($AB$3,Dienstplan!$EY$8:$GB$19)))))-D90</f>
        <v>0</v>
      </c>
      <c r="D90">
        <f>SUMPRODUCT((ISNUMBER(SEARCH($Y9,Dienstplan!$B$8:$B$19))*(ISNUMBER(SEARCH($AB$4,Dienstplan!$EY$8:$GB$19)))))</f>
        <v>0</v>
      </c>
      <c r="E90">
        <f>SUMPRODUCT((ISNUMBER(SEARCH($Y9,Dienstplan!$B$8:$B$19))*(ISNUMBER(SEARCH($AB$5,Dienstplan!$EY$8:$GB$19)))))</f>
        <v>5</v>
      </c>
      <c r="F90">
        <f>SUMPRODUCT((ISNUMBER(SEARCH($Y9,Dienstplan!$B$8:$B$19))*(ISNUMBER(SEARCH($AB$6,Dienstplan!$EY$8:$GB$19)))))</f>
        <v>5</v>
      </c>
      <c r="G90">
        <f>SUMPRODUCT((ISNUMBER(SEARCH($Y9,Dienstplan!$B$8:$B$19))*(ISNUMBER(SEARCH($AB$7,Dienstplan!$EY$8:$GB$19)))))-H90</f>
        <v>0</v>
      </c>
      <c r="H90">
        <f>SUMPRODUCT((ISNUMBER(SEARCH($Y9,Dienstplan!$B$8:$B$19))*(ISNUMBER(SEARCH($AB$8,Dienstplan!$EY$8:$GB$19)))))</f>
        <v>0</v>
      </c>
      <c r="I90">
        <f>SUMPRODUCT((ISNUMBER(SEARCH($Y9,Dienstplan!$B$8:$B$19))*(ISNUMBER(SEARCH($AB$9,Dienstplan!$EY$8:$GB$19)))))</f>
        <v>0</v>
      </c>
      <c r="J90">
        <f>SUMPRODUCT((ISNUMBER(SEARCH($Y9,Dienstplan!$B$8:$B$19))*(ISNUMBER(SEARCH($AB$10,Dienstplan!$EY$8:$GB$19)))))</f>
        <v>0</v>
      </c>
      <c r="K90">
        <f>SUMPRODUCT((ISNUMBER(SEARCH($Y9,Dienstplan!$B$8:$B$19))*(ISNUMBER(SEARCH($AB$11,Dienstplan!$EY$8:$GB$19)))))-$Q90</f>
        <v>0</v>
      </c>
      <c r="L90">
        <f>SUMPRODUCT((ISNUMBER(SEARCH($Y9,Dienstplan!$B$8:$B$19))*(ISNUMBER(SEARCH($AB$12,Dienstplan!$EY$8:$GB$19)))))</f>
        <v>0</v>
      </c>
      <c r="M90">
        <f>SUMPRODUCT((ISNUMBER(SEARCH($Y9,Dienstplan!$B$8:$B$19))*(ISNUMBER(SEARCH($AB$13,Dienstplan!$EY$8:$GB$19)))))</f>
        <v>0</v>
      </c>
      <c r="N90">
        <f>SUMPRODUCT((ISNUMBER(SEARCH($Y9,Dienstplan!$B$8:$B$19))*(ISNUMBER(SEARCH($AB$14,Dienstplan!$EY$8:$GB$19)))))</f>
        <v>0</v>
      </c>
      <c r="O90">
        <f>SUMPRODUCT((ISNUMBER(SEARCH($Y9,Dienstplan!$B$8:$B$19))*(ISNUMBER(SEARCH($AB$15,Dienstplan!$EY$8:$GB$19)))))</f>
        <v>0</v>
      </c>
      <c r="P90">
        <f>SUMPRODUCT((ISNUMBER(SEARCH($Y9,Dienstplan!$B$8:$B$19))*(ISNUMBER(SEARCH($AB$16,Dienstplan!$EY$8:$GB$19)))))</f>
        <v>0</v>
      </c>
      <c r="Q90">
        <f>SUMPRODUCT((ISNUMBER(SEARCH($Y9,Dienstplan!$B$8:$B$19))*(ISNUMBER(SEARCH($AB$17,Dienstplan!$EY$8:$GB$19)))))</f>
        <v>0</v>
      </c>
      <c r="R90">
        <f>SUMPRODUCT((ISNUMBER(SEARCH($Y9,Dienstplan!$B$8:$B$19))*(ISNUMBER(SEARCH($AB$18,Dienstplan!$EY$8:$GB$19)))))</f>
        <v>0</v>
      </c>
      <c r="S90" s="11">
        <f>SUMPRODUCT((ISNUMBER(SEARCH($Y9,Dienstplan!$B$8:$B$19))*(ISNUMBER(SEARCH($AB$19,Dienstplan!$EY$8:$GB$19)))))</f>
        <v>1</v>
      </c>
      <c r="T90">
        <f t="shared" si="29"/>
        <v>147</v>
      </c>
      <c r="U90" s="14">
        <f>SUM($C90*Frueh_1+$D90*Spaet_1+$E90*Nacht_1+$F90*Normal_1+$I90*Sonderd_1-$J90*Muster+$K90*Muster+$L90*EH_Kurs+$M90*Koor_taet+$N90*Sekre_1+$O90*Muster+$P90*Muster+$Q90*Muster+$R90*Muster+G90*Muster+H90*Muster)</f>
        <v>75</v>
      </c>
      <c r="V90" s="11">
        <f t="shared" si="31"/>
        <v>-72</v>
      </c>
      <c r="W90" s="20">
        <f t="shared" si="30"/>
        <v>-257.95</v>
      </c>
    </row>
    <row r="91" spans="1:23" x14ac:dyDescent="0.25">
      <c r="A91" s="11"/>
      <c r="B91" s="27" t="str">
        <f t="shared" si="28"/>
        <v>Krempl</v>
      </c>
      <c r="C91">
        <f>SUMPRODUCT((ISNUMBER(SEARCH($Y10,Dienstplan!$B$8:$B$19))*(ISNUMBER(SEARCH($AB$3,Dienstplan!$EY$8:$GB$19)))))-D91</f>
        <v>0</v>
      </c>
      <c r="D91">
        <f>SUMPRODUCT((ISNUMBER(SEARCH($Y10,Dienstplan!$B$8:$B$19))*(ISNUMBER(SEARCH($AB$4,Dienstplan!$EY$8:$GB$19)))))</f>
        <v>0</v>
      </c>
      <c r="E91">
        <f>SUMPRODUCT((ISNUMBER(SEARCH($Y10,Dienstplan!$B$8:$B$19))*(ISNUMBER(SEARCH($AB$5,Dienstplan!$EY$8:$GB$19)))))</f>
        <v>0</v>
      </c>
      <c r="F91">
        <f>SUMPRODUCT((ISNUMBER(SEARCH($Y10,Dienstplan!$B$8:$B$19))*(ISNUMBER(SEARCH($AB$6,Dienstplan!$EY$8:$GB$19)))))</f>
        <v>0</v>
      </c>
      <c r="G91">
        <f>SUMPRODUCT((ISNUMBER(SEARCH($Y10,Dienstplan!$B$8:$B$19))*(ISNUMBER(SEARCH($AB$7,Dienstplan!$EY$8:$GB$19)))))-H91</f>
        <v>0</v>
      </c>
      <c r="H91">
        <f>SUMPRODUCT((ISNUMBER(SEARCH($Y10,Dienstplan!$B$8:$B$19))*(ISNUMBER(SEARCH($AB$8,Dienstplan!$EY$8:$GB$19)))))</f>
        <v>0</v>
      </c>
      <c r="I91">
        <f>SUMPRODUCT((ISNUMBER(SEARCH($Y10,Dienstplan!$B$8:$B$19))*(ISNUMBER(SEARCH($AB$9,Dienstplan!$EY$8:$GB$19)))))</f>
        <v>0</v>
      </c>
      <c r="J91">
        <f>SUMPRODUCT((ISNUMBER(SEARCH($Y10,Dienstplan!$B$8:$B$19))*(ISNUMBER(SEARCH($AB$10,Dienstplan!$EY$8:$GB$19)))))</f>
        <v>0</v>
      </c>
      <c r="K91">
        <f>SUMPRODUCT((ISNUMBER(SEARCH($Y10,Dienstplan!$B$8:$B$19))*(ISNUMBER(SEARCH($AB$11,Dienstplan!$EY$8:$GB$19)))))-$Q91</f>
        <v>3</v>
      </c>
      <c r="L91">
        <f>SUMPRODUCT((ISNUMBER(SEARCH($Y10,Dienstplan!$B$8:$B$19))*(ISNUMBER(SEARCH($AB$12,Dienstplan!$EY$8:$GB$19)))))</f>
        <v>0</v>
      </c>
      <c r="M91">
        <f>SUMPRODUCT((ISNUMBER(SEARCH($Y10,Dienstplan!$B$8:$B$19))*(ISNUMBER(SEARCH($AB$13,Dienstplan!$EY$8:$GB$19)))))</f>
        <v>0</v>
      </c>
      <c r="N91">
        <f>SUMPRODUCT((ISNUMBER(SEARCH($Y10,Dienstplan!$B$8:$B$19))*(ISNUMBER(SEARCH($AB$14,Dienstplan!$EY$8:$GB$19)))))</f>
        <v>0</v>
      </c>
      <c r="O91">
        <f>SUMPRODUCT((ISNUMBER(SEARCH($Y10,Dienstplan!$B$8:$B$19))*(ISNUMBER(SEARCH($AB$15,Dienstplan!$EY$8:$GB$19)))))</f>
        <v>3</v>
      </c>
      <c r="P91">
        <f>SUMPRODUCT((ISNUMBER(SEARCH($Y10,Dienstplan!$B$8:$B$19))*(ISNUMBER(SEARCH($AB$16,Dienstplan!$EY$8:$GB$19)))))</f>
        <v>0</v>
      </c>
      <c r="Q91">
        <f>SUMPRODUCT((ISNUMBER(SEARCH($Y10,Dienstplan!$B$8:$B$19))*(ISNUMBER(SEARCH($AB$17,Dienstplan!$EY$8:$GB$19)))))</f>
        <v>0</v>
      </c>
      <c r="R91">
        <f>SUMPRODUCT((ISNUMBER(SEARCH($Y10,Dienstplan!$B$8:$B$19))*(ISNUMBER(SEARCH($AB$18,Dienstplan!$EY$8:$GB$19)))))</f>
        <v>0</v>
      </c>
      <c r="S91" s="11">
        <f>SUMPRODUCT((ISNUMBER(SEARCH($Y10,Dienstplan!$B$8:$B$19))*(ISNUMBER(SEARCH($AB$19,Dienstplan!$EY$8:$GB$19)))))</f>
        <v>0</v>
      </c>
      <c r="T91">
        <f t="shared" si="29"/>
        <v>67.2</v>
      </c>
      <c r="U91" s="14">
        <f>SUM($C91*Frueh_1+$D91*Spaet_1+$E91*Nacht_1+$F91*Normal_1+$I91*Sonderd_1-$J91*Krem_E+$K91*Krem_E+$L91*EH_Kurs+$M91*Koor_taet+$N91*Sekre_1+$O91*Krem_E+$R91*Krem_E+$P91*Krem_E+$Q91*Krem_E+G91*Krem_E+H91*Krem_E)</f>
        <v>19.200000000000003</v>
      </c>
      <c r="V91" s="11">
        <f t="shared" si="31"/>
        <v>-48</v>
      </c>
      <c r="W91" s="20">
        <f t="shared" si="30"/>
        <v>-282.5</v>
      </c>
    </row>
    <row r="92" spans="1:23" x14ac:dyDescent="0.25">
      <c r="A92" s="11"/>
      <c r="B92" s="27" t="str">
        <f t="shared" si="28"/>
        <v>Putschler</v>
      </c>
      <c r="C92">
        <f>SUMPRODUCT((ISNUMBER(SEARCH($Y11,Dienstplan!$B$8:$B$19))*(ISNUMBER(SEARCH($AB$3,Dienstplan!$EY$8:$GB$19)))))-D92</f>
        <v>0</v>
      </c>
      <c r="D92">
        <f>SUMPRODUCT((ISNUMBER(SEARCH($Y11,Dienstplan!$B$8:$B$19))*(ISNUMBER(SEARCH($AB$4,Dienstplan!$EY$8:$GB$19)))))</f>
        <v>0</v>
      </c>
      <c r="E92">
        <f>SUMPRODUCT((ISNUMBER(SEARCH($Y11,Dienstplan!$B$8:$B$19))*(ISNUMBER(SEARCH($AB$5,Dienstplan!$EY$8:$GB$19)))))</f>
        <v>0</v>
      </c>
      <c r="F92">
        <f>SUMPRODUCT((ISNUMBER(SEARCH($Y11,Dienstplan!$B$8:$B$19))*(ISNUMBER(SEARCH($AB$6,Dienstplan!$EY$8:$GB$19)))))</f>
        <v>0</v>
      </c>
      <c r="G92">
        <f>SUMPRODUCT((ISNUMBER(SEARCH($Y11,Dienstplan!$B$8:$B$19))*(ISNUMBER(SEARCH($AB$7,Dienstplan!$EY$8:$GB$19)))))-H92</f>
        <v>0</v>
      </c>
      <c r="H92">
        <f>SUMPRODUCT((ISNUMBER(SEARCH($Y11,Dienstplan!$B$8:$B$19))*(ISNUMBER(SEARCH($AB$8,Dienstplan!$EY$8:$GB$19)))))</f>
        <v>0</v>
      </c>
      <c r="I92">
        <f>SUMPRODUCT((ISNUMBER(SEARCH($Y11,Dienstplan!$B$8:$B$19))*(ISNUMBER(SEARCH($AB$9,Dienstplan!$EY$8:$GB$19)))))</f>
        <v>0</v>
      </c>
      <c r="J92">
        <f>SUMPRODUCT((ISNUMBER(SEARCH($Y11,Dienstplan!$B$8:$B$19))*(ISNUMBER(SEARCH($AB$10,Dienstplan!$EY$8:$GB$19)))))</f>
        <v>0</v>
      </c>
      <c r="K92">
        <f>SUMPRODUCT((ISNUMBER(SEARCH($Y11,Dienstplan!$B$8:$B$19))*(ISNUMBER(SEARCH($AB$11,Dienstplan!$EY$8:$GB$19)))))-$Q92</f>
        <v>1</v>
      </c>
      <c r="L92">
        <f>SUMPRODUCT((ISNUMBER(SEARCH($Y11,Dienstplan!$B$8:$B$19))*(ISNUMBER(SEARCH($AB$12,Dienstplan!$EY$8:$GB$19)))))</f>
        <v>0</v>
      </c>
      <c r="M92">
        <f>SUMPRODUCT((ISNUMBER(SEARCH($Y11,Dienstplan!$B$8:$B$19))*(ISNUMBER(SEARCH($AB$13,Dienstplan!$EY$8:$GB$19)))))</f>
        <v>0</v>
      </c>
      <c r="N92">
        <f>SUMPRODUCT((ISNUMBER(SEARCH($Y11,Dienstplan!$B$8:$B$19))*(ISNUMBER(SEARCH($AB$14,Dienstplan!$EY$8:$GB$19)))))</f>
        <v>0</v>
      </c>
      <c r="O92">
        <f>SUMPRODUCT((ISNUMBER(SEARCH($Y11,Dienstplan!$B$8:$B$19))*(ISNUMBER(SEARCH($AB$15,Dienstplan!$EY$8:$GB$19)))))</f>
        <v>0</v>
      </c>
      <c r="P92">
        <f>SUMPRODUCT((ISNUMBER(SEARCH($Y11,Dienstplan!$B$8:$B$19))*(ISNUMBER(SEARCH($AB$16,Dienstplan!$EY$8:$GB$19)))))</f>
        <v>0</v>
      </c>
      <c r="Q92">
        <f>SUMPRODUCT((ISNUMBER(SEARCH($Y11,Dienstplan!$B$8:$B$19))*(ISNUMBER(SEARCH($AB$17,Dienstplan!$EY$8:$GB$19)))))</f>
        <v>0</v>
      </c>
      <c r="R92">
        <f>SUMPRODUCT((ISNUMBER(SEARCH($Y11,Dienstplan!$B$8:$B$19))*(ISNUMBER(SEARCH($AB$18,Dienstplan!$EY$8:$GB$19)))))</f>
        <v>0</v>
      </c>
      <c r="S92" s="11">
        <f>SUMPRODUCT((ISNUMBER(SEARCH($Y11,Dienstplan!$B$8:$B$19))*(ISNUMBER(SEARCH($AB$19,Dienstplan!$EY$8:$GB$19)))))</f>
        <v>0</v>
      </c>
      <c r="T92">
        <f t="shared" si="29"/>
        <v>168</v>
      </c>
      <c r="U92" s="14">
        <f>SUM($C92*Frueh_1+$D92*Spaet_1+$E92*Nacht_1+$F92*Normal_1+$I92*Sonderd_1-$J92*Put_W+$K92*Put_W+$L92*EH_Kurs+$M92*Koor_taet+$N92*Sekre_1+$O92*Put_W+$R92*Put_W+$P92*Put_W+$Q92*Put_W+G92*Put_W+H92*Put_W)</f>
        <v>8</v>
      </c>
      <c r="V92" s="11">
        <f t="shared" si="31"/>
        <v>-160</v>
      </c>
      <c r="W92" s="20">
        <f t="shared" si="30"/>
        <v>-249.5</v>
      </c>
    </row>
    <row r="93" spans="1:23" x14ac:dyDescent="0.25">
      <c r="A93" s="11"/>
      <c r="B93" s="27" t="str">
        <f t="shared" si="28"/>
        <v>Schmidt</v>
      </c>
      <c r="C93">
        <f>SUMPRODUCT((ISNUMBER(SEARCH($Y12,Dienstplan!$B$8:$B$19))*(ISNUMBER(SEARCH($AB$3,Dienstplan!$EY$8:$GB$19)))))-D93</f>
        <v>0</v>
      </c>
      <c r="D93">
        <f>SUMPRODUCT((ISNUMBER(SEARCH($Y12,Dienstplan!$B$8:$B$19))*(ISNUMBER(SEARCH($AB$4,Dienstplan!$EY$8:$GB$19)))))</f>
        <v>0</v>
      </c>
      <c r="E93">
        <f>SUMPRODUCT((ISNUMBER(SEARCH($Y12,Dienstplan!$B$8:$B$19))*(ISNUMBER(SEARCH($AB$5,Dienstplan!$EY$8:$GB$19)))))</f>
        <v>0</v>
      </c>
      <c r="F93">
        <f>SUMPRODUCT((ISNUMBER(SEARCH($Y12,Dienstplan!$B$8:$B$19))*(ISNUMBER(SEARCH($AB$6,Dienstplan!$EY$8:$GB$19)))))</f>
        <v>0</v>
      </c>
      <c r="G93">
        <f>SUMPRODUCT((ISNUMBER(SEARCH($Y12,Dienstplan!$B$8:$B$19))*(ISNUMBER(SEARCH($AB$7,Dienstplan!$EY$8:$GB$19)))))-H93</f>
        <v>0</v>
      </c>
      <c r="H93">
        <f>SUMPRODUCT((ISNUMBER(SEARCH($Y12,Dienstplan!$B$8:$B$19))*(ISNUMBER(SEARCH($AB$8,Dienstplan!$EY$8:$GB$19)))))</f>
        <v>0</v>
      </c>
      <c r="I93">
        <f>SUMPRODUCT((ISNUMBER(SEARCH($Y12,Dienstplan!$B$8:$B$19))*(ISNUMBER(SEARCH($AB$9,Dienstplan!$EY$8:$GB$19)))))</f>
        <v>0</v>
      </c>
      <c r="J93">
        <f>SUMPRODUCT((ISNUMBER(SEARCH($Y12,Dienstplan!$B$8:$B$19))*(ISNUMBER(SEARCH($AB$10,Dienstplan!$EY$8:$GB$19)))))</f>
        <v>0</v>
      </c>
      <c r="K93">
        <f>SUMPRODUCT((ISNUMBER(SEARCH($Y12,Dienstplan!$B$8:$B$19))*(ISNUMBER(SEARCH($AB$11,Dienstplan!$EY$8:$GB$19)))))-$Q93</f>
        <v>7</v>
      </c>
      <c r="L93">
        <f>SUMPRODUCT((ISNUMBER(SEARCH($Y12,Dienstplan!$B$8:$B$19))*(ISNUMBER(SEARCH($AB$12,Dienstplan!$EY$8:$GB$19)))))</f>
        <v>0</v>
      </c>
      <c r="M93">
        <f>SUMPRODUCT((ISNUMBER(SEARCH($Y12,Dienstplan!$B$8:$B$19))*(ISNUMBER(SEARCH($AB$13,Dienstplan!$EY$8:$GB$19)))))</f>
        <v>0</v>
      </c>
      <c r="N93">
        <f>SUMPRODUCT((ISNUMBER(SEARCH($Y12,Dienstplan!$B$8:$B$19))*(ISNUMBER(SEARCH($AB$14,Dienstplan!$EY$8:$GB$19)))))</f>
        <v>0</v>
      </c>
      <c r="O93">
        <f>SUMPRODUCT((ISNUMBER(SEARCH($Y12,Dienstplan!$B$8:$B$19))*(ISNUMBER(SEARCH($AB$15,Dienstplan!$EY$8:$GB$19)))))</f>
        <v>0</v>
      </c>
      <c r="P93">
        <f>SUMPRODUCT((ISNUMBER(SEARCH($Y12,Dienstplan!$B$8:$B$19))*(ISNUMBER(SEARCH($AB$16,Dienstplan!$EY$8:$GB$19)))))</f>
        <v>0</v>
      </c>
      <c r="Q93">
        <f>SUMPRODUCT((ISNUMBER(SEARCH($Y12,Dienstplan!$B$8:$B$19))*(ISNUMBER(SEARCH($AB$17,Dienstplan!$EY$8:$GB$19)))))</f>
        <v>0</v>
      </c>
      <c r="R93">
        <f>SUMPRODUCT((ISNUMBER(SEARCH($Y12,Dienstplan!$B$8:$B$19))*(ISNUMBER(SEARCH($AB$18,Dienstplan!$EY$8:$GB$19)))))</f>
        <v>0</v>
      </c>
      <c r="S93" s="11">
        <f>SUMPRODUCT((ISNUMBER(SEARCH($Y12,Dienstplan!$B$8:$B$19))*(ISNUMBER(SEARCH($AB$19,Dienstplan!$EY$8:$GB$19)))))</f>
        <v>0</v>
      </c>
      <c r="T93">
        <f t="shared" si="29"/>
        <v>147</v>
      </c>
      <c r="U93" s="14">
        <f>SUM($C93*Frueh_1+$D93*Spaet_1+$E93*Nacht_1+$F93*Normal_1+$I93*Sonderd_1-$J93*Radi_L+$K93*Radi_L+$L93*EH_Kurs+$M93*Koor_taet+$N93*Sekre_1+$O93*Radi_L+$R93*Radi_L+$P93*Radi_L+$Q93*Radi_L+G93*Radi_L+H93*Radi_L)</f>
        <v>49</v>
      </c>
      <c r="V93" s="11">
        <f t="shared" si="31"/>
        <v>-98</v>
      </c>
      <c r="W93" s="20">
        <f t="shared" si="30"/>
        <v>-756</v>
      </c>
    </row>
    <row r="94" spans="1:23" x14ac:dyDescent="0.25">
      <c r="A94" s="11"/>
      <c r="B94" s="27" t="str">
        <f t="shared" si="28"/>
        <v>Radimersky</v>
      </c>
      <c r="C94">
        <f>SUMPRODUCT((ISNUMBER(SEARCH($Y13,Dienstplan!$B$8:$B$19))*(ISNUMBER(SEARCH($AB$3,Dienstplan!$EY$8:$GB$19)))))-D94</f>
        <v>0</v>
      </c>
      <c r="D94">
        <f>SUMPRODUCT((ISNUMBER(SEARCH($Y13,Dienstplan!$B$8:$B$19))*(ISNUMBER(SEARCH($AB$4,Dienstplan!$EY$8:$GB$19)))))</f>
        <v>0</v>
      </c>
      <c r="E94">
        <f>SUMPRODUCT((ISNUMBER(SEARCH($Y13,Dienstplan!$B$8:$B$19))*(ISNUMBER(SEARCH($AB$5,Dienstplan!$EY$8:$GB$19)))))</f>
        <v>0</v>
      </c>
      <c r="F94">
        <f>SUMPRODUCT((ISNUMBER(SEARCH($Y13,Dienstplan!$B$8:$B$19))*(ISNUMBER(SEARCH($AB$6,Dienstplan!$EY$8:$GB$19)))))</f>
        <v>0</v>
      </c>
      <c r="G94">
        <f>SUMPRODUCT((ISNUMBER(SEARCH($Y13,Dienstplan!$B$8:$B$19))*(ISNUMBER(SEARCH($AB$7,Dienstplan!$EY$8:$GB$19)))))-H94</f>
        <v>0</v>
      </c>
      <c r="H94">
        <f>SUMPRODUCT((ISNUMBER(SEARCH($Y13,Dienstplan!$B$8:$B$19))*(ISNUMBER(SEARCH($AB$8,Dienstplan!$EY$8:$GB$19)))))</f>
        <v>0</v>
      </c>
      <c r="I94">
        <f>SUMPRODUCT((ISNUMBER(SEARCH($Y13,Dienstplan!$B$8:$B$19))*(ISNUMBER(SEARCH($AB$9,Dienstplan!$EY$8:$GB$19)))))</f>
        <v>0</v>
      </c>
      <c r="J94">
        <f>SUMPRODUCT((ISNUMBER(SEARCH($Y13,Dienstplan!$B$8:$B$19))*(ISNUMBER(SEARCH($AB$10,Dienstplan!$EY$8:$GB$19)))))</f>
        <v>0</v>
      </c>
      <c r="K94">
        <f>SUMPRODUCT((ISNUMBER(SEARCH($Y13,Dienstplan!$B$8:$B$19))*(ISNUMBER(SEARCH($AB$11,Dienstplan!$EY$8:$GB$19)))))-$Q94</f>
        <v>2</v>
      </c>
      <c r="L94">
        <f>SUMPRODUCT((ISNUMBER(SEARCH($Y13,Dienstplan!$B$8:$B$19))*(ISNUMBER(SEARCH($AB$12,Dienstplan!$EY$8:$GB$19)))))</f>
        <v>0</v>
      </c>
      <c r="M94">
        <f>SUMPRODUCT((ISNUMBER(SEARCH($Y13,Dienstplan!$B$8:$B$19))*(ISNUMBER(SEARCH($AB$13,Dienstplan!$EY$8:$GB$19)))))</f>
        <v>0</v>
      </c>
      <c r="N94">
        <f>SUMPRODUCT((ISNUMBER(SEARCH($Y13,Dienstplan!$B$8:$B$19))*(ISNUMBER(SEARCH($AB$14,Dienstplan!$EY$8:$GB$19)))))</f>
        <v>0</v>
      </c>
      <c r="O94">
        <f>SUMPRODUCT((ISNUMBER(SEARCH($Y13,Dienstplan!$B$8:$B$19))*(ISNUMBER(SEARCH($AB$15,Dienstplan!$EY$8:$GB$19)))))</f>
        <v>0</v>
      </c>
      <c r="P94">
        <f>SUMPRODUCT((ISNUMBER(SEARCH($Y13,Dienstplan!$B$8:$B$19))*(ISNUMBER(SEARCH($AB$16,Dienstplan!$EY$8:$GB$19)))))</f>
        <v>0</v>
      </c>
      <c r="Q94">
        <f>SUMPRODUCT((ISNUMBER(SEARCH($Y13,Dienstplan!$B$8:$B$19))*(ISNUMBER(SEARCH($AB$17,Dienstplan!$EY$8:$GB$19)))))</f>
        <v>0</v>
      </c>
      <c r="R94">
        <f>SUMPRODUCT((ISNUMBER(SEARCH($Y13,Dienstplan!$B$8:$B$19))*(ISNUMBER(SEARCH($AB$18,Dienstplan!$EY$8:$GB$19)))))</f>
        <v>0</v>
      </c>
      <c r="S94" s="11">
        <f>SUMPRODUCT((ISNUMBER(SEARCH($Y13,Dienstplan!$B$8:$B$19))*(ISNUMBER(SEARCH($AB$19,Dienstplan!$EY$8:$GB$19)))))</f>
        <v>0</v>
      </c>
      <c r="T94">
        <f t="shared" si="29"/>
        <v>63</v>
      </c>
      <c r="U94" s="14">
        <f>SUM($C94*Frueh_1+$D94*Spaet_1+$E94*Nacht_1+$F94*Normal_1+$I94*Sonderd_1-$J94*Fortenb+$K94*Fortenb+$L94*EH_Kurs+$M94*Koor_taet+$N94*Sekre_1+$O94*Fortenb+$R94*Fortenb+$P94*Fortenb+$Q94*Fortenb+G94*Fortenb+H94*Fortenb)</f>
        <v>6</v>
      </c>
      <c r="V94" s="11">
        <f t="shared" si="31"/>
        <v>-57</v>
      </c>
      <c r="W94" s="20">
        <f t="shared" si="30"/>
        <v>-324</v>
      </c>
    </row>
    <row r="95" spans="1:23" x14ac:dyDescent="0.25">
      <c r="A95" s="11"/>
      <c r="B95" s="27"/>
      <c r="S95" s="11"/>
      <c r="V95" s="11"/>
      <c r="W95" s="20"/>
    </row>
    <row r="96" spans="1:23" x14ac:dyDescent="0.25">
      <c r="A96" s="11"/>
      <c r="B96" s="27" t="s">
        <v>23</v>
      </c>
      <c r="C96" s="4">
        <f t="shared" ref="C96:S96" si="32">SUM(C84:C95)</f>
        <v>0</v>
      </c>
      <c r="D96" s="4">
        <f t="shared" si="32"/>
        <v>0</v>
      </c>
      <c r="E96" s="4">
        <f t="shared" si="32"/>
        <v>20</v>
      </c>
      <c r="F96" s="4">
        <f t="shared" si="32"/>
        <v>20</v>
      </c>
      <c r="G96" s="4">
        <f t="shared" si="32"/>
        <v>0</v>
      </c>
      <c r="H96" s="4">
        <f t="shared" si="32"/>
        <v>0</v>
      </c>
      <c r="I96" s="4">
        <f t="shared" si="32"/>
        <v>0</v>
      </c>
      <c r="J96" s="4">
        <f t="shared" si="32"/>
        <v>0</v>
      </c>
      <c r="K96" s="4">
        <f t="shared" si="32"/>
        <v>24</v>
      </c>
      <c r="L96" s="4">
        <f t="shared" si="32"/>
        <v>0</v>
      </c>
      <c r="M96" s="4">
        <f t="shared" si="32"/>
        <v>0</v>
      </c>
      <c r="N96" s="4">
        <f t="shared" si="32"/>
        <v>0</v>
      </c>
      <c r="O96" s="4">
        <f t="shared" si="32"/>
        <v>6</v>
      </c>
      <c r="P96" s="4">
        <f t="shared" si="32"/>
        <v>0</v>
      </c>
      <c r="Q96" s="4">
        <f t="shared" si="32"/>
        <v>0</v>
      </c>
      <c r="R96" s="4">
        <f t="shared" si="32"/>
        <v>0</v>
      </c>
      <c r="S96" s="13">
        <f t="shared" si="32"/>
        <v>4</v>
      </c>
      <c r="T96" s="4">
        <f>SUM(T84:T92)</f>
        <v>1327.2</v>
      </c>
      <c r="U96" s="4">
        <f>SUM(U84:U92)</f>
        <v>434.2</v>
      </c>
      <c r="V96" s="13"/>
      <c r="W96" s="21"/>
    </row>
    <row r="97" spans="1:23" x14ac:dyDescent="0.25">
      <c r="A97" s="11"/>
      <c r="B97" s="12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2"/>
      <c r="T97" s="1"/>
      <c r="U97" s="1"/>
      <c r="V97" s="12"/>
      <c r="W97" s="17"/>
    </row>
    <row r="98" spans="1:23" x14ac:dyDescent="0.25">
      <c r="A98" s="11"/>
      <c r="B98" s="26" t="s">
        <v>15</v>
      </c>
      <c r="D98" s="365" t="s">
        <v>34</v>
      </c>
      <c r="E98" s="366"/>
      <c r="F98" s="36">
        <v>21</v>
      </c>
      <c r="G98" s="109"/>
      <c r="H98" s="18"/>
      <c r="I98" s="365" t="s">
        <v>51</v>
      </c>
      <c r="J98" s="366"/>
      <c r="K98" s="36">
        <v>5</v>
      </c>
      <c r="S98" s="11"/>
      <c r="V98" s="11"/>
      <c r="W98" s="20"/>
    </row>
    <row r="99" spans="1:23" x14ac:dyDescent="0.25">
      <c r="A99" s="11"/>
      <c r="B99" s="11"/>
      <c r="C99" s="4" t="str">
        <f>Jahr!C3</f>
        <v>FI</v>
      </c>
      <c r="D99" s="4" t="str">
        <f>Jahr!D3</f>
        <v>FII</v>
      </c>
      <c r="E99" s="4" t="str">
        <f>Jahr!E3</f>
        <v>SI</v>
      </c>
      <c r="F99" s="4" t="str">
        <f>Jahr!F3</f>
        <v>NI</v>
      </c>
      <c r="G99" s="4" t="str">
        <f>Jahr!G3</f>
        <v>DI</v>
      </c>
      <c r="H99" s="4" t="str">
        <f>Jahr!H3</f>
        <v>DII</v>
      </c>
      <c r="I99" s="4" t="str">
        <f>Jahr!I3</f>
        <v>SD</v>
      </c>
      <c r="J99" s="4" t="str">
        <f>Jahr!J3</f>
        <v>GT</v>
      </c>
      <c r="K99" s="4" t="str">
        <f>Jahr!K3</f>
        <v>U</v>
      </c>
      <c r="L99" s="4" t="str">
        <f>Jahr!L3</f>
        <v>EH</v>
      </c>
      <c r="M99" s="4" t="str">
        <f>Jahr!M3</f>
        <v>KT</v>
      </c>
      <c r="N99" s="4" t="str">
        <f>Jahr!N3</f>
        <v>Sek</v>
      </c>
      <c r="O99" s="4" t="str">
        <f>Jahr!O3</f>
        <v>Fobi</v>
      </c>
      <c r="P99" s="4" t="str">
        <f>Jahr!P3</f>
        <v>A</v>
      </c>
      <c r="Q99" s="4" t="str">
        <f>Jahr!Q3</f>
        <v>Kur</v>
      </c>
      <c r="R99" s="4" t="str">
        <f>Jahr!R3</f>
        <v>FZC</v>
      </c>
      <c r="S99" s="4" t="str">
        <f>Jahr!S3</f>
        <v>NST</v>
      </c>
      <c r="T99" s="15" t="s">
        <v>37</v>
      </c>
      <c r="U99" s="15" t="s">
        <v>38</v>
      </c>
      <c r="V99" s="13" t="s">
        <v>39</v>
      </c>
      <c r="W99" s="21" t="s">
        <v>52</v>
      </c>
    </row>
    <row r="100" spans="1:23" x14ac:dyDescent="0.25">
      <c r="A100" s="11"/>
      <c r="B100" s="27" t="str">
        <f t="shared" ref="B100:B110" si="33">B4</f>
        <v>Breig</v>
      </c>
      <c r="C100">
        <f>SUMPRODUCT((ISNUMBER(SEARCH($Y3,Dienstplan!$B$25:$B$36))*(ISNUMBER(SEARCH($AB$3,Dienstplan!$C$25:$AG$36)))))-D100</f>
        <v>0</v>
      </c>
      <c r="D100">
        <f>SUMPRODUCT((ISNUMBER(SEARCH($Y3,Dienstplan!$B$25:$B$36))*(ISNUMBER(SEARCH($AB$4,Dienstplan!$C$25:$AG$36)))))</f>
        <v>0</v>
      </c>
      <c r="E100">
        <f>SUMPRODUCT((ISNUMBER(SEARCH($Y3,Dienstplan!$B$25:$B$36))*(ISNUMBER(SEARCH($AB$5,Dienstplan!$C$25:$AG$36)))))</f>
        <v>5</v>
      </c>
      <c r="F100">
        <f>SUMPRODUCT((ISNUMBER(SEARCH($Y3,Dienstplan!$B$25:$B$36))*(ISNUMBER(SEARCH($AB$6,Dienstplan!$C$25:$AG$36)))))</f>
        <v>2</v>
      </c>
      <c r="G100">
        <f>SUMPRODUCT((ISNUMBER(SEARCH($Y3,Dienstplan!$B$25:$B$36))*(ISNUMBER(SEARCH($AB$7,Dienstplan!$C$25:$AG$36)))))-H100</f>
        <v>0</v>
      </c>
      <c r="H100">
        <f>SUMPRODUCT((ISNUMBER(SEARCH($Y3,Dienstplan!$B$25:$B$36))*(ISNUMBER(SEARCH($AB$8,Dienstplan!$C$25:$AG$36)))))</f>
        <v>0</v>
      </c>
      <c r="I100">
        <f>SUMPRODUCT((ISNUMBER(SEARCH($Y3,Dienstplan!$B$25:$B$36))*(ISNUMBER(SEARCH($AB$9,Dienstplan!$C$25:$AG$36)))))</f>
        <v>0</v>
      </c>
      <c r="J100">
        <f>SUMPRODUCT((ISNUMBER(SEARCH($Y3,Dienstplan!$B$25:$B$36))*(ISNUMBER(SEARCH($AB$10,Dienstplan!$C$25:$AG$36)))))</f>
        <v>0</v>
      </c>
      <c r="K100">
        <f>SUMPRODUCT((ISNUMBER(SEARCH($Y3,Dienstplan!$B$25:$B$36))*(ISNUMBER(SEARCH($AB$11,Dienstplan!$C$25:$AG$36)))))-$Q100</f>
        <v>5</v>
      </c>
      <c r="L100">
        <f>SUMPRODUCT((ISNUMBER(SEARCH($Y3,Dienstplan!$B$25:$B$36))*(ISNUMBER(SEARCH($AB$12,Dienstplan!$C$25:$AG$36)))))</f>
        <v>0</v>
      </c>
      <c r="M100">
        <f>SUMPRODUCT((ISNUMBER(SEARCH($Y3,Dienstplan!$B$25:$B$36))*(ISNUMBER(SEARCH($AB$13,Dienstplan!$C$25:$AG$36)))))</f>
        <v>0</v>
      </c>
      <c r="N100">
        <f>SUMPRODUCT((ISNUMBER(SEARCH($Y3,Dienstplan!$B$25:$B$36))*(ISNUMBER(SEARCH($AB$14,Dienstplan!$C$25:$AG$36)))))</f>
        <v>0</v>
      </c>
      <c r="O100">
        <f>SUMPRODUCT((ISNUMBER(SEARCH($Y3,Dienstplan!$B$25:$B$36))*(ISNUMBER(SEARCH($AB$15,Dienstplan!$C$25:$AG$36)))))</f>
        <v>0</v>
      </c>
      <c r="P100">
        <f>SUMPRODUCT((ISNUMBER(SEARCH($Y3,Dienstplan!$B$25:$B$36))*(ISNUMBER(SEARCH($AB$16,Dienstplan!$C$25:$AG$36)))))</f>
        <v>0</v>
      </c>
      <c r="Q100">
        <f>SUMPRODUCT((ISNUMBER(SEARCH($Y3,Dienstplan!$B$25:$B$36))*(ISNUMBER(SEARCH($AB$17,Dienstplan!$C$25:$AG$36)))))</f>
        <v>0</v>
      </c>
      <c r="R100">
        <f>SUMPRODUCT((ISNUMBER(SEARCH($Y3,Dienstplan!$B$25:$B$36))*(ISNUMBER(SEARCH($AB$18,Dienstplan!$C$25:$AG$36)))))</f>
        <v>0</v>
      </c>
      <c r="S100" s="11">
        <f>SUMPRODUCT((ISNUMBER(SEARCH($Y3,Dienstplan!$B$25:$B$36))*(ISNUMBER(SEARCH($AB$19,Dienstplan!$C$25:$AG$36)))))</f>
        <v>1</v>
      </c>
      <c r="T100">
        <f t="shared" ref="T100:T110" si="34">SUM($F$98*$Z3)</f>
        <v>168</v>
      </c>
      <c r="U100" s="14">
        <f>SUM($C100*Frueh_1+$D100*Spaet_1+$E100*Nacht_1+$F100*Normal_1+$I100*Sonderd_1-$J100*Velten+$K100*Velten+$L100*EH_Kurs+$M100*Koor_taet+$N100*Sekre_1+$O100*Velten+$R100*Velten+$P100*Velten+$Q100*Velten+G100*Velt_M+H100*Velt_M)</f>
        <v>92.5</v>
      </c>
      <c r="V100" s="11">
        <f>SUM($U100-$T100)</f>
        <v>-75.5</v>
      </c>
      <c r="W100" s="20">
        <f t="shared" ref="W100:W110" si="35">V100+W84</f>
        <v>-336.25</v>
      </c>
    </row>
    <row r="101" spans="1:23" x14ac:dyDescent="0.25">
      <c r="A101" s="11"/>
      <c r="B101" s="27" t="str">
        <f t="shared" si="33"/>
        <v>Siebert</v>
      </c>
      <c r="C101">
        <f>SUMPRODUCT((ISNUMBER(SEARCH($Y4,Dienstplan!$B$25:$B$36))*(ISNUMBER(SEARCH($AB$3,Dienstplan!$C$25:$AG$36)))))-D101</f>
        <v>0</v>
      </c>
      <c r="D101">
        <f>SUMPRODUCT((ISNUMBER(SEARCH($Y4,Dienstplan!$B$25:$B$36))*(ISNUMBER(SEARCH($AB$4,Dienstplan!$C$25:$AG$36)))))</f>
        <v>0</v>
      </c>
      <c r="E101">
        <f>SUMPRODUCT((ISNUMBER(SEARCH($Y4,Dienstplan!$B$25:$B$36))*(ISNUMBER(SEARCH($AB$5,Dienstplan!$C$25:$AG$36)))))</f>
        <v>5</v>
      </c>
      <c r="F101">
        <f>SUMPRODUCT((ISNUMBER(SEARCH($Y4,Dienstplan!$B$25:$B$36))*(ISNUMBER(SEARCH($AB$6,Dienstplan!$C$25:$AG$36)))))</f>
        <v>5</v>
      </c>
      <c r="G101">
        <f>SUMPRODUCT((ISNUMBER(SEARCH($Y4,Dienstplan!$B$25:$B$36))*(ISNUMBER(SEARCH($AB$7,Dienstplan!$C$25:$AG$36)))))-H101</f>
        <v>0</v>
      </c>
      <c r="H101">
        <f>SUMPRODUCT((ISNUMBER(SEARCH($Y4,Dienstplan!$B$25:$B$36))*(ISNUMBER(SEARCH($AB$8,Dienstplan!$C$25:$AG$36)))))</f>
        <v>0</v>
      </c>
      <c r="I101">
        <f>SUMPRODUCT((ISNUMBER(SEARCH($Y4,Dienstplan!$B$25:$B$36))*(ISNUMBER(SEARCH($AB$9,Dienstplan!$C$25:$AG$36)))))</f>
        <v>0</v>
      </c>
      <c r="J101">
        <f>SUMPRODUCT((ISNUMBER(SEARCH($Y4,Dienstplan!$B$25:$B$36))*(ISNUMBER(SEARCH($AB$10,Dienstplan!$C$25:$AG$36)))))</f>
        <v>0</v>
      </c>
      <c r="K101">
        <f>SUMPRODUCT((ISNUMBER(SEARCH($Y4,Dienstplan!$B$25:$B$36))*(ISNUMBER(SEARCH($AB$11,Dienstplan!$C$25:$AG$36)))))-$Q101</f>
        <v>8</v>
      </c>
      <c r="L101">
        <f>SUMPRODUCT((ISNUMBER(SEARCH($Y4,Dienstplan!$B$25:$B$36))*(ISNUMBER(SEARCH($AB$12,Dienstplan!$C$25:$AG$36)))))</f>
        <v>0</v>
      </c>
      <c r="M101">
        <f>SUMPRODUCT((ISNUMBER(SEARCH($Y4,Dienstplan!$B$25:$B$36))*(ISNUMBER(SEARCH($AB$13,Dienstplan!$C$25:$AG$36)))))</f>
        <v>0</v>
      </c>
      <c r="N101">
        <f>SUMPRODUCT((ISNUMBER(SEARCH($Y4,Dienstplan!$B$25:$B$36))*(ISNUMBER(SEARCH($AB$14,Dienstplan!$C$25:$AG$36)))))</f>
        <v>0</v>
      </c>
      <c r="O101">
        <f>SUMPRODUCT((ISNUMBER(SEARCH($Y4,Dienstplan!$B$25:$B$36))*(ISNUMBER(SEARCH($AB$15,Dienstplan!$C$25:$AG$36)))))</f>
        <v>0</v>
      </c>
      <c r="P101">
        <f>SUMPRODUCT((ISNUMBER(SEARCH($Y4,Dienstplan!$B$25:$B$36))*(ISNUMBER(SEARCH($AB$16,Dienstplan!$C$25:$AG$36)))))</f>
        <v>0</v>
      </c>
      <c r="Q101">
        <f>SUMPRODUCT((ISNUMBER(SEARCH($Y4,Dienstplan!$B$25:$B$36))*(ISNUMBER(SEARCH($AB$17,Dienstplan!$C$25:$AG$36)))))</f>
        <v>0</v>
      </c>
      <c r="R101">
        <f>SUMPRODUCT((ISNUMBER(SEARCH($Y4,Dienstplan!$B$25:$B$36))*(ISNUMBER(SEARCH($AB$18,Dienstplan!$C$25:$AG$36)))))</f>
        <v>0</v>
      </c>
      <c r="S101" s="11">
        <f>SUMPRODUCT((ISNUMBER(SEARCH($Y4,Dienstplan!$B$25:$B$36))*(ISNUMBER(SEARCH($AB$19,Dienstplan!$C$25:$AG$36)))))</f>
        <v>1</v>
      </c>
      <c r="T101">
        <f t="shared" si="34"/>
        <v>147</v>
      </c>
      <c r="U101" s="14">
        <f>SUM($C101*Frueh_1+$D101*Spaet_1+$E101*Nacht_1+$F101*Normal_1+$I101*Sonderd_1-$J101*Brue_H+$K101*Brue_H+$L101*EH_Kurs+$M101*Koor_taet+$N101*Sekre_1+$O101*Brue_H+$R101*Brue_H+$P101*Brue_H+$Q101*Brue_H+G101*Brue_H+H101*Brue_H)</f>
        <v>131</v>
      </c>
      <c r="V101" s="11">
        <f t="shared" ref="V101:V110" si="36">SUM($U101-$T101)</f>
        <v>-16</v>
      </c>
      <c r="W101" s="20">
        <f t="shared" si="35"/>
        <v>-144.75</v>
      </c>
    </row>
    <row r="102" spans="1:23" x14ac:dyDescent="0.25">
      <c r="A102" s="11"/>
      <c r="B102" s="27" t="str">
        <f t="shared" si="33"/>
        <v>Jochim</v>
      </c>
      <c r="C102">
        <f>SUMPRODUCT((ISNUMBER(SEARCH($Y5,Dienstplan!$B$25:$B$36))*(ISNUMBER(SEARCH($AB$3,Dienstplan!$C$25:$AG$36)))))-D102</f>
        <v>0</v>
      </c>
      <c r="D102">
        <f>SUMPRODUCT((ISNUMBER(SEARCH($Y5,Dienstplan!$B$25:$B$36))*(ISNUMBER(SEARCH($AB$4,Dienstplan!$C$25:$AG$36)))))</f>
        <v>0</v>
      </c>
      <c r="E102">
        <f>SUMPRODUCT((ISNUMBER(SEARCH($Y5,Dienstplan!$B$25:$B$36))*(ISNUMBER(SEARCH($AB$5,Dienstplan!$C$25:$AG$36)))))</f>
        <v>0</v>
      </c>
      <c r="F102">
        <f>SUMPRODUCT((ISNUMBER(SEARCH($Y5,Dienstplan!$B$25:$B$36))*(ISNUMBER(SEARCH($AB$6,Dienstplan!$C$25:$AG$36)))))</f>
        <v>0</v>
      </c>
      <c r="G102">
        <f>SUMPRODUCT((ISNUMBER(SEARCH($Y5,Dienstplan!$B$25:$B$36))*(ISNUMBER(SEARCH($AB$7,Dienstplan!$C$25:$AG$36)))))-H102</f>
        <v>0</v>
      </c>
      <c r="H102">
        <f>SUMPRODUCT((ISNUMBER(SEARCH($Y5,Dienstplan!$B$25:$B$36))*(ISNUMBER(SEARCH($AB$8,Dienstplan!$C$25:$AG$36)))))</f>
        <v>0</v>
      </c>
      <c r="I102">
        <f>SUMPRODUCT((ISNUMBER(SEARCH($Y5,Dienstplan!$B$25:$B$36))*(ISNUMBER(SEARCH($AB$9,Dienstplan!$C$25:$AG$36)))))</f>
        <v>0</v>
      </c>
      <c r="J102">
        <f>SUMPRODUCT((ISNUMBER(SEARCH($Y5,Dienstplan!$B$25:$B$36))*(ISNUMBER(SEARCH($AB$10,Dienstplan!$C$25:$AG$36)))))</f>
        <v>0</v>
      </c>
      <c r="K102">
        <f>SUMPRODUCT((ISNUMBER(SEARCH($Y5,Dienstplan!$B$25:$B$36))*(ISNUMBER(SEARCH($AB$11,Dienstplan!$C$25:$AG$36)))))-$Q102</f>
        <v>0</v>
      </c>
      <c r="L102">
        <f>SUMPRODUCT((ISNUMBER(SEARCH($Y5,Dienstplan!$B$25:$B$36))*(ISNUMBER(SEARCH($AB$12,Dienstplan!$C$25:$AG$36)))))</f>
        <v>0</v>
      </c>
      <c r="M102">
        <f>SUMPRODUCT((ISNUMBER(SEARCH($Y5,Dienstplan!$B$25:$B$36))*(ISNUMBER(SEARCH($AB$13,Dienstplan!$C$25:$AG$36)))))</f>
        <v>0</v>
      </c>
      <c r="N102">
        <f>SUMPRODUCT((ISNUMBER(SEARCH($Y5,Dienstplan!$B$25:$B$36))*(ISNUMBER(SEARCH($AB$14,Dienstplan!$C$25:$AG$36)))))</f>
        <v>0</v>
      </c>
      <c r="O102">
        <f>SUMPRODUCT((ISNUMBER(SEARCH($Y5,Dienstplan!$B$25:$B$36))*(ISNUMBER(SEARCH($AB$15,Dienstplan!$C$25:$AG$36)))))</f>
        <v>0</v>
      </c>
      <c r="P102">
        <f>SUMPRODUCT((ISNUMBER(SEARCH($Y5,Dienstplan!$B$25:$B$36))*(ISNUMBER(SEARCH($AB$16,Dienstplan!$C$25:$AG$36)))))</f>
        <v>0</v>
      </c>
      <c r="Q102">
        <f>SUMPRODUCT((ISNUMBER(SEARCH($Y5,Dienstplan!$B$25:$B$36))*(ISNUMBER(SEARCH($AB$17,Dienstplan!$C$25:$AG$36)))))</f>
        <v>0</v>
      </c>
      <c r="R102">
        <f>SUMPRODUCT((ISNUMBER(SEARCH($Y5,Dienstplan!$B$25:$B$36))*(ISNUMBER(SEARCH($AB$18,Dienstplan!$C$25:$AG$36)))))</f>
        <v>0</v>
      </c>
      <c r="S102" s="11">
        <f>SUMPRODUCT((ISNUMBER(SEARCH($Y5,Dienstplan!$B$25:$B$36))*(ISNUMBER(SEARCH($AB$19,Dienstplan!$C$25:$AG$36)))))</f>
        <v>0</v>
      </c>
      <c r="T102">
        <f t="shared" si="34"/>
        <v>147</v>
      </c>
      <c r="U102" s="14">
        <f>SUM($C102*Frueh_1+$D102*Spaet_1+$E102*Nacht_1+$F102*Normal_1+$I102*Sonderd_1-$J102*Rath_M+$K102*Rath_M+$L102*EH_Kurs+$M102*Koor_taet+$N102*Sekre_1+$O102*Rath_M+$R102*Rath_M+$P102*Rath_M+$Q102*Rath_M+G102*Rath_M+H102*Rath_M)</f>
        <v>0</v>
      </c>
      <c r="V102" s="11">
        <f t="shared" si="36"/>
        <v>-147</v>
      </c>
      <c r="W102" s="20">
        <f t="shared" si="35"/>
        <v>-746</v>
      </c>
    </row>
    <row r="103" spans="1:23" x14ac:dyDescent="0.25">
      <c r="A103" s="11"/>
      <c r="B103" s="27" t="str">
        <f t="shared" si="33"/>
        <v>Wunsch</v>
      </c>
      <c r="C103">
        <f>SUMPRODUCT((ISNUMBER(SEARCH($Y6,Dienstplan!$B$25:$B$36))*(ISNUMBER(SEARCH($AB$3,Dienstplan!$C$25:$AG$36)))))-D103</f>
        <v>0</v>
      </c>
      <c r="D103">
        <f>SUMPRODUCT((ISNUMBER(SEARCH($Y6,Dienstplan!$B$25:$B$36))*(ISNUMBER(SEARCH($AB$4,Dienstplan!$C$25:$AG$36)))))</f>
        <v>0</v>
      </c>
      <c r="E103">
        <f>SUMPRODUCT((ISNUMBER(SEARCH($Y6,Dienstplan!$B$25:$B$36))*(ISNUMBER(SEARCH($AB$5,Dienstplan!$C$25:$AG$36)))))</f>
        <v>0</v>
      </c>
      <c r="F103">
        <f>SUMPRODUCT((ISNUMBER(SEARCH($Y6,Dienstplan!$B$25:$B$36))*(ISNUMBER(SEARCH($AB$6,Dienstplan!$C$25:$AG$36)))))</f>
        <v>5</v>
      </c>
      <c r="G103">
        <f>SUMPRODUCT((ISNUMBER(SEARCH($Y6,Dienstplan!$B$25:$B$36))*(ISNUMBER(SEARCH($AB$7,Dienstplan!$C$25:$AG$36)))))-H103</f>
        <v>0</v>
      </c>
      <c r="H103">
        <f>SUMPRODUCT((ISNUMBER(SEARCH($Y6,Dienstplan!$B$25:$B$36))*(ISNUMBER(SEARCH($AB$8,Dienstplan!$C$25:$AG$36)))))</f>
        <v>0</v>
      </c>
      <c r="I103">
        <f>SUMPRODUCT((ISNUMBER(SEARCH($Y6,Dienstplan!$B$25:$B$36))*(ISNUMBER(SEARCH($AB$9,Dienstplan!$C$25:$AG$36)))))</f>
        <v>0</v>
      </c>
      <c r="J103">
        <f>SUMPRODUCT((ISNUMBER(SEARCH($Y6,Dienstplan!$B$25:$B$36))*(ISNUMBER(SEARCH($AB$10,Dienstplan!$C$25:$AG$36)))))</f>
        <v>0</v>
      </c>
      <c r="K103">
        <f>SUMPRODUCT((ISNUMBER(SEARCH($Y6,Dienstplan!$B$25:$B$36))*(ISNUMBER(SEARCH($AB$11,Dienstplan!$C$25:$AG$36)))))-$Q103</f>
        <v>7</v>
      </c>
      <c r="L103">
        <f>SUMPRODUCT((ISNUMBER(SEARCH($Y6,Dienstplan!$B$25:$B$36))*(ISNUMBER(SEARCH($AB$12,Dienstplan!$C$25:$AG$36)))))</f>
        <v>0</v>
      </c>
      <c r="M103">
        <f>SUMPRODUCT((ISNUMBER(SEARCH($Y6,Dienstplan!$B$25:$B$36))*(ISNUMBER(SEARCH($AB$13,Dienstplan!$C$25:$AG$36)))))</f>
        <v>0</v>
      </c>
      <c r="N103">
        <f>SUMPRODUCT((ISNUMBER(SEARCH($Y6,Dienstplan!$B$25:$B$36))*(ISNUMBER(SEARCH($AB$14,Dienstplan!$C$25:$AG$36)))))</f>
        <v>0</v>
      </c>
      <c r="O103">
        <f>SUMPRODUCT((ISNUMBER(SEARCH($Y6,Dienstplan!$B$25:$B$36))*(ISNUMBER(SEARCH($AB$15,Dienstplan!$C$25:$AG$36)))))</f>
        <v>1</v>
      </c>
      <c r="P103">
        <f>SUMPRODUCT((ISNUMBER(SEARCH($Y6,Dienstplan!$B$25:$B$36))*(ISNUMBER(SEARCH($AB$16,Dienstplan!$C$25:$AG$36)))))</f>
        <v>0</v>
      </c>
      <c r="Q103">
        <f>SUMPRODUCT((ISNUMBER(SEARCH($Y6,Dienstplan!$B$25:$B$36))*(ISNUMBER(SEARCH($AB$17,Dienstplan!$C$25:$AG$36)))))</f>
        <v>0</v>
      </c>
      <c r="R103">
        <f>SUMPRODUCT((ISNUMBER(SEARCH($Y6,Dienstplan!$B$25:$B$36))*(ISNUMBER(SEARCH($AB$18,Dienstplan!$C$25:$AG$36)))))</f>
        <v>0</v>
      </c>
      <c r="S103" s="11">
        <f>SUMPRODUCT((ISNUMBER(SEARCH($Y6,Dienstplan!$B$25:$B$36))*(ISNUMBER(SEARCH($AB$19,Dienstplan!$C$25:$AG$36)))))</f>
        <v>1</v>
      </c>
      <c r="T103">
        <f t="shared" si="34"/>
        <v>168</v>
      </c>
      <c r="U103" s="14">
        <f>SUM($C103*Frueh_1+$D103*Spaet_1+$E103*Nacht_1+$F103*Normal_1+$I103*Sonderd_1-$J103*Scho_K+$K103*Scho_K+$L103*EH_Kurs+$M103*Koor_taet+$N103*Sekre_1+$O103*Scho_K+$R103*Scho_K+$P103*Scho_K+$Q103*Scho_K+G103*Scho_K+H103*Scho_K)</f>
        <v>101.5</v>
      </c>
      <c r="V103" s="11">
        <f t="shared" si="36"/>
        <v>-66.5</v>
      </c>
      <c r="W103" s="20">
        <f t="shared" si="35"/>
        <v>-302.75</v>
      </c>
    </row>
    <row r="104" spans="1:23" x14ac:dyDescent="0.25">
      <c r="A104" s="11"/>
      <c r="B104" s="27" t="str">
        <f t="shared" si="33"/>
        <v>Göpfrich</v>
      </c>
      <c r="C104">
        <f>SUMPRODUCT((ISNUMBER(SEARCH($Y7,Dienstplan!$B$25:$B$36))*(ISNUMBER(SEARCH($AB$3,Dienstplan!$C$25:$AG$36)))))-D104</f>
        <v>0</v>
      </c>
      <c r="D104">
        <f>SUMPRODUCT((ISNUMBER(SEARCH($Y7,Dienstplan!$B$25:$B$36))*(ISNUMBER(SEARCH($AB$4,Dienstplan!$C$25:$AG$36)))))</f>
        <v>0</v>
      </c>
      <c r="E104">
        <f>SUMPRODUCT((ISNUMBER(SEARCH($Y7,Dienstplan!$B$25:$B$36))*(ISNUMBER(SEARCH($AB$5,Dienstplan!$C$25:$AG$36)))))</f>
        <v>0</v>
      </c>
      <c r="F104">
        <f>SUMPRODUCT((ISNUMBER(SEARCH($Y7,Dienstplan!$B$25:$B$36))*(ISNUMBER(SEARCH($AB$6,Dienstplan!$C$25:$AG$36)))))</f>
        <v>5</v>
      </c>
      <c r="G104">
        <f>SUMPRODUCT((ISNUMBER(SEARCH($Y7,Dienstplan!$B$25:$B$36))*(ISNUMBER(SEARCH($AB$7,Dienstplan!$C$25:$AG$36)))))-H104</f>
        <v>0</v>
      </c>
      <c r="H104">
        <f>SUMPRODUCT((ISNUMBER(SEARCH($Y7,Dienstplan!$B$25:$B$36))*(ISNUMBER(SEARCH($AB$8,Dienstplan!$C$25:$AG$36)))))</f>
        <v>0</v>
      </c>
      <c r="I104">
        <f>SUMPRODUCT((ISNUMBER(SEARCH($Y7,Dienstplan!$B$25:$B$36))*(ISNUMBER(SEARCH($AB$9,Dienstplan!$C$25:$AG$36)))))</f>
        <v>0</v>
      </c>
      <c r="J104">
        <f>SUMPRODUCT((ISNUMBER(SEARCH($Y7,Dienstplan!$B$25:$B$36))*(ISNUMBER(SEARCH($AB$10,Dienstplan!$C$25:$AG$36)))))</f>
        <v>0</v>
      </c>
      <c r="K104">
        <f>SUMPRODUCT((ISNUMBER(SEARCH($Y7,Dienstplan!$B$25:$B$36))*(ISNUMBER(SEARCH($AB$11,Dienstplan!$C$25:$AG$36)))))-$Q104</f>
        <v>5</v>
      </c>
      <c r="L104">
        <f>SUMPRODUCT((ISNUMBER(SEARCH($Y7,Dienstplan!$B$25:$B$36))*(ISNUMBER(SEARCH($AB$12,Dienstplan!$C$25:$AG$36)))))</f>
        <v>0</v>
      </c>
      <c r="M104">
        <f>SUMPRODUCT((ISNUMBER(SEARCH($Y7,Dienstplan!$B$25:$B$36))*(ISNUMBER(SEARCH($AB$13,Dienstplan!$C$25:$AG$36)))))</f>
        <v>0</v>
      </c>
      <c r="N104">
        <f>SUMPRODUCT((ISNUMBER(SEARCH($Y7,Dienstplan!$B$25:$B$36))*(ISNUMBER(SEARCH($AB$14,Dienstplan!$C$25:$AG$36)))))</f>
        <v>0</v>
      </c>
      <c r="O104">
        <f>SUMPRODUCT((ISNUMBER(SEARCH($Y7,Dienstplan!$B$25:$B$36))*(ISNUMBER(SEARCH($AB$15,Dienstplan!$C$25:$AG$36)))))</f>
        <v>0</v>
      </c>
      <c r="P104">
        <f>SUMPRODUCT((ISNUMBER(SEARCH($Y7,Dienstplan!$B$25:$B$36))*(ISNUMBER(SEARCH($AB$16,Dienstplan!$C$25:$AG$36)))))</f>
        <v>0</v>
      </c>
      <c r="Q104">
        <f>SUMPRODUCT((ISNUMBER(SEARCH($Y7,Dienstplan!$B$25:$B$36))*(ISNUMBER(SEARCH($AB$17,Dienstplan!$C$25:$AG$36)))))</f>
        <v>0</v>
      </c>
      <c r="R104">
        <f>SUMPRODUCT((ISNUMBER(SEARCH($Y7,Dienstplan!$B$25:$B$36))*(ISNUMBER(SEARCH($AB$18,Dienstplan!$C$25:$AG$36)))))</f>
        <v>0</v>
      </c>
      <c r="S104" s="11">
        <f>SUMPRODUCT((ISNUMBER(SEARCH($Y7,Dienstplan!$B$25:$B$36))*(ISNUMBER(SEARCH($AB$19,Dienstplan!$C$25:$AG$36)))))</f>
        <v>1</v>
      </c>
      <c r="T104">
        <f t="shared" si="34"/>
        <v>147</v>
      </c>
      <c r="U104" s="14">
        <f>SUM($C104*Frueh_1+$D104*Spaet_1+$E104*Nacht_1+$F104*Normal_1+$I104*Sonderd_1-$J104*Krie_B+$K104*Krie_B+$L104*EH_Kurs+$M104*Koor_taet+$N104*Sekre_1+$O104*Krie_B+$R104*Krie_B+$P104*Krie_B+$Q104*Krie_B+G104*Krie_B+H104*Krie_B)</f>
        <v>72.5</v>
      </c>
      <c r="V104" s="11">
        <f t="shared" si="36"/>
        <v>-74.5</v>
      </c>
      <c r="W104" s="20">
        <f t="shared" si="35"/>
        <v>-227.75</v>
      </c>
    </row>
    <row r="105" spans="1:23" x14ac:dyDescent="0.25">
      <c r="A105" s="11"/>
      <c r="B105" s="27" t="str">
        <f t="shared" si="33"/>
        <v>Zeller</v>
      </c>
      <c r="C105">
        <f>SUMPRODUCT((ISNUMBER(SEARCH($Y8,Dienstplan!$B$25:$B$36))*(ISNUMBER(SEARCH($AB$3,Dienstplan!$C$25:$AG$36)))))-D105</f>
        <v>5</v>
      </c>
      <c r="D105">
        <f>SUMPRODUCT((ISNUMBER(SEARCH($Y8,Dienstplan!$B$25:$B$36))*(ISNUMBER(SEARCH($AB$4,Dienstplan!$C$25:$AG$36)))))</f>
        <v>0</v>
      </c>
      <c r="E105">
        <f>SUMPRODUCT((ISNUMBER(SEARCH($Y8,Dienstplan!$B$25:$B$36))*(ISNUMBER(SEARCH($AB$5,Dienstplan!$C$25:$AG$36)))))</f>
        <v>0</v>
      </c>
      <c r="F105">
        <f>SUMPRODUCT((ISNUMBER(SEARCH($Y8,Dienstplan!$B$25:$B$36))*(ISNUMBER(SEARCH($AB$6,Dienstplan!$C$25:$AG$36)))))</f>
        <v>0</v>
      </c>
      <c r="G105">
        <f>SUMPRODUCT((ISNUMBER(SEARCH($Y8,Dienstplan!$B$25:$B$36))*(ISNUMBER(SEARCH($AB$7,Dienstplan!$C$25:$AG$36)))))-H105</f>
        <v>0</v>
      </c>
      <c r="H105">
        <f>SUMPRODUCT((ISNUMBER(SEARCH($Y8,Dienstplan!$B$25:$B$36))*(ISNUMBER(SEARCH($AB$8,Dienstplan!$C$25:$AG$36)))))</f>
        <v>0</v>
      </c>
      <c r="I105">
        <f>SUMPRODUCT((ISNUMBER(SEARCH($Y8,Dienstplan!$B$25:$B$36))*(ISNUMBER(SEARCH($AB$9,Dienstplan!$C$25:$AG$36)))))</f>
        <v>0</v>
      </c>
      <c r="J105">
        <f>SUMPRODUCT((ISNUMBER(SEARCH($Y8,Dienstplan!$B$25:$B$36))*(ISNUMBER(SEARCH($AB$10,Dienstplan!$C$25:$AG$36)))))</f>
        <v>0</v>
      </c>
      <c r="K105">
        <f>SUMPRODUCT((ISNUMBER(SEARCH($Y8,Dienstplan!$B$25:$B$36))*(ISNUMBER(SEARCH($AB$11,Dienstplan!$C$25:$AG$36)))))-$Q105</f>
        <v>5</v>
      </c>
      <c r="L105">
        <f>SUMPRODUCT((ISNUMBER(SEARCH($Y8,Dienstplan!$B$25:$B$36))*(ISNUMBER(SEARCH($AB$12,Dienstplan!$C$25:$AG$36)))))</f>
        <v>0</v>
      </c>
      <c r="M105">
        <f>SUMPRODUCT((ISNUMBER(SEARCH($Y8,Dienstplan!$B$25:$B$36))*(ISNUMBER(SEARCH($AB$13,Dienstplan!$C$25:$AG$36)))))</f>
        <v>0</v>
      </c>
      <c r="N105">
        <f>SUMPRODUCT((ISNUMBER(SEARCH($Y8,Dienstplan!$B$25:$B$36))*(ISNUMBER(SEARCH($AB$14,Dienstplan!$C$25:$AG$36)))))</f>
        <v>0</v>
      </c>
      <c r="O105">
        <f>SUMPRODUCT((ISNUMBER(SEARCH($Y8,Dienstplan!$B$25:$B$36))*(ISNUMBER(SEARCH($AB$15,Dienstplan!$C$25:$AG$36)))))</f>
        <v>0</v>
      </c>
      <c r="P105">
        <f>SUMPRODUCT((ISNUMBER(SEARCH($Y8,Dienstplan!$B$25:$B$36))*(ISNUMBER(SEARCH($AB$16,Dienstplan!$C$25:$AG$36)))))</f>
        <v>0</v>
      </c>
      <c r="Q105">
        <f>SUMPRODUCT((ISNUMBER(SEARCH($Y8,Dienstplan!$B$25:$B$36))*(ISNUMBER(SEARCH($AB$17,Dienstplan!$C$25:$AG$36)))))</f>
        <v>0</v>
      </c>
      <c r="R105">
        <f>SUMPRODUCT((ISNUMBER(SEARCH($Y8,Dienstplan!$B$25:$B$36))*(ISNUMBER(SEARCH($AB$18,Dienstplan!$C$25:$AG$36)))))</f>
        <v>0</v>
      </c>
      <c r="S105" s="11">
        <f>SUMPRODUCT((ISNUMBER(SEARCH($Y8,Dienstplan!$B$25:$B$36))*(ISNUMBER(SEARCH($AB$19,Dienstplan!$C$25:$AG$36)))))</f>
        <v>0</v>
      </c>
      <c r="T105">
        <f t="shared" si="34"/>
        <v>168</v>
      </c>
      <c r="U105" s="14">
        <f>SUM($C105*Frueh_1+$D105*Spaet_1+$E105*Nacht_1+$F105*Normal_1+$I105*Sonderd_1-$J105*Muster+$K105*Muster+$L105*EH_Kurs+$M105*Koor_taet+$N105*Sekre_1+$O105*Muster+$P105*Muster+$Q105*Muster+$R105*Muster+G105*Muster+H105*Muster)</f>
        <v>76.25</v>
      </c>
      <c r="V105" s="11">
        <f t="shared" si="36"/>
        <v>-91.75</v>
      </c>
      <c r="W105" s="20">
        <f t="shared" si="35"/>
        <v>-373.25</v>
      </c>
    </row>
    <row r="106" spans="1:23" x14ac:dyDescent="0.25">
      <c r="A106" s="11"/>
      <c r="B106" s="27" t="str">
        <f t="shared" si="33"/>
        <v>Behrendt</v>
      </c>
      <c r="C106">
        <f>SUMPRODUCT((ISNUMBER(SEARCH($Y9,Dienstplan!$B$25:$B$36))*(ISNUMBER(SEARCH($AB$3,Dienstplan!$C$25:$AG$36)))))-D106</f>
        <v>0</v>
      </c>
      <c r="D106">
        <f>SUMPRODUCT((ISNUMBER(SEARCH($Y9,Dienstplan!$B$25:$B$36))*(ISNUMBER(SEARCH($AB$4,Dienstplan!$C$25:$AG$36)))))</f>
        <v>0</v>
      </c>
      <c r="E106">
        <f>SUMPRODUCT((ISNUMBER(SEARCH($Y9,Dienstplan!$B$25:$B$36))*(ISNUMBER(SEARCH($AB$5,Dienstplan!$C$25:$AG$36)))))</f>
        <v>0</v>
      </c>
      <c r="F106">
        <f>SUMPRODUCT((ISNUMBER(SEARCH($Y9,Dienstplan!$B$25:$B$36))*(ISNUMBER(SEARCH($AB$6,Dienstplan!$C$25:$AG$36)))))</f>
        <v>5</v>
      </c>
      <c r="G106">
        <f>SUMPRODUCT((ISNUMBER(SEARCH($Y9,Dienstplan!$B$25:$B$36))*(ISNUMBER(SEARCH($AB$7,Dienstplan!$C$25:$AG$36)))))-H106</f>
        <v>0</v>
      </c>
      <c r="H106">
        <f>SUMPRODUCT((ISNUMBER(SEARCH($Y9,Dienstplan!$B$25:$B$36))*(ISNUMBER(SEARCH($AB$8,Dienstplan!$C$25:$AG$36)))))</f>
        <v>0</v>
      </c>
      <c r="I106">
        <f>SUMPRODUCT((ISNUMBER(SEARCH($Y9,Dienstplan!$B$25:$B$36))*(ISNUMBER(SEARCH($AB$9,Dienstplan!$C$25:$AG$36)))))</f>
        <v>0</v>
      </c>
      <c r="J106">
        <f>SUMPRODUCT((ISNUMBER(SEARCH($Y9,Dienstplan!$B$25:$B$36))*(ISNUMBER(SEARCH($AB$10,Dienstplan!$C$25:$AG$36)))))</f>
        <v>0</v>
      </c>
      <c r="K106">
        <f>SUMPRODUCT((ISNUMBER(SEARCH($Y9,Dienstplan!$B$25:$B$36))*(ISNUMBER(SEARCH($AB$11,Dienstplan!$C$25:$AG$36)))))-$Q106</f>
        <v>10</v>
      </c>
      <c r="L106">
        <f>SUMPRODUCT((ISNUMBER(SEARCH($Y9,Dienstplan!$B$25:$B$36))*(ISNUMBER(SEARCH($AB$12,Dienstplan!$C$25:$AG$36)))))</f>
        <v>0</v>
      </c>
      <c r="M106">
        <f>SUMPRODUCT((ISNUMBER(SEARCH($Y9,Dienstplan!$B$25:$B$36))*(ISNUMBER(SEARCH($AB$13,Dienstplan!$C$25:$AG$36)))))</f>
        <v>0</v>
      </c>
      <c r="N106">
        <f>SUMPRODUCT((ISNUMBER(SEARCH($Y9,Dienstplan!$B$25:$B$36))*(ISNUMBER(SEARCH($AB$14,Dienstplan!$C$25:$AG$36)))))</f>
        <v>0</v>
      </c>
      <c r="O106">
        <f>SUMPRODUCT((ISNUMBER(SEARCH($Y9,Dienstplan!$B$25:$B$36))*(ISNUMBER(SEARCH($AB$15,Dienstplan!$C$25:$AG$36)))))</f>
        <v>0</v>
      </c>
      <c r="P106">
        <f>SUMPRODUCT((ISNUMBER(SEARCH($Y9,Dienstplan!$B$25:$B$36))*(ISNUMBER(SEARCH($AB$16,Dienstplan!$C$25:$AG$36)))))</f>
        <v>0</v>
      </c>
      <c r="Q106">
        <f>SUMPRODUCT((ISNUMBER(SEARCH($Y9,Dienstplan!$B$25:$B$36))*(ISNUMBER(SEARCH($AB$17,Dienstplan!$C$25:$AG$36)))))</f>
        <v>0</v>
      </c>
      <c r="R106">
        <f>SUMPRODUCT((ISNUMBER(SEARCH($Y9,Dienstplan!$B$25:$B$36))*(ISNUMBER(SEARCH($AB$18,Dienstplan!$C$25:$AG$36)))))</f>
        <v>0</v>
      </c>
      <c r="S106" s="11">
        <f>SUMPRODUCT((ISNUMBER(SEARCH($Y9,Dienstplan!$B$25:$B$36))*(ISNUMBER(SEARCH($AB$19,Dienstplan!$C$25:$AG$36)))))</f>
        <v>1</v>
      </c>
      <c r="T106">
        <f t="shared" si="34"/>
        <v>147</v>
      </c>
      <c r="U106" s="14">
        <f>SUM($C106*Frueh_1+$D106*Spaet_1+$E106*Nacht_1+$F106*Normal_1+$I106*Sonderd_1-$J106*Muster+$K106*Muster+$L106*EH_Kurs+$M106*Koor_taet+$N106*Sekre_1+$O106*Muster+$P106*Muster+$Q106*Muster+$R106*Muster+G106*Muster+H106*Muster)</f>
        <v>117.5</v>
      </c>
      <c r="V106" s="11">
        <f t="shared" si="36"/>
        <v>-29.5</v>
      </c>
      <c r="W106" s="20">
        <f t="shared" si="35"/>
        <v>-287.45</v>
      </c>
    </row>
    <row r="107" spans="1:23" x14ac:dyDescent="0.25">
      <c r="A107" s="11"/>
      <c r="B107" s="27" t="str">
        <f t="shared" si="33"/>
        <v>Krempl</v>
      </c>
      <c r="C107">
        <f>SUMPRODUCT((ISNUMBER(SEARCH($Y10,Dienstplan!$B$25:$B$36))*(ISNUMBER(SEARCH($AB$3,Dienstplan!$C$25:$AG$36)))))-D107</f>
        <v>0</v>
      </c>
      <c r="D107">
        <f>SUMPRODUCT((ISNUMBER(SEARCH($Y10,Dienstplan!$B$25:$B$36))*(ISNUMBER(SEARCH($AB$4,Dienstplan!$C$25:$AG$36)))))</f>
        <v>0</v>
      </c>
      <c r="E107">
        <f>SUMPRODUCT((ISNUMBER(SEARCH($Y10,Dienstplan!$B$25:$B$36))*(ISNUMBER(SEARCH($AB$5,Dienstplan!$C$25:$AG$36)))))</f>
        <v>0</v>
      </c>
      <c r="F107">
        <f>SUMPRODUCT((ISNUMBER(SEARCH($Y10,Dienstplan!$B$25:$B$36))*(ISNUMBER(SEARCH($AB$6,Dienstplan!$C$25:$AG$36)))))</f>
        <v>0</v>
      </c>
      <c r="G107">
        <f>SUMPRODUCT((ISNUMBER(SEARCH($Y10,Dienstplan!$B$25:$B$36))*(ISNUMBER(SEARCH($AB$7,Dienstplan!$C$25:$AG$36)))))-H107</f>
        <v>0</v>
      </c>
      <c r="H107">
        <f>SUMPRODUCT((ISNUMBER(SEARCH($Y10,Dienstplan!$B$25:$B$36))*(ISNUMBER(SEARCH($AB$8,Dienstplan!$C$25:$AG$36)))))</f>
        <v>0</v>
      </c>
      <c r="I107">
        <f>SUMPRODUCT((ISNUMBER(SEARCH($Y10,Dienstplan!$B$25:$B$36))*(ISNUMBER(SEARCH($AB$9,Dienstplan!$C$25:$AG$36)))))</f>
        <v>0</v>
      </c>
      <c r="J107">
        <f>SUMPRODUCT((ISNUMBER(SEARCH($Y10,Dienstplan!$B$25:$B$36))*(ISNUMBER(SEARCH($AB$10,Dienstplan!$C$25:$AG$36)))))</f>
        <v>1</v>
      </c>
      <c r="K107">
        <f>SUMPRODUCT((ISNUMBER(SEARCH($Y10,Dienstplan!$B$25:$B$36))*(ISNUMBER(SEARCH($AB$11,Dienstplan!$C$25:$AG$36)))))-$Q107</f>
        <v>0</v>
      </c>
      <c r="L107">
        <f>SUMPRODUCT((ISNUMBER(SEARCH($Y10,Dienstplan!$B$25:$B$36))*(ISNUMBER(SEARCH($AB$12,Dienstplan!$C$25:$AG$36)))))</f>
        <v>0</v>
      </c>
      <c r="M107">
        <f>SUMPRODUCT((ISNUMBER(SEARCH($Y10,Dienstplan!$B$25:$B$36))*(ISNUMBER(SEARCH($AB$13,Dienstplan!$C$25:$AG$36)))))</f>
        <v>0</v>
      </c>
      <c r="N107">
        <f>SUMPRODUCT((ISNUMBER(SEARCH($Y10,Dienstplan!$B$25:$B$36))*(ISNUMBER(SEARCH($AB$14,Dienstplan!$C$25:$AG$36)))))</f>
        <v>0</v>
      </c>
      <c r="O107">
        <f>SUMPRODUCT((ISNUMBER(SEARCH($Y10,Dienstplan!$B$25:$B$36))*(ISNUMBER(SEARCH($AB$15,Dienstplan!$C$25:$AG$36)))))</f>
        <v>1</v>
      </c>
      <c r="P107">
        <f>SUMPRODUCT((ISNUMBER(SEARCH($Y10,Dienstplan!$B$25:$B$36))*(ISNUMBER(SEARCH($AB$16,Dienstplan!$C$25:$AG$36)))))</f>
        <v>0</v>
      </c>
      <c r="Q107">
        <f>SUMPRODUCT((ISNUMBER(SEARCH($Y10,Dienstplan!$B$25:$B$36))*(ISNUMBER(SEARCH($AB$17,Dienstplan!$C$25:$AG$36)))))</f>
        <v>0</v>
      </c>
      <c r="R107">
        <f>SUMPRODUCT((ISNUMBER(SEARCH($Y10,Dienstplan!$B$25:$B$36))*(ISNUMBER(SEARCH($AB$18,Dienstplan!$C$25:$AG$36)))))</f>
        <v>0</v>
      </c>
      <c r="S107" s="11">
        <f>SUMPRODUCT((ISNUMBER(SEARCH($Y10,Dienstplan!$B$25:$B$36))*(ISNUMBER(SEARCH($AB$19,Dienstplan!$C$25:$AG$36)))))</f>
        <v>0</v>
      </c>
      <c r="T107">
        <f t="shared" si="34"/>
        <v>67.2</v>
      </c>
      <c r="U107" s="14">
        <f>SUM($C107*Frueh_1+$D107*Spaet_1+$E107*Nacht_1+$F107*Normal_1+$I107*Sonderd_1-$J107*Krem_E+$K107*Krem_E+$L107*EH_Kurs+$M107*Koor_taet+$N107*Sekre_1+$O107*Krem_E+$R107*Krem_E+$P107*Krem_E+$Q107*Krem_E+G107*Krem_E+H107*Krem_E)</f>
        <v>0</v>
      </c>
      <c r="V107" s="11">
        <f t="shared" si="36"/>
        <v>-67.2</v>
      </c>
      <c r="W107" s="20">
        <f t="shared" si="35"/>
        <v>-349.7</v>
      </c>
    </row>
    <row r="108" spans="1:23" x14ac:dyDescent="0.25">
      <c r="A108" s="11"/>
      <c r="B108" s="27" t="str">
        <f t="shared" si="33"/>
        <v>Putschler</v>
      </c>
      <c r="C108">
        <f>SUMPRODUCT((ISNUMBER(SEARCH($Y11,Dienstplan!$B$25:$B$36))*(ISNUMBER(SEARCH($AB$3,Dienstplan!$C$25:$AG$36)))))-D108</f>
        <v>0</v>
      </c>
      <c r="D108">
        <f>SUMPRODUCT((ISNUMBER(SEARCH($Y11,Dienstplan!$B$25:$B$36))*(ISNUMBER(SEARCH($AB$4,Dienstplan!$C$25:$AG$36)))))</f>
        <v>0</v>
      </c>
      <c r="E108">
        <f>SUMPRODUCT((ISNUMBER(SEARCH($Y11,Dienstplan!$B$25:$B$36))*(ISNUMBER(SEARCH($AB$5,Dienstplan!$C$25:$AG$36)))))</f>
        <v>0</v>
      </c>
      <c r="F108">
        <f>SUMPRODUCT((ISNUMBER(SEARCH($Y11,Dienstplan!$B$25:$B$36))*(ISNUMBER(SEARCH($AB$6,Dienstplan!$C$25:$AG$36)))))</f>
        <v>0</v>
      </c>
      <c r="G108">
        <f>SUMPRODUCT((ISNUMBER(SEARCH($Y11,Dienstplan!$B$25:$B$36))*(ISNUMBER(SEARCH($AB$7,Dienstplan!$C$25:$AG$36)))))-H108</f>
        <v>0</v>
      </c>
      <c r="H108">
        <f>SUMPRODUCT((ISNUMBER(SEARCH($Y11,Dienstplan!$B$25:$B$36))*(ISNUMBER(SEARCH($AB$8,Dienstplan!$C$25:$AG$36)))))</f>
        <v>0</v>
      </c>
      <c r="I108">
        <f>SUMPRODUCT((ISNUMBER(SEARCH($Y11,Dienstplan!$B$25:$B$36))*(ISNUMBER(SEARCH($AB$9,Dienstplan!$C$25:$AG$36)))))</f>
        <v>0</v>
      </c>
      <c r="J108">
        <f>SUMPRODUCT((ISNUMBER(SEARCH($Y11,Dienstplan!$B$25:$B$36))*(ISNUMBER(SEARCH($AB$10,Dienstplan!$C$25:$AG$36)))))</f>
        <v>0</v>
      </c>
      <c r="K108">
        <f>SUMPRODUCT((ISNUMBER(SEARCH($Y11,Dienstplan!$B$25:$B$36))*(ISNUMBER(SEARCH($AB$11,Dienstplan!$C$25:$AG$36)))))-$Q108</f>
        <v>0</v>
      </c>
      <c r="L108">
        <f>SUMPRODUCT((ISNUMBER(SEARCH($Y11,Dienstplan!$B$25:$B$36))*(ISNUMBER(SEARCH($AB$12,Dienstplan!$C$25:$AG$36)))))</f>
        <v>0</v>
      </c>
      <c r="M108">
        <f>SUMPRODUCT((ISNUMBER(SEARCH($Y11,Dienstplan!$B$25:$B$36))*(ISNUMBER(SEARCH($AB$13,Dienstplan!$C$25:$AG$36)))))</f>
        <v>1</v>
      </c>
      <c r="N108">
        <f>SUMPRODUCT((ISNUMBER(SEARCH($Y11,Dienstplan!$B$25:$B$36))*(ISNUMBER(SEARCH($AB$14,Dienstplan!$C$25:$AG$36)))))</f>
        <v>0</v>
      </c>
      <c r="O108">
        <f>SUMPRODUCT((ISNUMBER(SEARCH($Y11,Dienstplan!$B$25:$B$36))*(ISNUMBER(SEARCH($AB$15,Dienstplan!$C$25:$AG$36)))))</f>
        <v>0</v>
      </c>
      <c r="P108">
        <f>SUMPRODUCT((ISNUMBER(SEARCH($Y11,Dienstplan!$B$25:$B$36))*(ISNUMBER(SEARCH($AB$16,Dienstplan!$C$25:$AG$36)))))</f>
        <v>0</v>
      </c>
      <c r="Q108">
        <f>SUMPRODUCT((ISNUMBER(SEARCH($Y11,Dienstplan!$B$25:$B$36))*(ISNUMBER(SEARCH($AB$17,Dienstplan!$C$25:$AG$36)))))</f>
        <v>0</v>
      </c>
      <c r="R108">
        <f>SUMPRODUCT((ISNUMBER(SEARCH($Y11,Dienstplan!$B$25:$B$36))*(ISNUMBER(SEARCH($AB$18,Dienstplan!$C$25:$AG$36)))))</f>
        <v>0</v>
      </c>
      <c r="S108" s="11">
        <f>SUMPRODUCT((ISNUMBER(SEARCH($Y11,Dienstplan!$B$25:$B$36))*(ISNUMBER(SEARCH($AB$19,Dienstplan!$C$25:$AG$36)))))</f>
        <v>0</v>
      </c>
      <c r="T108">
        <f t="shared" si="34"/>
        <v>168</v>
      </c>
      <c r="U108" s="14">
        <f>SUM($C108*Frueh_1+$D108*Spaet_1+$E108*Nacht_1+$F108*Normal_1+$I108*Sonderd_1-$J108*Put_W+$K108*Put_W+$L108*EH_Kurs+$M108*Koor_taet+$N108*Sekre_1+$O108*Put_W+$R108*Put_W+$P108*Put_W+$Q108*Put_W+G108*Put_W+H108*Put_W)</f>
        <v>8</v>
      </c>
      <c r="V108" s="11">
        <f t="shared" si="36"/>
        <v>-160</v>
      </c>
      <c r="W108" s="20">
        <f t="shared" si="35"/>
        <v>-409.5</v>
      </c>
    </row>
    <row r="109" spans="1:23" x14ac:dyDescent="0.25">
      <c r="A109" s="11"/>
      <c r="B109" s="27" t="str">
        <f t="shared" si="33"/>
        <v>Schmidt</v>
      </c>
      <c r="C109">
        <f>SUMPRODUCT((ISNUMBER(SEARCH($Y12,Dienstplan!$B$25:$B$36))*(ISNUMBER(SEARCH($AB$3,Dienstplan!$C$25:$AG$36)))))-D109</f>
        <v>0</v>
      </c>
      <c r="D109">
        <f>SUMPRODUCT((ISNUMBER(SEARCH($Y12,Dienstplan!$B$25:$B$36))*(ISNUMBER(SEARCH($AB$4,Dienstplan!$C$25:$AG$36)))))</f>
        <v>0</v>
      </c>
      <c r="E109">
        <f>SUMPRODUCT((ISNUMBER(SEARCH($Y12,Dienstplan!$B$25:$B$36))*(ISNUMBER(SEARCH($AB$5,Dienstplan!$C$25:$AG$36)))))</f>
        <v>0</v>
      </c>
      <c r="F109">
        <f>SUMPRODUCT((ISNUMBER(SEARCH($Y12,Dienstplan!$B$25:$B$36))*(ISNUMBER(SEARCH($AB$6,Dienstplan!$C$25:$AG$36)))))</f>
        <v>0</v>
      </c>
      <c r="G109">
        <f>SUMPRODUCT((ISNUMBER(SEARCH($Y12,Dienstplan!$B$25:$B$36))*(ISNUMBER(SEARCH($AB$7,Dienstplan!$C$25:$AG$36)))))-H109</f>
        <v>0</v>
      </c>
      <c r="H109">
        <f>SUMPRODUCT((ISNUMBER(SEARCH($Y12,Dienstplan!$B$25:$B$36))*(ISNUMBER(SEARCH($AB$8,Dienstplan!$C$25:$AG$36)))))</f>
        <v>0</v>
      </c>
      <c r="I109">
        <f>SUMPRODUCT((ISNUMBER(SEARCH($Y12,Dienstplan!$B$25:$B$36))*(ISNUMBER(SEARCH($AB$9,Dienstplan!$C$25:$AG$36)))))</f>
        <v>0</v>
      </c>
      <c r="J109">
        <f>SUMPRODUCT((ISNUMBER(SEARCH($Y12,Dienstplan!$B$25:$B$36))*(ISNUMBER(SEARCH($AB$10,Dienstplan!$C$25:$AG$36)))))</f>
        <v>0</v>
      </c>
      <c r="K109">
        <f>SUMPRODUCT((ISNUMBER(SEARCH($Y12,Dienstplan!$B$25:$B$36))*(ISNUMBER(SEARCH($AB$11,Dienstplan!$C$25:$AG$36)))))-$Q109</f>
        <v>7</v>
      </c>
      <c r="L109">
        <f>SUMPRODUCT((ISNUMBER(SEARCH($Y12,Dienstplan!$B$25:$B$36))*(ISNUMBER(SEARCH($AB$12,Dienstplan!$C$25:$AG$36)))))</f>
        <v>0</v>
      </c>
      <c r="M109">
        <f>SUMPRODUCT((ISNUMBER(SEARCH($Y12,Dienstplan!$B$25:$B$36))*(ISNUMBER(SEARCH($AB$13,Dienstplan!$C$25:$AG$36)))))</f>
        <v>0</v>
      </c>
      <c r="N109">
        <f>SUMPRODUCT((ISNUMBER(SEARCH($Y12,Dienstplan!$B$25:$B$36))*(ISNUMBER(SEARCH($AB$14,Dienstplan!$C$25:$AG$36)))))</f>
        <v>0</v>
      </c>
      <c r="O109">
        <f>SUMPRODUCT((ISNUMBER(SEARCH($Y12,Dienstplan!$B$25:$B$36))*(ISNUMBER(SEARCH($AB$15,Dienstplan!$C$25:$AG$36)))))</f>
        <v>0</v>
      </c>
      <c r="P109">
        <f>SUMPRODUCT((ISNUMBER(SEARCH($Y12,Dienstplan!$B$25:$B$36))*(ISNUMBER(SEARCH($AB$16,Dienstplan!$C$25:$AG$36)))))</f>
        <v>0</v>
      </c>
      <c r="Q109">
        <f>SUMPRODUCT((ISNUMBER(SEARCH($Y12,Dienstplan!$B$25:$B$36))*(ISNUMBER(SEARCH($AB$17,Dienstplan!$C$25:$AG$36)))))</f>
        <v>0</v>
      </c>
      <c r="R109">
        <f>SUMPRODUCT((ISNUMBER(SEARCH($Y12,Dienstplan!$B$25:$B$36))*(ISNUMBER(SEARCH($AB$18,Dienstplan!$C$25:$AG$36)))))</f>
        <v>0</v>
      </c>
      <c r="S109" s="11">
        <f>SUMPRODUCT((ISNUMBER(SEARCH($Y12,Dienstplan!$B$25:$B$36))*(ISNUMBER(SEARCH($AB$19,Dienstplan!$C$25:$AG$36)))))</f>
        <v>0</v>
      </c>
      <c r="T109">
        <f t="shared" si="34"/>
        <v>147</v>
      </c>
      <c r="U109" s="14">
        <f>SUM($C109*Frueh_1+$D109*Spaet_1+$E109*Nacht_1+$F109*Normal_1+$I109*Sonderd_1-$J109*Radi_L+$K109*Radi_L+$L109*EH_Kurs+$M109*Koor_taet+$N109*Sekre_1+$O109*Radi_L+$R109*Radi_L+$P109*Radi_L+$Q109*Radi_L+G109*Radi_L+H109*Radi_L)</f>
        <v>49</v>
      </c>
      <c r="V109" s="11">
        <f t="shared" si="36"/>
        <v>-98</v>
      </c>
      <c r="W109" s="20">
        <f t="shared" si="35"/>
        <v>-854</v>
      </c>
    </row>
    <row r="110" spans="1:23" x14ac:dyDescent="0.25">
      <c r="A110" s="11"/>
      <c r="B110" s="27" t="str">
        <f t="shared" si="33"/>
        <v>Radimersky</v>
      </c>
      <c r="C110">
        <f>SUMPRODUCT((ISNUMBER(SEARCH($Y13,Dienstplan!$B$25:$B$36))*(ISNUMBER(SEARCH($AB$3,Dienstplan!$C$25:$AG$36)))))-D110</f>
        <v>0</v>
      </c>
      <c r="D110">
        <f>SUMPRODUCT((ISNUMBER(SEARCH($Y13,Dienstplan!$B$25:$B$36))*(ISNUMBER(SEARCH($AB$4,Dienstplan!$C$25:$AG$36)))))</f>
        <v>0</v>
      </c>
      <c r="E110">
        <f>SUMPRODUCT((ISNUMBER(SEARCH($Y13,Dienstplan!$B$25:$B$36))*(ISNUMBER(SEARCH($AB$5,Dienstplan!$C$25:$AG$36)))))</f>
        <v>0</v>
      </c>
      <c r="F110">
        <f>SUMPRODUCT((ISNUMBER(SEARCH($Y13,Dienstplan!$B$25:$B$36))*(ISNUMBER(SEARCH($AB$6,Dienstplan!$C$25:$AG$36)))))</f>
        <v>0</v>
      </c>
      <c r="G110">
        <f>SUMPRODUCT((ISNUMBER(SEARCH($Y13,Dienstplan!$B$25:$B$36))*(ISNUMBER(SEARCH($AB$7,Dienstplan!$C$25:$AG$36)))))-H110</f>
        <v>0</v>
      </c>
      <c r="H110">
        <f>SUMPRODUCT((ISNUMBER(SEARCH($Y13,Dienstplan!$B$25:$B$36))*(ISNUMBER(SEARCH($AB$8,Dienstplan!$C$25:$AG$36)))))</f>
        <v>0</v>
      </c>
      <c r="I110">
        <f>SUMPRODUCT((ISNUMBER(SEARCH($Y13,Dienstplan!$B$25:$B$36))*(ISNUMBER(SEARCH($AB$9,Dienstplan!$C$25:$AG$36)))))</f>
        <v>0</v>
      </c>
      <c r="J110">
        <f>SUMPRODUCT((ISNUMBER(SEARCH($Y13,Dienstplan!$B$25:$B$36))*(ISNUMBER(SEARCH($AB$10,Dienstplan!$C$25:$AG$36)))))</f>
        <v>0</v>
      </c>
      <c r="K110">
        <f>SUMPRODUCT((ISNUMBER(SEARCH($Y13,Dienstplan!$B$25:$B$36))*(ISNUMBER(SEARCH($AB$11,Dienstplan!$C$25:$AG$36)))))-$Q110</f>
        <v>1</v>
      </c>
      <c r="L110">
        <f>SUMPRODUCT((ISNUMBER(SEARCH($Y13,Dienstplan!$B$25:$B$36))*(ISNUMBER(SEARCH($AB$12,Dienstplan!$C$25:$AG$36)))))</f>
        <v>0</v>
      </c>
      <c r="M110">
        <f>SUMPRODUCT((ISNUMBER(SEARCH($Y13,Dienstplan!$B$25:$B$36))*(ISNUMBER(SEARCH($AB$13,Dienstplan!$C$25:$AG$36)))))</f>
        <v>0</v>
      </c>
      <c r="N110">
        <f>SUMPRODUCT((ISNUMBER(SEARCH($Y13,Dienstplan!$B$25:$B$36))*(ISNUMBER(SEARCH($AB$14,Dienstplan!$C$25:$AG$36)))))</f>
        <v>0</v>
      </c>
      <c r="O110">
        <f>SUMPRODUCT((ISNUMBER(SEARCH($Y13,Dienstplan!$B$25:$B$36))*(ISNUMBER(SEARCH($AB$15,Dienstplan!$C$25:$AG$36)))))</f>
        <v>0</v>
      </c>
      <c r="P110">
        <f>SUMPRODUCT((ISNUMBER(SEARCH($Y13,Dienstplan!$B$25:$B$36))*(ISNUMBER(SEARCH($AB$16,Dienstplan!$C$25:$AG$36)))))</f>
        <v>0</v>
      </c>
      <c r="Q110">
        <f>SUMPRODUCT((ISNUMBER(SEARCH($Y13,Dienstplan!$B$25:$B$36))*(ISNUMBER(SEARCH($AB$17,Dienstplan!$C$25:$AG$36)))))</f>
        <v>0</v>
      </c>
      <c r="R110">
        <f>SUMPRODUCT((ISNUMBER(SEARCH($Y13,Dienstplan!$B$25:$B$36))*(ISNUMBER(SEARCH($AB$18,Dienstplan!$C$25:$AG$36)))))</f>
        <v>0</v>
      </c>
      <c r="S110" s="11">
        <f>SUMPRODUCT((ISNUMBER(SEARCH($Y13,Dienstplan!$B$25:$B$36))*(ISNUMBER(SEARCH($AB$19,Dienstplan!$C$25:$AG$36)))))</f>
        <v>0</v>
      </c>
      <c r="T110">
        <f t="shared" si="34"/>
        <v>63</v>
      </c>
      <c r="U110" s="14">
        <f>SUM($C110*Frueh_1+$D110*Spaet_1+$E110*Nacht_1+$F110*Normal_1+$I110*Sonderd_1-$J110*Fortenb+$K110*Fortenb+$L110*EH_Kurs+$M110*Koor_taet+$N110*Sekre_1+$O110*Fortenb+$R110*Fortenb+$P110*Fortenb+$Q110*Fortenb+G110*Fortenb+H110*Fortenb)</f>
        <v>3</v>
      </c>
      <c r="V110" s="11">
        <f t="shared" si="36"/>
        <v>-60</v>
      </c>
      <c r="W110" s="20">
        <f t="shared" si="35"/>
        <v>-384</v>
      </c>
    </row>
    <row r="111" spans="1:23" x14ac:dyDescent="0.25">
      <c r="A111" s="11"/>
      <c r="B111" s="27"/>
      <c r="S111" s="11"/>
      <c r="V111" s="11"/>
      <c r="W111" s="20"/>
    </row>
    <row r="112" spans="1:23" x14ac:dyDescent="0.25">
      <c r="A112" s="11"/>
      <c r="B112" s="27" t="s">
        <v>23</v>
      </c>
      <c r="C112" s="4">
        <f t="shared" ref="C112:S112" si="37">SUM(C100:C111)</f>
        <v>5</v>
      </c>
      <c r="D112" s="4">
        <f t="shared" si="37"/>
        <v>0</v>
      </c>
      <c r="E112" s="4">
        <f t="shared" si="37"/>
        <v>10</v>
      </c>
      <c r="F112" s="4">
        <f t="shared" si="37"/>
        <v>22</v>
      </c>
      <c r="G112" s="4">
        <f t="shared" si="37"/>
        <v>0</v>
      </c>
      <c r="H112" s="4">
        <f t="shared" si="37"/>
        <v>0</v>
      </c>
      <c r="I112" s="4">
        <f t="shared" si="37"/>
        <v>0</v>
      </c>
      <c r="J112" s="4">
        <f t="shared" si="37"/>
        <v>1</v>
      </c>
      <c r="K112" s="4">
        <f t="shared" si="37"/>
        <v>48</v>
      </c>
      <c r="L112" s="4">
        <f t="shared" si="37"/>
        <v>0</v>
      </c>
      <c r="M112" s="4">
        <f t="shared" si="37"/>
        <v>1</v>
      </c>
      <c r="N112" s="4">
        <f t="shared" si="37"/>
        <v>0</v>
      </c>
      <c r="O112" s="4">
        <f t="shared" si="37"/>
        <v>2</v>
      </c>
      <c r="P112" s="4">
        <f t="shared" si="37"/>
        <v>0</v>
      </c>
      <c r="Q112" s="4">
        <f t="shared" si="37"/>
        <v>0</v>
      </c>
      <c r="R112" s="4">
        <f t="shared" si="37"/>
        <v>0</v>
      </c>
      <c r="S112" s="13">
        <f t="shared" si="37"/>
        <v>5</v>
      </c>
      <c r="T112" s="4">
        <f>SUM(T100:T108)</f>
        <v>1327.2</v>
      </c>
      <c r="U112" s="4">
        <f>SUM(U100:U108)</f>
        <v>599.25</v>
      </c>
      <c r="V112" s="13"/>
      <c r="W112" s="21"/>
    </row>
    <row r="113" spans="1:23" x14ac:dyDescent="0.25">
      <c r="A113" s="11"/>
      <c r="B113" s="12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2"/>
      <c r="T113" s="1"/>
      <c r="U113" s="1"/>
      <c r="V113" s="12"/>
      <c r="W113" s="17"/>
    </row>
    <row r="114" spans="1:23" x14ac:dyDescent="0.25">
      <c r="A114" s="11"/>
      <c r="B114" s="26" t="s">
        <v>28</v>
      </c>
      <c r="D114" s="365" t="s">
        <v>34</v>
      </c>
      <c r="E114" s="366"/>
      <c r="F114" s="36">
        <v>23</v>
      </c>
      <c r="G114" s="109"/>
      <c r="H114" s="18"/>
      <c r="I114" s="365" t="s">
        <v>51</v>
      </c>
      <c r="J114" s="366"/>
      <c r="K114" s="36">
        <v>4</v>
      </c>
      <c r="S114" s="11"/>
      <c r="V114" s="11"/>
      <c r="W114" s="20"/>
    </row>
    <row r="115" spans="1:23" x14ac:dyDescent="0.25">
      <c r="A115" s="11"/>
      <c r="B115" s="11"/>
      <c r="C115" s="4" t="str">
        <f>Jahr!C3</f>
        <v>FI</v>
      </c>
      <c r="D115" s="4" t="str">
        <f>Jahr!D3</f>
        <v>FII</v>
      </c>
      <c r="E115" s="4" t="str">
        <f>Jahr!E3</f>
        <v>SI</v>
      </c>
      <c r="F115" s="4" t="str">
        <f>Jahr!F3</f>
        <v>NI</v>
      </c>
      <c r="G115" s="4" t="str">
        <f>Jahr!G3</f>
        <v>DI</v>
      </c>
      <c r="H115" s="4" t="str">
        <f>Jahr!H3</f>
        <v>DII</v>
      </c>
      <c r="I115" s="4" t="str">
        <f>Jahr!I3</f>
        <v>SD</v>
      </c>
      <c r="J115" s="4" t="str">
        <f>Jahr!J3</f>
        <v>GT</v>
      </c>
      <c r="K115" s="4" t="str">
        <f>Jahr!K3</f>
        <v>U</v>
      </c>
      <c r="L115" s="4" t="str">
        <f>Jahr!L3</f>
        <v>EH</v>
      </c>
      <c r="M115" s="4" t="str">
        <f>Jahr!M3</f>
        <v>KT</v>
      </c>
      <c r="N115" s="4" t="str">
        <f>Jahr!N3</f>
        <v>Sek</v>
      </c>
      <c r="O115" s="4" t="str">
        <f>Jahr!O3</f>
        <v>Fobi</v>
      </c>
      <c r="P115" s="4" t="str">
        <f>Jahr!P3</f>
        <v>A</v>
      </c>
      <c r="Q115" s="4" t="str">
        <f>Jahr!Q3</f>
        <v>Kur</v>
      </c>
      <c r="R115" s="4" t="str">
        <f>Jahr!R3</f>
        <v>FZC</v>
      </c>
      <c r="S115" s="4" t="str">
        <f>Jahr!S3</f>
        <v>NST</v>
      </c>
      <c r="T115" s="15" t="s">
        <v>37</v>
      </c>
      <c r="U115" s="15" t="s">
        <v>38</v>
      </c>
      <c r="V115" s="13" t="s">
        <v>39</v>
      </c>
      <c r="W115" s="21" t="s">
        <v>52</v>
      </c>
    </row>
    <row r="116" spans="1:23" x14ac:dyDescent="0.25">
      <c r="A116" s="11"/>
      <c r="B116" s="27" t="str">
        <f t="shared" ref="B116:B126" si="38">B4</f>
        <v>Breig</v>
      </c>
      <c r="C116">
        <f>SUMPRODUCT((ISNUMBER(SEARCH($Y3,Dienstplan!$B$25:$B$36))*(ISNUMBER(SEARCH($AB$3,Dienstplan!$AH$25:$BL$36)))))-D116</f>
        <v>0</v>
      </c>
      <c r="D116">
        <f>SUMPRODUCT((ISNUMBER(SEARCH($Y3,Dienstplan!$B$25:$B$36))*(ISNUMBER(SEARCH($AB$4,Dienstplan!$AH$25:$BL$36)))))</f>
        <v>0</v>
      </c>
      <c r="E116">
        <f>SUMPRODUCT((ISNUMBER(SEARCH($Y3,Dienstplan!$B$25:$B$36))*(ISNUMBER(SEARCH($AB$5,Dienstplan!$AH$25:$BL$36)))))</f>
        <v>0</v>
      </c>
      <c r="F116">
        <f>SUMPRODUCT((ISNUMBER(SEARCH($Y3,Dienstplan!$B$25:$B$36))*(ISNUMBER(SEARCH($AB$6,Dienstplan!$AH$25:$BL$36)))))</f>
        <v>5</v>
      </c>
      <c r="G116">
        <f>SUMPRODUCT((ISNUMBER(SEARCH($Y3,Dienstplan!$B$25:$B$36))*(ISNUMBER(SEARCH($AB$7,Dienstplan!$AH$25:$BL$36)))))-H116</f>
        <v>0</v>
      </c>
      <c r="H116">
        <f>SUMPRODUCT((ISNUMBER(SEARCH($Y3,Dienstplan!$B$25:$B$36))*(ISNUMBER(SEARCH($AB$8,Dienstplan!$AH$25:$BL$36)))))</f>
        <v>0</v>
      </c>
      <c r="I116">
        <f>SUMPRODUCT((ISNUMBER(SEARCH($Y3,Dienstplan!$B$25:$B$36))*(ISNUMBER(SEARCH($AB$9,Dienstplan!$AH$25:$BL$36)))))</f>
        <v>0</v>
      </c>
      <c r="J116">
        <f>SUMPRODUCT((ISNUMBER(SEARCH($Y3,Dienstplan!$B$25:$B$36))*(ISNUMBER(SEARCH($AB$10,Dienstplan!$AH$25:$BL$36)))))</f>
        <v>0</v>
      </c>
      <c r="K116">
        <f>SUMPRODUCT((ISNUMBER(SEARCH($Y3,Dienstplan!$B$25:$B$36))*(ISNUMBER(SEARCH($AB$11,Dienstplan!$AH$25:$BL$36)))))-$Q116</f>
        <v>11</v>
      </c>
      <c r="L116">
        <f>SUMPRODUCT((ISNUMBER(SEARCH($Y3,Dienstplan!$B$25:$B$36))*(ISNUMBER(SEARCH($AB$12,Dienstplan!$AH$25:$BL$36)))))</f>
        <v>0</v>
      </c>
      <c r="M116">
        <f>SUMPRODUCT((ISNUMBER(SEARCH($Y3,Dienstplan!$B$25:$B$36))*(ISNUMBER(SEARCH($AB$13,Dienstplan!$AH$25:$BL$36)))))</f>
        <v>0</v>
      </c>
      <c r="N116">
        <f>SUMPRODUCT((ISNUMBER(SEARCH($Y3,Dienstplan!$B$25:$B$36))*(ISNUMBER(SEARCH($AB$14,Dienstplan!$AH$25:$BL$36)))))</f>
        <v>0</v>
      </c>
      <c r="O116">
        <f>SUMPRODUCT((ISNUMBER(SEARCH($Y3,Dienstplan!$B$25:$B$36))*(ISNUMBER(SEARCH($AB$15,Dienstplan!$AH$25:$BL$36)))))</f>
        <v>0</v>
      </c>
      <c r="P116">
        <f>SUMPRODUCT((ISNUMBER(SEARCH($Y3,Dienstplan!$B$25:$B$36))*(ISNUMBER(SEARCH($AB$16,Dienstplan!$AH$25:$BL$36)))))</f>
        <v>0</v>
      </c>
      <c r="Q116">
        <f>SUMPRODUCT((ISNUMBER(SEARCH($Y3,Dienstplan!$B$25:$B$36))*(ISNUMBER(SEARCH($AB$17,Dienstplan!$AH$25:$BL$36)))))</f>
        <v>0</v>
      </c>
      <c r="R116">
        <f>SUMPRODUCT((ISNUMBER(SEARCH($Y3,Dienstplan!$B$25:$B$36))*(ISNUMBER(SEARCH($AB$18,Dienstplan!$AH$25:$BL$36)))))</f>
        <v>0</v>
      </c>
      <c r="S116" s="11">
        <f>SUMPRODUCT((ISNUMBER(SEARCH($Y3,Dienstplan!$B$25:$B$36))*(ISNUMBER(SEARCH($AB$19,Dienstplan!$AH$25:$BL$36)))))</f>
        <v>1</v>
      </c>
      <c r="T116">
        <f t="shared" ref="T116:T126" si="39">SUM($F$114*$Z3)</f>
        <v>184</v>
      </c>
      <c r="U116" s="14">
        <f>SUM($C116*Frueh_1+$D116*Spaet_1+$E116*Nacht_1+$F116*Normal_1+$I116*Sonderd_1-$J116*Velten+$K116*Velten+$L116*EH_Kurs+$M116*Koor_taet+$N116*Sekre_1+$O116*Velten+$R116*Velten+$P116*Velten+$Q116*Velten+G116*Velt_M+H116*Velt_M)</f>
        <v>125.5</v>
      </c>
      <c r="V116" s="11">
        <f>SUM($U116-$T116)</f>
        <v>-58.5</v>
      </c>
      <c r="W116" s="20">
        <f t="shared" ref="W116:W126" si="40">V116+W100</f>
        <v>-394.75</v>
      </c>
    </row>
    <row r="117" spans="1:23" x14ac:dyDescent="0.25">
      <c r="A117" s="11"/>
      <c r="B117" s="27" t="str">
        <f t="shared" si="38"/>
        <v>Siebert</v>
      </c>
      <c r="C117">
        <f>SUMPRODUCT((ISNUMBER(SEARCH($Y4,Dienstplan!$B$25:$B$36))*(ISNUMBER(SEARCH($AB$3,Dienstplan!$AH$25:$BL$36)))))-D117</f>
        <v>0</v>
      </c>
      <c r="D117">
        <f>SUMPRODUCT((ISNUMBER(SEARCH($Y4,Dienstplan!$B$25:$B$36))*(ISNUMBER(SEARCH($AB$4,Dienstplan!$AH$25:$BL$36)))))</f>
        <v>0</v>
      </c>
      <c r="E117">
        <f>SUMPRODUCT((ISNUMBER(SEARCH($Y4,Dienstplan!$B$25:$B$36))*(ISNUMBER(SEARCH($AB$5,Dienstplan!$AH$25:$BL$36)))))</f>
        <v>0</v>
      </c>
      <c r="F117">
        <f>SUMPRODUCT((ISNUMBER(SEARCH($Y4,Dienstplan!$B$25:$B$36))*(ISNUMBER(SEARCH($AB$6,Dienstplan!$AH$25:$BL$36)))))</f>
        <v>5</v>
      </c>
      <c r="G117">
        <f>SUMPRODUCT((ISNUMBER(SEARCH($Y4,Dienstplan!$B$25:$B$36))*(ISNUMBER(SEARCH($AB$7,Dienstplan!$AH$25:$BL$36)))))-H117</f>
        <v>0</v>
      </c>
      <c r="H117">
        <f>SUMPRODUCT((ISNUMBER(SEARCH($Y4,Dienstplan!$B$25:$B$36))*(ISNUMBER(SEARCH($AB$8,Dienstplan!$AH$25:$BL$36)))))</f>
        <v>0</v>
      </c>
      <c r="I117">
        <f>SUMPRODUCT((ISNUMBER(SEARCH($Y4,Dienstplan!$B$25:$B$36))*(ISNUMBER(SEARCH($AB$9,Dienstplan!$AH$25:$BL$36)))))</f>
        <v>0</v>
      </c>
      <c r="J117">
        <f>SUMPRODUCT((ISNUMBER(SEARCH($Y4,Dienstplan!$B$25:$B$36))*(ISNUMBER(SEARCH($AB$10,Dienstplan!$AH$25:$BL$36)))))</f>
        <v>0</v>
      </c>
      <c r="K117">
        <f>SUMPRODUCT((ISNUMBER(SEARCH($Y4,Dienstplan!$B$25:$B$36))*(ISNUMBER(SEARCH($AB$11,Dienstplan!$AH$25:$BL$36)))))-$Q117</f>
        <v>0</v>
      </c>
      <c r="L117">
        <f>SUMPRODUCT((ISNUMBER(SEARCH($Y4,Dienstplan!$B$25:$B$36))*(ISNUMBER(SEARCH($AB$12,Dienstplan!$AH$25:$BL$36)))))</f>
        <v>0</v>
      </c>
      <c r="M117">
        <f>SUMPRODUCT((ISNUMBER(SEARCH($Y4,Dienstplan!$B$25:$B$36))*(ISNUMBER(SEARCH($AB$13,Dienstplan!$AH$25:$BL$36)))))</f>
        <v>0</v>
      </c>
      <c r="N117">
        <f>SUMPRODUCT((ISNUMBER(SEARCH($Y4,Dienstplan!$B$25:$B$36))*(ISNUMBER(SEARCH($AB$14,Dienstplan!$AH$25:$BL$36)))))</f>
        <v>0</v>
      </c>
      <c r="O117">
        <f>SUMPRODUCT((ISNUMBER(SEARCH($Y4,Dienstplan!$B$25:$B$36))*(ISNUMBER(SEARCH($AB$15,Dienstplan!$AH$25:$BL$36)))))</f>
        <v>0</v>
      </c>
      <c r="P117">
        <f>SUMPRODUCT((ISNUMBER(SEARCH($Y4,Dienstplan!$B$25:$B$36))*(ISNUMBER(SEARCH($AB$16,Dienstplan!$AH$25:$BL$36)))))</f>
        <v>0</v>
      </c>
      <c r="Q117">
        <f>SUMPRODUCT((ISNUMBER(SEARCH($Y4,Dienstplan!$B$25:$B$36))*(ISNUMBER(SEARCH($AB$17,Dienstplan!$AH$25:$BL$36)))))</f>
        <v>0</v>
      </c>
      <c r="R117">
        <f>SUMPRODUCT((ISNUMBER(SEARCH($Y4,Dienstplan!$B$25:$B$36))*(ISNUMBER(SEARCH($AB$18,Dienstplan!$AH$25:$BL$36)))))</f>
        <v>0</v>
      </c>
      <c r="S117" s="11">
        <f>SUMPRODUCT((ISNUMBER(SEARCH($Y4,Dienstplan!$B$25:$B$36))*(ISNUMBER(SEARCH($AB$19,Dienstplan!$AH$25:$BL$36)))))</f>
        <v>1</v>
      </c>
      <c r="T117">
        <f t="shared" si="39"/>
        <v>161</v>
      </c>
      <c r="U117" s="14">
        <f>SUM($C117*Frueh_1+$D117*Spaet_1+$E117*Nacht_1+$F117*Normal_1+$I117*Sonderd_1-$J117*Brue_H+$K117*Brue_H+$L117*EH_Kurs+$M117*Koor_taet+$N117*Sekre_1+$O117*Brue_H+$R117*Brue_H+$P117*Brue_H+$Q117*Brue_H+G117*Brue_H+H117*Brue_H)</f>
        <v>37.5</v>
      </c>
      <c r="V117" s="11">
        <f t="shared" ref="V117:V126" si="41">SUM($U117-$T117)</f>
        <v>-123.5</v>
      </c>
      <c r="W117" s="20">
        <f t="shared" si="40"/>
        <v>-268.25</v>
      </c>
    </row>
    <row r="118" spans="1:23" x14ac:dyDescent="0.25">
      <c r="A118" s="11"/>
      <c r="B118" s="27" t="str">
        <f t="shared" si="38"/>
        <v>Jochim</v>
      </c>
      <c r="C118">
        <f>SUMPRODUCT((ISNUMBER(SEARCH($Y5,Dienstplan!$B$25:$B$36))*(ISNUMBER(SEARCH($AB$3,Dienstplan!$AH$25:$BL$36)))))-D118</f>
        <v>0</v>
      </c>
      <c r="D118">
        <f>SUMPRODUCT((ISNUMBER(SEARCH($Y5,Dienstplan!$B$25:$B$36))*(ISNUMBER(SEARCH($AB$4,Dienstplan!$AH$25:$BL$36)))))</f>
        <v>0</v>
      </c>
      <c r="E118">
        <f>SUMPRODUCT((ISNUMBER(SEARCH($Y5,Dienstplan!$B$25:$B$36))*(ISNUMBER(SEARCH($AB$5,Dienstplan!$AH$25:$BL$36)))))</f>
        <v>0</v>
      </c>
      <c r="F118">
        <f>SUMPRODUCT((ISNUMBER(SEARCH($Y5,Dienstplan!$B$25:$B$36))*(ISNUMBER(SEARCH($AB$6,Dienstplan!$AH$25:$BL$36)))))</f>
        <v>0</v>
      </c>
      <c r="G118">
        <f>SUMPRODUCT((ISNUMBER(SEARCH($Y5,Dienstplan!$B$25:$B$36))*(ISNUMBER(SEARCH($AB$7,Dienstplan!$AH$25:$BL$36)))))-H118</f>
        <v>0</v>
      </c>
      <c r="H118">
        <f>SUMPRODUCT((ISNUMBER(SEARCH($Y5,Dienstplan!$B$25:$B$36))*(ISNUMBER(SEARCH($AB$8,Dienstplan!$AH$25:$BL$36)))))</f>
        <v>0</v>
      </c>
      <c r="I118">
        <f>SUMPRODUCT((ISNUMBER(SEARCH($Y5,Dienstplan!$B$25:$B$36))*(ISNUMBER(SEARCH($AB$9,Dienstplan!$AH$25:$BL$36)))))</f>
        <v>0</v>
      </c>
      <c r="J118">
        <f>SUMPRODUCT((ISNUMBER(SEARCH($Y5,Dienstplan!$B$25:$B$36))*(ISNUMBER(SEARCH($AB$10,Dienstplan!$AH$25:$BL$36)))))</f>
        <v>0</v>
      </c>
      <c r="K118">
        <f>SUMPRODUCT((ISNUMBER(SEARCH($Y5,Dienstplan!$B$25:$B$36))*(ISNUMBER(SEARCH($AB$11,Dienstplan!$AH$25:$BL$36)))))-$Q118</f>
        <v>0</v>
      </c>
      <c r="L118">
        <f>SUMPRODUCT((ISNUMBER(SEARCH($Y5,Dienstplan!$B$25:$B$36))*(ISNUMBER(SEARCH($AB$12,Dienstplan!$AH$25:$BL$36)))))</f>
        <v>0</v>
      </c>
      <c r="M118">
        <f>SUMPRODUCT((ISNUMBER(SEARCH($Y5,Dienstplan!$B$25:$B$36))*(ISNUMBER(SEARCH($AB$13,Dienstplan!$AH$25:$BL$36)))))</f>
        <v>0</v>
      </c>
      <c r="N118">
        <f>SUMPRODUCT((ISNUMBER(SEARCH($Y5,Dienstplan!$B$25:$B$36))*(ISNUMBER(SEARCH($AB$14,Dienstplan!$AH$25:$BL$36)))))</f>
        <v>0</v>
      </c>
      <c r="O118">
        <f>SUMPRODUCT((ISNUMBER(SEARCH($Y5,Dienstplan!$B$25:$B$36))*(ISNUMBER(SEARCH($AB$15,Dienstplan!$AH$25:$BL$36)))))</f>
        <v>0</v>
      </c>
      <c r="P118">
        <f>SUMPRODUCT((ISNUMBER(SEARCH($Y5,Dienstplan!$B$25:$B$36))*(ISNUMBER(SEARCH($AB$16,Dienstplan!$AH$25:$BL$36)))))</f>
        <v>0</v>
      </c>
      <c r="Q118">
        <f>SUMPRODUCT((ISNUMBER(SEARCH($Y5,Dienstplan!$B$25:$B$36))*(ISNUMBER(SEARCH($AB$17,Dienstplan!$AH$25:$BL$36)))))</f>
        <v>0</v>
      </c>
      <c r="R118">
        <f>SUMPRODUCT((ISNUMBER(SEARCH($Y5,Dienstplan!$B$25:$B$36))*(ISNUMBER(SEARCH($AB$18,Dienstplan!$AH$25:$BL$36)))))</f>
        <v>0</v>
      </c>
      <c r="S118" s="11">
        <f>SUMPRODUCT((ISNUMBER(SEARCH($Y5,Dienstplan!$B$25:$B$36))*(ISNUMBER(SEARCH($AB$19,Dienstplan!$AH$25:$BL$36)))))</f>
        <v>0</v>
      </c>
      <c r="T118">
        <f t="shared" si="39"/>
        <v>161</v>
      </c>
      <c r="U118" s="14">
        <f>SUM($C118*Frueh_1+$D118*Spaet_1+$E118*Nacht_1+$F118*Normal_1+$I118*Sonderd_1-$J118*Rath_M+$K118*Rath_M+$L118*EH_Kurs+$M118*Koor_taet+$N118*Sekre_1+$O118*Rath_M+$R118*Rath_M+$P118*Rath_M+$Q118*Rath_M+G118*Rath_M+H118*Rath_M)</f>
        <v>0</v>
      </c>
      <c r="V118" s="11">
        <f t="shared" si="41"/>
        <v>-161</v>
      </c>
      <c r="W118" s="20">
        <f t="shared" si="40"/>
        <v>-907</v>
      </c>
    </row>
    <row r="119" spans="1:23" x14ac:dyDescent="0.25">
      <c r="A119" s="11"/>
      <c r="B119" s="27" t="str">
        <f t="shared" si="38"/>
        <v>Wunsch</v>
      </c>
      <c r="C119">
        <f>SUMPRODUCT((ISNUMBER(SEARCH($Y6,Dienstplan!$B$25:$B$36))*(ISNUMBER(SEARCH($AB$3,Dienstplan!$AH$25:$BL$36)))))-D119</f>
        <v>0</v>
      </c>
      <c r="D119">
        <f>SUMPRODUCT((ISNUMBER(SEARCH($Y6,Dienstplan!$B$25:$B$36))*(ISNUMBER(SEARCH($AB$4,Dienstplan!$AH$25:$BL$36)))))</f>
        <v>0</v>
      </c>
      <c r="E119">
        <f>SUMPRODUCT((ISNUMBER(SEARCH($Y6,Dienstplan!$B$25:$B$36))*(ISNUMBER(SEARCH($AB$5,Dienstplan!$AH$25:$BL$36)))))</f>
        <v>0</v>
      </c>
      <c r="F119">
        <f>SUMPRODUCT((ISNUMBER(SEARCH($Y6,Dienstplan!$B$25:$B$36))*(ISNUMBER(SEARCH($AB$6,Dienstplan!$AH$25:$BL$36)))))</f>
        <v>2</v>
      </c>
      <c r="G119">
        <f>SUMPRODUCT((ISNUMBER(SEARCH($Y6,Dienstplan!$B$25:$B$36))*(ISNUMBER(SEARCH($AB$7,Dienstplan!$AH$25:$BL$36)))))-H119</f>
        <v>0</v>
      </c>
      <c r="H119">
        <f>SUMPRODUCT((ISNUMBER(SEARCH($Y6,Dienstplan!$B$25:$B$36))*(ISNUMBER(SEARCH($AB$8,Dienstplan!$AH$25:$BL$36)))))</f>
        <v>0</v>
      </c>
      <c r="I119">
        <f>SUMPRODUCT((ISNUMBER(SEARCH($Y6,Dienstplan!$B$25:$B$36))*(ISNUMBER(SEARCH($AB$9,Dienstplan!$AH$25:$BL$36)))))</f>
        <v>0</v>
      </c>
      <c r="J119">
        <f>SUMPRODUCT((ISNUMBER(SEARCH($Y6,Dienstplan!$B$25:$B$36))*(ISNUMBER(SEARCH($AB$10,Dienstplan!$AH$25:$BL$36)))))</f>
        <v>0</v>
      </c>
      <c r="K119">
        <f>SUMPRODUCT((ISNUMBER(SEARCH($Y6,Dienstplan!$B$25:$B$36))*(ISNUMBER(SEARCH($AB$11,Dienstplan!$AH$25:$BL$36)))))-$Q119</f>
        <v>2</v>
      </c>
      <c r="L119">
        <f>SUMPRODUCT((ISNUMBER(SEARCH($Y6,Dienstplan!$B$25:$B$36))*(ISNUMBER(SEARCH($AB$12,Dienstplan!$AH$25:$BL$36)))))</f>
        <v>0</v>
      </c>
      <c r="M119">
        <f>SUMPRODUCT((ISNUMBER(SEARCH($Y6,Dienstplan!$B$25:$B$36))*(ISNUMBER(SEARCH($AB$13,Dienstplan!$AH$25:$BL$36)))))</f>
        <v>0</v>
      </c>
      <c r="N119">
        <f>SUMPRODUCT((ISNUMBER(SEARCH($Y6,Dienstplan!$B$25:$B$36))*(ISNUMBER(SEARCH($AB$14,Dienstplan!$AH$25:$BL$36)))))</f>
        <v>0</v>
      </c>
      <c r="O119">
        <f>SUMPRODUCT((ISNUMBER(SEARCH($Y6,Dienstplan!$B$25:$B$36))*(ISNUMBER(SEARCH($AB$15,Dienstplan!$AH$25:$BL$36)))))</f>
        <v>0</v>
      </c>
      <c r="P119">
        <f>SUMPRODUCT((ISNUMBER(SEARCH($Y6,Dienstplan!$B$25:$B$36))*(ISNUMBER(SEARCH($AB$16,Dienstplan!$AH$25:$BL$36)))))</f>
        <v>0</v>
      </c>
      <c r="Q119">
        <f>SUMPRODUCT((ISNUMBER(SEARCH($Y6,Dienstplan!$B$25:$B$36))*(ISNUMBER(SEARCH($AB$17,Dienstplan!$AH$25:$BL$36)))))</f>
        <v>0</v>
      </c>
      <c r="R119">
        <f>SUMPRODUCT((ISNUMBER(SEARCH($Y6,Dienstplan!$B$25:$B$36))*(ISNUMBER(SEARCH($AB$18,Dienstplan!$AH$25:$BL$36)))))</f>
        <v>0</v>
      </c>
      <c r="S119" s="11">
        <f>SUMPRODUCT((ISNUMBER(SEARCH($Y6,Dienstplan!$B$25:$B$36))*(ISNUMBER(SEARCH($AB$19,Dienstplan!$AH$25:$BL$36)))))</f>
        <v>0</v>
      </c>
      <c r="T119">
        <f t="shared" si="39"/>
        <v>184</v>
      </c>
      <c r="U119" s="14">
        <f>SUM($C119*Frueh_1+$D119*Spaet_1+$E119*Nacht_1+$F119*Normal_1+$I119*Sonderd_1-$J119*Scho_K+$K119*Scho_K+$L119*EH_Kurs+$M119*Koor_taet+$N119*Sekre_1+$O119*Scho_K+$R119*Scho_K+$P119*Scho_K+$Q119*Scho_K+G119*Scho_K+H119*Scho_K)</f>
        <v>31</v>
      </c>
      <c r="V119" s="11">
        <f t="shared" si="41"/>
        <v>-153</v>
      </c>
      <c r="W119" s="20">
        <f t="shared" si="40"/>
        <v>-455.75</v>
      </c>
    </row>
    <row r="120" spans="1:23" x14ac:dyDescent="0.25">
      <c r="A120" s="11"/>
      <c r="B120" s="27" t="str">
        <f t="shared" si="38"/>
        <v>Göpfrich</v>
      </c>
      <c r="C120">
        <f>SUMPRODUCT((ISNUMBER(SEARCH($Y7,Dienstplan!$B$25:$B$36))*(ISNUMBER(SEARCH($AB$3,Dienstplan!$AH$25:$BL$36)))))-D120</f>
        <v>0</v>
      </c>
      <c r="D120">
        <f>SUMPRODUCT((ISNUMBER(SEARCH($Y7,Dienstplan!$B$25:$B$36))*(ISNUMBER(SEARCH($AB$4,Dienstplan!$AH$25:$BL$36)))))</f>
        <v>0</v>
      </c>
      <c r="E120">
        <f>SUMPRODUCT((ISNUMBER(SEARCH($Y7,Dienstplan!$B$25:$B$36))*(ISNUMBER(SEARCH($AB$5,Dienstplan!$AH$25:$BL$36)))))</f>
        <v>5</v>
      </c>
      <c r="F120">
        <f>SUMPRODUCT((ISNUMBER(SEARCH($Y7,Dienstplan!$B$25:$B$36))*(ISNUMBER(SEARCH($AB$6,Dienstplan!$AH$25:$BL$36)))))</f>
        <v>0</v>
      </c>
      <c r="G120">
        <f>SUMPRODUCT((ISNUMBER(SEARCH($Y7,Dienstplan!$B$25:$B$36))*(ISNUMBER(SEARCH($AB$7,Dienstplan!$AH$25:$BL$36)))))-H120</f>
        <v>0</v>
      </c>
      <c r="H120">
        <f>SUMPRODUCT((ISNUMBER(SEARCH($Y7,Dienstplan!$B$25:$B$36))*(ISNUMBER(SEARCH($AB$8,Dienstplan!$AH$25:$BL$36)))))</f>
        <v>0</v>
      </c>
      <c r="I120">
        <f>SUMPRODUCT((ISNUMBER(SEARCH($Y7,Dienstplan!$B$25:$B$36))*(ISNUMBER(SEARCH($AB$9,Dienstplan!$AH$25:$BL$36)))))</f>
        <v>0</v>
      </c>
      <c r="J120">
        <f>SUMPRODUCT((ISNUMBER(SEARCH($Y7,Dienstplan!$B$25:$B$36))*(ISNUMBER(SEARCH($AB$10,Dienstplan!$AH$25:$BL$36)))))</f>
        <v>0</v>
      </c>
      <c r="K120">
        <f>SUMPRODUCT((ISNUMBER(SEARCH($Y7,Dienstplan!$B$25:$B$36))*(ISNUMBER(SEARCH($AB$11,Dienstplan!$AH$25:$BL$36)))))-$Q120</f>
        <v>0</v>
      </c>
      <c r="L120">
        <f>SUMPRODUCT((ISNUMBER(SEARCH($Y7,Dienstplan!$B$25:$B$36))*(ISNUMBER(SEARCH($AB$12,Dienstplan!$AH$25:$BL$36)))))</f>
        <v>0</v>
      </c>
      <c r="M120">
        <f>SUMPRODUCT((ISNUMBER(SEARCH($Y7,Dienstplan!$B$25:$B$36))*(ISNUMBER(SEARCH($AB$13,Dienstplan!$AH$25:$BL$36)))))</f>
        <v>0</v>
      </c>
      <c r="N120">
        <f>SUMPRODUCT((ISNUMBER(SEARCH($Y7,Dienstplan!$B$25:$B$36))*(ISNUMBER(SEARCH($AB$14,Dienstplan!$AH$25:$BL$36)))))</f>
        <v>0</v>
      </c>
      <c r="O120">
        <f>SUMPRODUCT((ISNUMBER(SEARCH($Y7,Dienstplan!$B$25:$B$36))*(ISNUMBER(SEARCH($AB$15,Dienstplan!$AH$25:$BL$36)))))</f>
        <v>0</v>
      </c>
      <c r="P120">
        <f>SUMPRODUCT((ISNUMBER(SEARCH($Y7,Dienstplan!$B$25:$B$36))*(ISNUMBER(SEARCH($AB$16,Dienstplan!$AH$25:$BL$36)))))</f>
        <v>0</v>
      </c>
      <c r="Q120">
        <f>SUMPRODUCT((ISNUMBER(SEARCH($Y7,Dienstplan!$B$25:$B$36))*(ISNUMBER(SEARCH($AB$17,Dienstplan!$AH$25:$BL$36)))))</f>
        <v>0</v>
      </c>
      <c r="R120">
        <f>SUMPRODUCT((ISNUMBER(SEARCH($Y7,Dienstplan!$B$25:$B$36))*(ISNUMBER(SEARCH($AB$18,Dienstplan!$AH$25:$BL$36)))))</f>
        <v>0</v>
      </c>
      <c r="S120" s="11">
        <f>SUMPRODUCT((ISNUMBER(SEARCH($Y7,Dienstplan!$B$25:$B$36))*(ISNUMBER(SEARCH($AB$19,Dienstplan!$AH$25:$BL$36)))))</f>
        <v>0</v>
      </c>
      <c r="T120">
        <f t="shared" si="39"/>
        <v>161</v>
      </c>
      <c r="U120" s="14">
        <f>SUM($C120*Frueh_1+$D120*Spaet_1+$E120*Nacht_1+$F120*Normal_1+$I120*Sonderd_1-$J120*Krie_B+$K120*Krie_B+$L120*EH_Kurs+$M120*Koor_taet+$N120*Sekre_1+$O120*Krie_B+$R120*Krie_B+$P120*Krie_B+$Q120*Krie_B+G120*Krie_B+H120*Z7)</f>
        <v>37.5</v>
      </c>
      <c r="V120" s="11">
        <f t="shared" si="41"/>
        <v>-123.5</v>
      </c>
      <c r="W120" s="20">
        <f t="shared" si="40"/>
        <v>-351.25</v>
      </c>
    </row>
    <row r="121" spans="1:23" x14ac:dyDescent="0.25">
      <c r="A121" s="11"/>
      <c r="B121" s="27" t="str">
        <f t="shared" si="38"/>
        <v>Zeller</v>
      </c>
      <c r="C121">
        <f>SUMPRODUCT((ISNUMBER(SEARCH($Y8,Dienstplan!$B$25:$B$36))*(ISNUMBER(SEARCH($AB$3,Dienstplan!$AH$25:$BL$36)))))-D121</f>
        <v>0</v>
      </c>
      <c r="D121">
        <f>SUMPRODUCT((ISNUMBER(SEARCH($Y8,Dienstplan!$B$25:$B$36))*(ISNUMBER(SEARCH($AB$4,Dienstplan!$AH$25:$BL$36)))))</f>
        <v>0</v>
      </c>
      <c r="E121">
        <f>SUMPRODUCT((ISNUMBER(SEARCH($Y8,Dienstplan!$B$25:$B$36))*(ISNUMBER(SEARCH($AB$5,Dienstplan!$AH$25:$BL$36)))))</f>
        <v>5</v>
      </c>
      <c r="F121">
        <f>SUMPRODUCT((ISNUMBER(SEARCH($Y8,Dienstplan!$B$25:$B$36))*(ISNUMBER(SEARCH($AB$6,Dienstplan!$AH$25:$BL$36)))))</f>
        <v>5</v>
      </c>
      <c r="G121">
        <f>SUMPRODUCT((ISNUMBER(SEARCH($Y8,Dienstplan!$B$25:$B$36))*(ISNUMBER(SEARCH($AB$7,Dienstplan!$AH$25:$BL$36)))))-H121</f>
        <v>0</v>
      </c>
      <c r="H121">
        <f>SUMPRODUCT((ISNUMBER(SEARCH($Y8,Dienstplan!$B$25:$B$36))*(ISNUMBER(SEARCH($AB$8,Dienstplan!$AH$25:$BL$36)))))</f>
        <v>0</v>
      </c>
      <c r="I121">
        <f>SUMPRODUCT((ISNUMBER(SEARCH($Y8,Dienstplan!$B$25:$B$36))*(ISNUMBER(SEARCH($AB$9,Dienstplan!$AH$25:$BL$36)))))</f>
        <v>0</v>
      </c>
      <c r="J121">
        <f>SUMPRODUCT((ISNUMBER(SEARCH($Y8,Dienstplan!$B$25:$B$36))*(ISNUMBER(SEARCH($AB$10,Dienstplan!$AH$25:$BL$36)))))</f>
        <v>0</v>
      </c>
      <c r="K121">
        <f>SUMPRODUCT((ISNUMBER(SEARCH($Y8,Dienstplan!$B$25:$B$36))*(ISNUMBER(SEARCH($AB$11,Dienstplan!$AH$25:$BL$36)))))-$Q121</f>
        <v>0</v>
      </c>
      <c r="L121">
        <f>SUMPRODUCT((ISNUMBER(SEARCH($Y8,Dienstplan!$B$25:$B$36))*(ISNUMBER(SEARCH($AB$12,Dienstplan!$AH$25:$BL$36)))))</f>
        <v>0</v>
      </c>
      <c r="M121">
        <f>SUMPRODUCT((ISNUMBER(SEARCH($Y8,Dienstplan!$B$25:$B$36))*(ISNUMBER(SEARCH($AB$13,Dienstplan!$AH$25:$BL$36)))))</f>
        <v>0</v>
      </c>
      <c r="N121">
        <f>SUMPRODUCT((ISNUMBER(SEARCH($Y8,Dienstplan!$B$25:$B$36))*(ISNUMBER(SEARCH($AB$14,Dienstplan!$AH$25:$BL$36)))))</f>
        <v>0</v>
      </c>
      <c r="O121">
        <f>SUMPRODUCT((ISNUMBER(SEARCH($Y8,Dienstplan!$B$25:$B$36))*(ISNUMBER(SEARCH($AB$15,Dienstplan!$AH$25:$BL$36)))))</f>
        <v>0</v>
      </c>
      <c r="P121">
        <f>SUMPRODUCT((ISNUMBER(SEARCH($Y8,Dienstplan!$B$25:$B$36))*(ISNUMBER(SEARCH($AB$16,Dienstplan!$AH$25:$BL$36)))))</f>
        <v>0</v>
      </c>
      <c r="Q121">
        <f>SUMPRODUCT((ISNUMBER(SEARCH($Y8,Dienstplan!$B$25:$B$36))*(ISNUMBER(SEARCH($AB$17,Dienstplan!$AH$25:$BL$36)))))</f>
        <v>0</v>
      </c>
      <c r="R121">
        <f>SUMPRODUCT((ISNUMBER(SEARCH($Y8,Dienstplan!$B$25:$B$36))*(ISNUMBER(SEARCH($AB$18,Dienstplan!$AH$25:$BL$36)))))</f>
        <v>0</v>
      </c>
      <c r="S121" s="11">
        <f>SUMPRODUCT((ISNUMBER(SEARCH($Y8,Dienstplan!$B$25:$B$36))*(ISNUMBER(SEARCH($AB$19,Dienstplan!$AH$25:$BL$36)))))</f>
        <v>1</v>
      </c>
      <c r="T121">
        <f t="shared" si="39"/>
        <v>184</v>
      </c>
      <c r="U121" s="14">
        <f>SUM($C121*Frueh_1+$D121*Spaet_1+$E121*Nacht_1+$F121*Normal_1+$I121*Sonderd_1-$J121*Muster+$K121*Muster+$L121*EH_Kurs+$M121*Koor_taet+$N121*Sekre_1+$O121*Muster+$P121*Muster+$Q121*Muster+$R121*Muster+G121*Muster+H121*Muster)</f>
        <v>75</v>
      </c>
      <c r="V121" s="11">
        <f t="shared" si="41"/>
        <v>-109</v>
      </c>
      <c r="W121" s="20">
        <f t="shared" si="40"/>
        <v>-482.25</v>
      </c>
    </row>
    <row r="122" spans="1:23" x14ac:dyDescent="0.25">
      <c r="A122" s="11"/>
      <c r="B122" s="27" t="str">
        <f t="shared" si="38"/>
        <v>Behrendt</v>
      </c>
      <c r="C122">
        <f>SUMPRODUCT((ISNUMBER(SEARCH($Y9,Dienstplan!$B$25:$B$36))*(ISNUMBER(SEARCH($AB$3,Dienstplan!$AH$25:$BL$36)))))-D122</f>
        <v>0</v>
      </c>
      <c r="D122">
        <f>SUMPRODUCT((ISNUMBER(SEARCH($Y9,Dienstplan!$B$25:$B$36))*(ISNUMBER(SEARCH($AB$4,Dienstplan!$AH$25:$BL$36)))))</f>
        <v>0</v>
      </c>
      <c r="E122">
        <f>SUMPRODUCT((ISNUMBER(SEARCH($Y9,Dienstplan!$B$25:$B$36))*(ISNUMBER(SEARCH($AB$5,Dienstplan!$AH$25:$BL$36)))))</f>
        <v>0</v>
      </c>
      <c r="F122">
        <f>SUMPRODUCT((ISNUMBER(SEARCH($Y9,Dienstplan!$B$25:$B$36))*(ISNUMBER(SEARCH($AB$6,Dienstplan!$AH$25:$BL$36)))))</f>
        <v>5</v>
      </c>
      <c r="G122">
        <f>SUMPRODUCT((ISNUMBER(SEARCH($Y9,Dienstplan!$B$25:$B$36))*(ISNUMBER(SEARCH($AB$7,Dienstplan!$AH$25:$BL$36)))))-H122</f>
        <v>0</v>
      </c>
      <c r="H122">
        <f>SUMPRODUCT((ISNUMBER(SEARCH($Y9,Dienstplan!$B$25:$B$36))*(ISNUMBER(SEARCH($AB$8,Dienstplan!$AH$25:$BL$36)))))</f>
        <v>0</v>
      </c>
      <c r="I122">
        <f>SUMPRODUCT((ISNUMBER(SEARCH($Y9,Dienstplan!$B$25:$B$36))*(ISNUMBER(SEARCH($AB$9,Dienstplan!$AH$25:$BL$36)))))</f>
        <v>0</v>
      </c>
      <c r="J122">
        <f>SUMPRODUCT((ISNUMBER(SEARCH($Y9,Dienstplan!$B$25:$B$36))*(ISNUMBER(SEARCH($AB$10,Dienstplan!$AH$25:$BL$36)))))</f>
        <v>0</v>
      </c>
      <c r="K122">
        <f>SUMPRODUCT((ISNUMBER(SEARCH($Y9,Dienstplan!$B$25:$B$36))*(ISNUMBER(SEARCH($AB$11,Dienstplan!$AH$25:$BL$36)))))-$Q122</f>
        <v>7</v>
      </c>
      <c r="L122">
        <f>SUMPRODUCT((ISNUMBER(SEARCH($Y9,Dienstplan!$B$25:$B$36))*(ISNUMBER(SEARCH($AB$12,Dienstplan!$AH$25:$BL$36)))))</f>
        <v>0</v>
      </c>
      <c r="M122">
        <f>SUMPRODUCT((ISNUMBER(SEARCH($Y9,Dienstplan!$B$25:$B$36))*(ISNUMBER(SEARCH($AB$13,Dienstplan!$AH$25:$BL$36)))))</f>
        <v>0</v>
      </c>
      <c r="N122">
        <f>SUMPRODUCT((ISNUMBER(SEARCH($Y9,Dienstplan!$B$25:$B$36))*(ISNUMBER(SEARCH($AB$14,Dienstplan!$AH$25:$BL$36)))))</f>
        <v>0</v>
      </c>
      <c r="O122">
        <f>SUMPRODUCT((ISNUMBER(SEARCH($Y9,Dienstplan!$B$25:$B$36))*(ISNUMBER(SEARCH($AB$15,Dienstplan!$AH$25:$BL$36)))))</f>
        <v>0</v>
      </c>
      <c r="P122">
        <f>SUMPRODUCT((ISNUMBER(SEARCH($Y9,Dienstplan!$B$25:$B$36))*(ISNUMBER(SEARCH($AB$16,Dienstplan!$AH$25:$BL$36)))))</f>
        <v>0</v>
      </c>
      <c r="Q122">
        <f>SUMPRODUCT((ISNUMBER(SEARCH($Y9,Dienstplan!$B$25:$B$36))*(ISNUMBER(SEARCH($AB$17,Dienstplan!$AH$25:$BL$36)))))</f>
        <v>0</v>
      </c>
      <c r="R122">
        <f>SUMPRODUCT((ISNUMBER(SEARCH($Y9,Dienstplan!$B$25:$B$36))*(ISNUMBER(SEARCH($AB$18,Dienstplan!$AH$25:$BL$36)))))</f>
        <v>0</v>
      </c>
      <c r="S122" s="11">
        <f>SUMPRODUCT((ISNUMBER(SEARCH($Y9,Dienstplan!$B$25:$B$36))*(ISNUMBER(SEARCH($AB$19,Dienstplan!$AH$25:$BL$36)))))</f>
        <v>1</v>
      </c>
      <c r="T122">
        <f t="shared" si="39"/>
        <v>161</v>
      </c>
      <c r="U122" s="14">
        <f>SUM($C122*Frueh_1+$D122*Spaet_1+$E122*Nacht_1+$F122*Normal_1+$I122*Sonderd_1-$J122*Muster+$K122*Muster+$L122*EH_Kurs+$M122*Koor_taet+$N122*Sekre_1+$O122*Muster+$P122*Muster+$Q122*Muster+$R122*Muster+G122*Muster+H122*Muster)</f>
        <v>93.5</v>
      </c>
      <c r="V122" s="11">
        <f t="shared" si="41"/>
        <v>-67.5</v>
      </c>
      <c r="W122" s="20">
        <f t="shared" si="40"/>
        <v>-354.95</v>
      </c>
    </row>
    <row r="123" spans="1:23" x14ac:dyDescent="0.25">
      <c r="A123" s="11"/>
      <c r="B123" s="27" t="str">
        <f t="shared" si="38"/>
        <v>Krempl</v>
      </c>
      <c r="C123">
        <f>SUMPRODUCT((ISNUMBER(SEARCH($Y10,Dienstplan!$B$25:$B$36))*(ISNUMBER(SEARCH($AB$3,Dienstplan!$AH$25:$BL$36)))))-D123</f>
        <v>0</v>
      </c>
      <c r="D123">
        <f>SUMPRODUCT((ISNUMBER(SEARCH($Y10,Dienstplan!$B$25:$B$36))*(ISNUMBER(SEARCH($AB$4,Dienstplan!$AH$25:$BL$36)))))</f>
        <v>0</v>
      </c>
      <c r="E123">
        <f>SUMPRODUCT((ISNUMBER(SEARCH($Y10,Dienstplan!$B$25:$B$36))*(ISNUMBER(SEARCH($AB$5,Dienstplan!$AH$25:$BL$36)))))</f>
        <v>0</v>
      </c>
      <c r="F123">
        <f>SUMPRODUCT((ISNUMBER(SEARCH($Y10,Dienstplan!$B$25:$B$36))*(ISNUMBER(SEARCH($AB$6,Dienstplan!$AH$25:$BL$36)))))</f>
        <v>0</v>
      </c>
      <c r="G123">
        <f>SUMPRODUCT((ISNUMBER(SEARCH($Y10,Dienstplan!$B$25:$B$36))*(ISNUMBER(SEARCH($AB$7,Dienstplan!$AH$25:$BL$36)))))-H123</f>
        <v>0</v>
      </c>
      <c r="H123">
        <f>SUMPRODUCT((ISNUMBER(SEARCH($Y10,Dienstplan!$B$25:$B$36))*(ISNUMBER(SEARCH($AB$8,Dienstplan!$AH$25:$BL$36)))))</f>
        <v>0</v>
      </c>
      <c r="I123">
        <f>SUMPRODUCT((ISNUMBER(SEARCH($Y10,Dienstplan!$B$25:$B$36))*(ISNUMBER(SEARCH($AB$9,Dienstplan!$AH$25:$BL$36)))))</f>
        <v>0</v>
      </c>
      <c r="J123">
        <f>SUMPRODUCT((ISNUMBER(SEARCH($Y10,Dienstplan!$B$25:$B$36))*(ISNUMBER(SEARCH($AB$10,Dienstplan!$AH$25:$BL$36)))))</f>
        <v>0</v>
      </c>
      <c r="K123">
        <f>SUMPRODUCT((ISNUMBER(SEARCH($Y10,Dienstplan!$B$25:$B$36))*(ISNUMBER(SEARCH($AB$11,Dienstplan!$AH$25:$BL$36)))))-$Q123</f>
        <v>15</v>
      </c>
      <c r="L123">
        <f>SUMPRODUCT((ISNUMBER(SEARCH($Y10,Dienstplan!$B$25:$B$36))*(ISNUMBER(SEARCH($AB$12,Dienstplan!$AH$25:$BL$36)))))</f>
        <v>0</v>
      </c>
      <c r="M123">
        <f>SUMPRODUCT((ISNUMBER(SEARCH($Y10,Dienstplan!$B$25:$B$36))*(ISNUMBER(SEARCH($AB$13,Dienstplan!$AH$25:$BL$36)))))</f>
        <v>0</v>
      </c>
      <c r="N123">
        <f>SUMPRODUCT((ISNUMBER(SEARCH($Y10,Dienstplan!$B$25:$B$36))*(ISNUMBER(SEARCH($AB$14,Dienstplan!$AH$25:$BL$36)))))</f>
        <v>0</v>
      </c>
      <c r="O123">
        <f>SUMPRODUCT((ISNUMBER(SEARCH($Y10,Dienstplan!$B$25:$B$36))*(ISNUMBER(SEARCH($AB$15,Dienstplan!$AH$25:$BL$36)))))</f>
        <v>0</v>
      </c>
      <c r="P123">
        <f>SUMPRODUCT((ISNUMBER(SEARCH($Y10,Dienstplan!$B$25:$B$36))*(ISNUMBER(SEARCH($AB$16,Dienstplan!$AH$25:$BL$36)))))</f>
        <v>0</v>
      </c>
      <c r="Q123">
        <f>SUMPRODUCT((ISNUMBER(SEARCH($Y10,Dienstplan!$B$25:$B$36))*(ISNUMBER(SEARCH($AB$17,Dienstplan!$AH$25:$BL$36)))))</f>
        <v>0</v>
      </c>
      <c r="R123">
        <f>SUMPRODUCT((ISNUMBER(SEARCH($Y10,Dienstplan!$B$25:$B$36))*(ISNUMBER(SEARCH($AB$18,Dienstplan!$AH$25:$BL$36)))))</f>
        <v>0</v>
      </c>
      <c r="S123" s="11">
        <f>SUMPRODUCT((ISNUMBER(SEARCH($Y10,Dienstplan!$B$25:$B$36))*(ISNUMBER(SEARCH($AB$19,Dienstplan!$AH$25:$BL$36)))))</f>
        <v>0</v>
      </c>
      <c r="T123">
        <f t="shared" si="39"/>
        <v>73.600000000000009</v>
      </c>
      <c r="U123" s="14">
        <f>SUM($C123*Frueh_1+$D123*Spaet_1+$E123*Nacht_1+$F123*Normal_1+$I123*Sonderd_1-$J123*Krem_E+$K123*Krem_E+$L123*EH_Kurs+$M123*Koor_taet+$N123*Sekre_1+$O123*Krem_E+$R123*Krem_E+$P123*Krem_E+$Q123*Krem_E+G123*Krem_E+H123*Krem_E)</f>
        <v>48</v>
      </c>
      <c r="V123" s="11">
        <f t="shared" si="41"/>
        <v>-25.600000000000009</v>
      </c>
      <c r="W123" s="20">
        <f t="shared" si="40"/>
        <v>-375.3</v>
      </c>
    </row>
    <row r="124" spans="1:23" x14ac:dyDescent="0.25">
      <c r="A124" s="11"/>
      <c r="B124" s="27" t="str">
        <f t="shared" si="38"/>
        <v>Putschler</v>
      </c>
      <c r="C124">
        <f>SUMPRODUCT((ISNUMBER(SEARCH($Y11,Dienstplan!$B$25:$B$36))*(ISNUMBER(SEARCH($AB$3,Dienstplan!$AH$25:$BL$36)))))-D124</f>
        <v>0</v>
      </c>
      <c r="D124">
        <f>SUMPRODUCT((ISNUMBER(SEARCH($Y11,Dienstplan!$B$25:$B$36))*(ISNUMBER(SEARCH($AB$4,Dienstplan!$AH$25:$BL$36)))))</f>
        <v>0</v>
      </c>
      <c r="E124">
        <f>SUMPRODUCT((ISNUMBER(SEARCH($Y11,Dienstplan!$B$25:$B$36))*(ISNUMBER(SEARCH($AB$5,Dienstplan!$AH$25:$BL$36)))))</f>
        <v>0</v>
      </c>
      <c r="F124">
        <f>SUMPRODUCT((ISNUMBER(SEARCH($Y11,Dienstplan!$B$25:$B$36))*(ISNUMBER(SEARCH($AB$6,Dienstplan!$AH$25:$BL$36)))))</f>
        <v>0</v>
      </c>
      <c r="G124">
        <f>SUMPRODUCT((ISNUMBER(SEARCH($Y11,Dienstplan!$B$25:$B$36))*(ISNUMBER(SEARCH($AB$7,Dienstplan!$AH$25:$BL$36)))))-H124</f>
        <v>0</v>
      </c>
      <c r="H124">
        <f>SUMPRODUCT((ISNUMBER(SEARCH($Y11,Dienstplan!$B$25:$B$36))*(ISNUMBER(SEARCH($AB$8,Dienstplan!$AH$25:$BL$36)))))</f>
        <v>0</v>
      </c>
      <c r="I124">
        <f>SUMPRODUCT((ISNUMBER(SEARCH($Y11,Dienstplan!$B$25:$B$36))*(ISNUMBER(SEARCH($AB$9,Dienstplan!$AH$25:$BL$36)))))</f>
        <v>0</v>
      </c>
      <c r="J124">
        <f>SUMPRODUCT((ISNUMBER(SEARCH($Y11,Dienstplan!$B$25:$B$36))*(ISNUMBER(SEARCH($AB$10,Dienstplan!$AH$25:$BL$36)))))</f>
        <v>1</v>
      </c>
      <c r="K124">
        <f>SUMPRODUCT((ISNUMBER(SEARCH($Y11,Dienstplan!$B$25:$B$36))*(ISNUMBER(SEARCH($AB$11,Dienstplan!$AH$25:$BL$36)))))-$Q124</f>
        <v>5</v>
      </c>
      <c r="L124">
        <f>SUMPRODUCT((ISNUMBER(SEARCH($Y11,Dienstplan!$B$25:$B$36))*(ISNUMBER(SEARCH($AB$12,Dienstplan!$AH$25:$BL$36)))))</f>
        <v>0</v>
      </c>
      <c r="M124">
        <f>SUMPRODUCT((ISNUMBER(SEARCH($Y11,Dienstplan!$B$25:$B$36))*(ISNUMBER(SEARCH($AB$13,Dienstplan!$AH$25:$BL$36)))))</f>
        <v>0</v>
      </c>
      <c r="N124">
        <f>SUMPRODUCT((ISNUMBER(SEARCH($Y11,Dienstplan!$B$25:$B$36))*(ISNUMBER(SEARCH($AB$14,Dienstplan!$AH$25:$BL$36)))))</f>
        <v>0</v>
      </c>
      <c r="O124">
        <f>SUMPRODUCT((ISNUMBER(SEARCH($Y11,Dienstplan!$B$25:$B$36))*(ISNUMBER(SEARCH($AB$15,Dienstplan!$AH$25:$BL$36)))))</f>
        <v>0</v>
      </c>
      <c r="P124">
        <f>SUMPRODUCT((ISNUMBER(SEARCH($Y11,Dienstplan!$B$25:$B$36))*(ISNUMBER(SEARCH($AB$16,Dienstplan!$AH$25:$BL$36)))))</f>
        <v>0</v>
      </c>
      <c r="Q124">
        <f>SUMPRODUCT((ISNUMBER(SEARCH($Y11,Dienstplan!$B$25:$B$36))*(ISNUMBER(SEARCH($AB$17,Dienstplan!$AH$25:$BL$36)))))</f>
        <v>0</v>
      </c>
      <c r="R124">
        <f>SUMPRODUCT((ISNUMBER(SEARCH($Y11,Dienstplan!$B$25:$B$36))*(ISNUMBER(SEARCH($AB$18,Dienstplan!$AH$25:$BL$36)))))</f>
        <v>0</v>
      </c>
      <c r="S124" s="11">
        <f>SUMPRODUCT((ISNUMBER(SEARCH($Y11,Dienstplan!$B$25:$B$36))*(ISNUMBER(SEARCH($AB$19,Dienstplan!$AH$25:$BL$36)))))</f>
        <v>0</v>
      </c>
      <c r="T124">
        <f t="shared" si="39"/>
        <v>184</v>
      </c>
      <c r="U124" s="14">
        <f>SUM($C124*Frueh_1+$D124*Spaet_1+$E124*Nacht_1+$F124*Normal_1+$I124*Sonderd_1-$J124*Put_W+$K124*Put_W+$L124*EH_Kurs+$M124*Koor_taet+$N124*Sekre_1+$O124*Put_W+$R124*Put_W+$P124*Put_W+$Q124*Put_W+G124*Put_W+H124*Put_W)</f>
        <v>32</v>
      </c>
      <c r="V124" s="11">
        <f t="shared" si="41"/>
        <v>-152</v>
      </c>
      <c r="W124" s="20">
        <f t="shared" si="40"/>
        <v>-561.5</v>
      </c>
    </row>
    <row r="125" spans="1:23" x14ac:dyDescent="0.25">
      <c r="A125" s="11"/>
      <c r="B125" s="27" t="str">
        <f t="shared" si="38"/>
        <v>Schmidt</v>
      </c>
      <c r="C125">
        <f>SUMPRODUCT((ISNUMBER(SEARCH($Y12,Dienstplan!$B$25:$B$36))*(ISNUMBER(SEARCH($AB$3,Dienstplan!$AH$25:$BL$36)))))-D125</f>
        <v>0</v>
      </c>
      <c r="D125">
        <f>SUMPRODUCT((ISNUMBER(SEARCH($Y12,Dienstplan!$B$25:$B$36))*(ISNUMBER(SEARCH($AB$4,Dienstplan!$AH$25:$BL$36)))))</f>
        <v>0</v>
      </c>
      <c r="E125">
        <f>SUMPRODUCT((ISNUMBER(SEARCH($Y12,Dienstplan!$B$25:$B$36))*(ISNUMBER(SEARCH($AB$5,Dienstplan!$AH$25:$BL$36)))))</f>
        <v>0</v>
      </c>
      <c r="F125">
        <f>SUMPRODUCT((ISNUMBER(SEARCH($Y12,Dienstplan!$B$25:$B$36))*(ISNUMBER(SEARCH($AB$6,Dienstplan!$AH$25:$BL$36)))))</f>
        <v>0</v>
      </c>
      <c r="G125">
        <f>SUMPRODUCT((ISNUMBER(SEARCH($Y12,Dienstplan!$B$25:$B$36))*(ISNUMBER(SEARCH($AB$7,Dienstplan!$AH$25:$BL$36)))))-H125</f>
        <v>0</v>
      </c>
      <c r="H125">
        <f>SUMPRODUCT((ISNUMBER(SEARCH($Y12,Dienstplan!$B$25:$B$36))*(ISNUMBER(SEARCH($AB$8,Dienstplan!$AH$25:$BL$36)))))</f>
        <v>0</v>
      </c>
      <c r="I125">
        <f>SUMPRODUCT((ISNUMBER(SEARCH($Y12,Dienstplan!$B$25:$B$36))*(ISNUMBER(SEARCH($AB$9,Dienstplan!$AH$25:$BL$36)))))</f>
        <v>0</v>
      </c>
      <c r="J125">
        <f>SUMPRODUCT((ISNUMBER(SEARCH($Y12,Dienstplan!$B$25:$B$36))*(ISNUMBER(SEARCH($AB$10,Dienstplan!$AH$25:$BL$36)))))</f>
        <v>0</v>
      </c>
      <c r="K125">
        <f>SUMPRODUCT((ISNUMBER(SEARCH($Y12,Dienstplan!$B$25:$B$36))*(ISNUMBER(SEARCH($AB$11,Dienstplan!$AH$25:$BL$36)))))-$Q125</f>
        <v>2</v>
      </c>
      <c r="L125">
        <f>SUMPRODUCT((ISNUMBER(SEARCH($Y12,Dienstplan!$B$25:$B$36))*(ISNUMBER(SEARCH($AB$12,Dienstplan!$AH$25:$BL$36)))))</f>
        <v>0</v>
      </c>
      <c r="M125">
        <f>SUMPRODUCT((ISNUMBER(SEARCH($Y12,Dienstplan!$B$25:$B$36))*(ISNUMBER(SEARCH($AB$13,Dienstplan!$AH$25:$BL$36)))))</f>
        <v>0</v>
      </c>
      <c r="N125">
        <f>SUMPRODUCT((ISNUMBER(SEARCH($Y12,Dienstplan!$B$25:$B$36))*(ISNUMBER(SEARCH($AB$14,Dienstplan!$AH$25:$BL$36)))))</f>
        <v>0</v>
      </c>
      <c r="O125">
        <f>SUMPRODUCT((ISNUMBER(SEARCH($Y12,Dienstplan!$B$25:$B$36))*(ISNUMBER(SEARCH($AB$15,Dienstplan!$AH$25:$BL$36)))))</f>
        <v>0</v>
      </c>
      <c r="P125">
        <f>SUMPRODUCT((ISNUMBER(SEARCH($Y12,Dienstplan!$B$25:$B$36))*(ISNUMBER(SEARCH($AB$16,Dienstplan!$AH$25:$BL$36)))))</f>
        <v>0</v>
      </c>
      <c r="Q125">
        <f>SUMPRODUCT((ISNUMBER(SEARCH($Y12,Dienstplan!$B$25:$B$36))*(ISNUMBER(SEARCH($AB$17,Dienstplan!$AH$25:$BL$36)))))</f>
        <v>0</v>
      </c>
      <c r="R125">
        <f>SUMPRODUCT((ISNUMBER(SEARCH($Y12,Dienstplan!$B$25:$B$36))*(ISNUMBER(SEARCH($AB$18,Dienstplan!$AH$25:$BL$36)))))</f>
        <v>0</v>
      </c>
      <c r="S125" s="11">
        <f>SUMPRODUCT((ISNUMBER(SEARCH($Y12,Dienstplan!$B$25:$B$36))*(ISNUMBER(SEARCH($AB$19,Dienstplan!$AH$25:$BL$36)))))</f>
        <v>0</v>
      </c>
      <c r="T125">
        <f t="shared" si="39"/>
        <v>161</v>
      </c>
      <c r="U125" s="14">
        <f>SUM($C125*Frueh_1+$D125*Spaet_1+$E125*Nacht_1+$F125*Normal_1+$I125*Sonderd_1-$J125*Radi_L+$K125*Radi_L+$L125*EH_Kurs+$M125*Koor_taet+$N125*Sekre_1+$O125*Radi_L+$R125*Radi_L+$P125*Radi_L+$Q125*Radi_L+G125*Radi_L+H125*Radi_L)</f>
        <v>14</v>
      </c>
      <c r="V125" s="11">
        <f t="shared" si="41"/>
        <v>-147</v>
      </c>
      <c r="W125" s="20">
        <f t="shared" si="40"/>
        <v>-1001</v>
      </c>
    </row>
    <row r="126" spans="1:23" x14ac:dyDescent="0.25">
      <c r="A126" s="11"/>
      <c r="B126" s="27" t="str">
        <f t="shared" si="38"/>
        <v>Radimersky</v>
      </c>
      <c r="C126">
        <f>SUMPRODUCT((ISNUMBER(SEARCH($Y13,Dienstplan!$B$25:$B$36))*(ISNUMBER(SEARCH($AB$3,Dienstplan!$AH$25:$BL$36)))))-D126</f>
        <v>0</v>
      </c>
      <c r="D126">
        <f>SUMPRODUCT((ISNUMBER(SEARCH($Y13,Dienstplan!$B$25:$B$36))*(ISNUMBER(SEARCH($AB$4,Dienstplan!$AH$25:$BL$36)))))</f>
        <v>0</v>
      </c>
      <c r="E126">
        <f>SUMPRODUCT((ISNUMBER(SEARCH($Y13,Dienstplan!$B$25:$B$36))*(ISNUMBER(SEARCH($AB$5,Dienstplan!$AH$25:$BL$36)))))</f>
        <v>0</v>
      </c>
      <c r="F126">
        <f>SUMPRODUCT((ISNUMBER(SEARCH($Y13,Dienstplan!$B$25:$B$36))*(ISNUMBER(SEARCH($AB$6,Dienstplan!$AH$25:$BL$36)))))</f>
        <v>0</v>
      </c>
      <c r="G126">
        <f>SUMPRODUCT((ISNUMBER(SEARCH($Y13,Dienstplan!$B$25:$B$36))*(ISNUMBER(SEARCH($AB$7,Dienstplan!$AH$25:$BL$36)))))-H126</f>
        <v>0</v>
      </c>
      <c r="H126">
        <f>SUMPRODUCT((ISNUMBER(SEARCH($Y13,Dienstplan!$B$25:$B$36))*(ISNUMBER(SEARCH($AB$8,Dienstplan!$AH$25:$BL$36)))))</f>
        <v>0</v>
      </c>
      <c r="I126">
        <f>SUMPRODUCT((ISNUMBER(SEARCH($Y13,Dienstplan!$B$25:$B$36))*(ISNUMBER(SEARCH($AB$9,Dienstplan!$AH$25:$BL$36)))))</f>
        <v>0</v>
      </c>
      <c r="J126">
        <f>SUMPRODUCT((ISNUMBER(SEARCH($Y13,Dienstplan!$B$25:$B$36))*(ISNUMBER(SEARCH($AB$10,Dienstplan!$AH$25:$BL$36)))))</f>
        <v>0</v>
      </c>
      <c r="K126">
        <f>SUMPRODUCT((ISNUMBER(SEARCH($Y13,Dienstplan!$B$25:$B$36))*(ISNUMBER(SEARCH($AB$11,Dienstplan!$AH$25:$BL$36)))))-$Q126</f>
        <v>11</v>
      </c>
      <c r="L126">
        <f>SUMPRODUCT((ISNUMBER(SEARCH($Y13,Dienstplan!$B$25:$B$36))*(ISNUMBER(SEARCH($AB$12,Dienstplan!$AH$25:$BL$36)))))</f>
        <v>0</v>
      </c>
      <c r="M126">
        <f>SUMPRODUCT((ISNUMBER(SEARCH($Y13,Dienstplan!$B$25:$B$36))*(ISNUMBER(SEARCH($AB$13,Dienstplan!$AH$25:$BL$36)))))</f>
        <v>0</v>
      </c>
      <c r="N126">
        <f>SUMPRODUCT((ISNUMBER(SEARCH($Y13,Dienstplan!$B$25:$B$36))*(ISNUMBER(SEARCH($AB$14,Dienstplan!$AH$25:$BL$36)))))</f>
        <v>0</v>
      </c>
      <c r="O126">
        <f>SUMPRODUCT((ISNUMBER(SEARCH($Y13,Dienstplan!$B$25:$B$36))*(ISNUMBER(SEARCH($AB$15,Dienstplan!$AH$25:$BL$36)))))</f>
        <v>0</v>
      </c>
      <c r="P126">
        <f>SUMPRODUCT((ISNUMBER(SEARCH($Y13,Dienstplan!$B$25:$B$36))*(ISNUMBER(SEARCH($AB$16,Dienstplan!$AH$25:$BL$36)))))</f>
        <v>0</v>
      </c>
      <c r="Q126">
        <f>SUMPRODUCT((ISNUMBER(SEARCH($Y13,Dienstplan!$B$25:$B$36))*(ISNUMBER(SEARCH($AB$17,Dienstplan!$AH$25:$BL$36)))))</f>
        <v>0</v>
      </c>
      <c r="R126">
        <f>SUMPRODUCT((ISNUMBER(SEARCH($Y13,Dienstplan!$B$25:$B$36))*(ISNUMBER(SEARCH($AB$18,Dienstplan!$AH$25:$BL$36)))))</f>
        <v>0</v>
      </c>
      <c r="S126" s="11">
        <f>SUMPRODUCT((ISNUMBER(SEARCH($Y13,Dienstplan!$B$25:$B$36))*(ISNUMBER(SEARCH($AB$19,Dienstplan!$AH$25:$BL$36)))))</f>
        <v>0</v>
      </c>
      <c r="T126">
        <f t="shared" si="39"/>
        <v>69</v>
      </c>
      <c r="U126" s="14">
        <f>SUM($C126*Frueh_1+$D126*Spaet_1+$E126*Nacht_1+$F126*Normal_1+$I126*Sonderd_1-$J126*Fortenb+$K126*Fortenb+$L126*EH_Kurs+$M126*Koor_taet+$N126*Sekre_1+$O126*Fortenb+$R126*Fortenb+$P126*Fortenb+$Q126*Fortenb+G126*Fortenb+H126*Fortenb)</f>
        <v>33</v>
      </c>
      <c r="V126" s="11">
        <f t="shared" si="41"/>
        <v>-36</v>
      </c>
      <c r="W126" s="20">
        <f t="shared" si="40"/>
        <v>-420</v>
      </c>
    </row>
    <row r="127" spans="1:23" x14ac:dyDescent="0.25">
      <c r="A127" s="11"/>
      <c r="B127" s="27"/>
      <c r="V127" s="11"/>
      <c r="W127" s="20"/>
    </row>
    <row r="128" spans="1:23" x14ac:dyDescent="0.25">
      <c r="A128" s="11"/>
      <c r="B128" s="27" t="s">
        <v>23</v>
      </c>
      <c r="C128" s="4">
        <f t="shared" ref="C128:S128" si="42">SUM(C116:C127)</f>
        <v>0</v>
      </c>
      <c r="D128" s="4">
        <f t="shared" si="42"/>
        <v>0</v>
      </c>
      <c r="E128" s="4">
        <f t="shared" si="42"/>
        <v>10</v>
      </c>
      <c r="F128" s="4">
        <f t="shared" si="42"/>
        <v>22</v>
      </c>
      <c r="G128" s="4">
        <f t="shared" si="42"/>
        <v>0</v>
      </c>
      <c r="H128" s="4">
        <f t="shared" si="42"/>
        <v>0</v>
      </c>
      <c r="I128" s="4">
        <f t="shared" si="42"/>
        <v>0</v>
      </c>
      <c r="J128" s="4">
        <f t="shared" si="42"/>
        <v>1</v>
      </c>
      <c r="K128" s="4">
        <f t="shared" si="42"/>
        <v>53</v>
      </c>
      <c r="L128" s="4">
        <f t="shared" si="42"/>
        <v>0</v>
      </c>
      <c r="M128" s="4">
        <f t="shared" si="42"/>
        <v>0</v>
      </c>
      <c r="N128" s="4">
        <f t="shared" si="42"/>
        <v>0</v>
      </c>
      <c r="O128" s="4">
        <f t="shared" si="42"/>
        <v>0</v>
      </c>
      <c r="P128" s="4">
        <f t="shared" si="42"/>
        <v>0</v>
      </c>
      <c r="Q128" s="4">
        <f t="shared" si="42"/>
        <v>0</v>
      </c>
      <c r="R128" s="4">
        <f t="shared" si="42"/>
        <v>0</v>
      </c>
      <c r="S128" s="4">
        <f t="shared" si="42"/>
        <v>4</v>
      </c>
      <c r="T128" s="4">
        <f>SUM(T116:T124)</f>
        <v>1453.6</v>
      </c>
      <c r="U128" s="4">
        <f>SUM(U116:U124)</f>
        <v>480</v>
      </c>
      <c r="V128" s="13"/>
      <c r="W128" s="21"/>
    </row>
    <row r="129" spans="1:23" x14ac:dyDescent="0.25">
      <c r="A129" s="11"/>
      <c r="B129" s="12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2"/>
      <c r="T129" s="1"/>
      <c r="U129" s="1"/>
      <c r="V129" s="12"/>
      <c r="W129" s="17"/>
    </row>
    <row r="130" spans="1:23" x14ac:dyDescent="0.25">
      <c r="A130" s="11"/>
      <c r="B130" s="26" t="s">
        <v>10</v>
      </c>
      <c r="D130" s="365" t="s">
        <v>34</v>
      </c>
      <c r="E130" s="366"/>
      <c r="F130" s="36">
        <v>21</v>
      </c>
      <c r="G130" s="109"/>
      <c r="H130" s="18"/>
      <c r="I130" s="365" t="s">
        <v>51</v>
      </c>
      <c r="J130" s="366"/>
      <c r="K130" s="36">
        <v>5</v>
      </c>
      <c r="S130" s="11"/>
      <c r="V130" s="11"/>
      <c r="W130" s="20"/>
    </row>
    <row r="131" spans="1:23" x14ac:dyDescent="0.25">
      <c r="A131" s="11"/>
      <c r="B131" s="11"/>
      <c r="C131" s="4" t="str">
        <f>Jahr!C3</f>
        <v>FI</v>
      </c>
      <c r="D131" s="4" t="str">
        <f>Jahr!D3</f>
        <v>FII</v>
      </c>
      <c r="E131" s="4" t="str">
        <f>Jahr!E3</f>
        <v>SI</v>
      </c>
      <c r="F131" s="4" t="str">
        <f>Jahr!F3</f>
        <v>NI</v>
      </c>
      <c r="G131" s="4" t="str">
        <f>Jahr!G3</f>
        <v>DI</v>
      </c>
      <c r="H131" s="4" t="str">
        <f>Jahr!H3</f>
        <v>DII</v>
      </c>
      <c r="I131" s="4" t="str">
        <f>Jahr!I3</f>
        <v>SD</v>
      </c>
      <c r="J131" s="4" t="str">
        <f>Jahr!J3</f>
        <v>GT</v>
      </c>
      <c r="K131" s="4" t="str">
        <f>Jahr!K3</f>
        <v>U</v>
      </c>
      <c r="L131" s="4" t="str">
        <f>Jahr!L3</f>
        <v>EH</v>
      </c>
      <c r="M131" s="4" t="str">
        <f>Jahr!M3</f>
        <v>KT</v>
      </c>
      <c r="N131" s="4" t="str">
        <f>Jahr!N3</f>
        <v>Sek</v>
      </c>
      <c r="O131" s="4" t="str">
        <f>Jahr!O3</f>
        <v>Fobi</v>
      </c>
      <c r="P131" s="4" t="str">
        <f>Jahr!P3</f>
        <v>A</v>
      </c>
      <c r="Q131" s="4" t="str">
        <f>Jahr!Q3</f>
        <v>Kur</v>
      </c>
      <c r="R131" s="4" t="str">
        <f>Jahr!R3</f>
        <v>FZC</v>
      </c>
      <c r="S131" s="4" t="str">
        <f>Jahr!S3</f>
        <v>NST</v>
      </c>
      <c r="T131" s="15" t="s">
        <v>37</v>
      </c>
      <c r="U131" s="15" t="s">
        <v>38</v>
      </c>
      <c r="V131" s="13" t="s">
        <v>39</v>
      </c>
      <c r="W131" s="21" t="s">
        <v>52</v>
      </c>
    </row>
    <row r="132" spans="1:23" x14ac:dyDescent="0.25">
      <c r="A132" s="11"/>
      <c r="B132" s="27" t="str">
        <f t="shared" ref="B132:B142" si="43">B4</f>
        <v>Breig</v>
      </c>
      <c r="C132">
        <f>SUMPRODUCT((ISNUMBER(SEARCH($Y3,Dienstplan!$B$25:$B$36))*(ISNUMBER(SEARCH($AB$3,Dienstplan!$BM$25:$CP$36)))))-D132</f>
        <v>0</v>
      </c>
      <c r="D132">
        <f>SUMPRODUCT((ISNUMBER(SEARCH($Y3,Dienstplan!$B$25:$B$36))*(ISNUMBER(SEARCH($AB$4,Dienstplan!$BM$25:$CP$36)))))</f>
        <v>0</v>
      </c>
      <c r="E132">
        <f>SUMPRODUCT((ISNUMBER(SEARCH($Y3,Dienstplan!$B$25:$B$36))*(ISNUMBER(SEARCH($AB$5,Dienstplan!$BM$25:$CP$36)))))</f>
        <v>0</v>
      </c>
      <c r="F132">
        <f>SUMPRODUCT((ISNUMBER(SEARCH($Y3,Dienstplan!$B$25:$B$36))*(ISNUMBER(SEARCH($AB$6,Dienstplan!$BM$25:$CP$36)))))</f>
        <v>4</v>
      </c>
      <c r="G132">
        <f>SUMPRODUCT((ISNUMBER(SEARCH($Y3,Dienstplan!$B$25:$B$36))*(ISNUMBER(SEARCH($AB$7,Dienstplan!$BM$25:$CP$36)))))-H132</f>
        <v>0</v>
      </c>
      <c r="H132">
        <f>SUMPRODUCT((ISNUMBER(SEARCH($Y3,Dienstplan!$B$25:$B$36))*(ISNUMBER(SEARCH($AB$8,Dienstplan!$BM$25:$CP$36)))))</f>
        <v>0</v>
      </c>
      <c r="I132">
        <f>SUMPRODUCT((ISNUMBER(SEARCH($Y3,Dienstplan!$B$25:$B$36))*(ISNUMBER(SEARCH($AB$9,Dienstplan!$BM$25:$CP$36)))))</f>
        <v>0</v>
      </c>
      <c r="J132">
        <f>SUMPRODUCT((ISNUMBER(SEARCH($Y3,Dienstplan!$B$25:$B$36))*(ISNUMBER(SEARCH($AB$10,Dienstplan!$BM$25:$CP$36)))))</f>
        <v>0</v>
      </c>
      <c r="K132">
        <f>SUMPRODUCT((ISNUMBER(SEARCH($Y3,Dienstplan!$B$25:$B$36))*(ISNUMBER(SEARCH($AB$11,Dienstplan!$BM$25:$CP$36)))))-$Q132</f>
        <v>9</v>
      </c>
      <c r="L132">
        <f>SUMPRODUCT((ISNUMBER(SEARCH($Y3,Dienstplan!$B$25:$B$36))*(ISNUMBER(SEARCH($AB$12,Dienstplan!$BM$25:$CP$36)))))</f>
        <v>0</v>
      </c>
      <c r="M132">
        <f>SUMPRODUCT((ISNUMBER(SEARCH($Y3,Dienstplan!$B$25:$B$36))*(ISNUMBER(SEARCH($AB$13,Dienstplan!$BM$25:$CP$36)))))</f>
        <v>0</v>
      </c>
      <c r="N132">
        <f>SUMPRODUCT((ISNUMBER(SEARCH($Y3,Dienstplan!$B$25:$B$36))*(ISNUMBER(SEARCH($AB$14,Dienstplan!$BM$25:$CP$36)))))</f>
        <v>0</v>
      </c>
      <c r="O132">
        <f>SUMPRODUCT((ISNUMBER(SEARCH($Y3,Dienstplan!$B$25:$B$36))*(ISNUMBER(SEARCH($AB$15,Dienstplan!$BM$25:$CP$36)))))</f>
        <v>0</v>
      </c>
      <c r="P132">
        <f>SUMPRODUCT((ISNUMBER(SEARCH($Y3,Dienstplan!$B$25:$B$36))*(ISNUMBER(SEARCH($AB$16,Dienstplan!$BM$25:$CP$36)))))</f>
        <v>0</v>
      </c>
      <c r="Q132">
        <f>SUMPRODUCT((ISNUMBER(SEARCH($Y3,Dienstplan!$B$25:$B$36))*(ISNUMBER(SEARCH($AB$17,Dienstplan!$BM$25:$CP$36)))))</f>
        <v>0</v>
      </c>
      <c r="R132">
        <f>SUMPRODUCT((ISNUMBER(SEARCH($Y3,Dienstplan!$B$25:$B$36))*(ISNUMBER(SEARCH($AB$18,Dienstplan!$BM$25:$CP$36)))))</f>
        <v>0</v>
      </c>
      <c r="S132" s="11">
        <f>SUMPRODUCT((ISNUMBER(SEARCH($Y3,Dienstplan!$B$25:$B$36))*(ISNUMBER(SEARCH($AB$19,Dienstplan!$BM$25:$CP$36)))))</f>
        <v>0</v>
      </c>
      <c r="T132">
        <f t="shared" ref="T132:T142" si="44">SUM($F$130*$Z3)</f>
        <v>168</v>
      </c>
      <c r="U132" s="14">
        <f>SUM($C132*Frueh_1+$D132*Spaet_1+$E132*Nacht_1+$F132*Normal_1+$I132*Sonderd_1-$J132*Velten+$K132*Velten+$L132*EH_Kurs+$M132*Koor_taet+$N132*Sekre_1+$O132*Velten+$R132*Velten+$P132*Velten+$Q132*Velten+G132*Velt_M+H132*Velt_M)</f>
        <v>102</v>
      </c>
      <c r="V132" s="11">
        <f>SUM($U132-$T132)</f>
        <v>-66</v>
      </c>
      <c r="W132" s="20">
        <f t="shared" ref="W132:W142" si="45">V132+W116</f>
        <v>-460.75</v>
      </c>
    </row>
    <row r="133" spans="1:23" x14ac:dyDescent="0.25">
      <c r="A133" s="11"/>
      <c r="B133" s="27" t="str">
        <f t="shared" si="43"/>
        <v>Siebert</v>
      </c>
      <c r="C133">
        <f>SUMPRODUCT((ISNUMBER(SEARCH($Y4,Dienstplan!$B$25:$B$36))*(ISNUMBER(SEARCH($AB$3,Dienstplan!$BM$25:$CP$36)))))-D133</f>
        <v>0</v>
      </c>
      <c r="D133">
        <f>SUMPRODUCT((ISNUMBER(SEARCH($Y4,Dienstplan!$B$25:$B$36))*(ISNUMBER(SEARCH($AB$4,Dienstplan!$BM$25:$CP$36)))))</f>
        <v>0</v>
      </c>
      <c r="E133">
        <f>SUMPRODUCT((ISNUMBER(SEARCH($Y4,Dienstplan!$B$25:$B$36))*(ISNUMBER(SEARCH($AB$5,Dienstplan!$BM$25:$CP$36)))))</f>
        <v>0</v>
      </c>
      <c r="F133">
        <f>SUMPRODUCT((ISNUMBER(SEARCH($Y4,Dienstplan!$B$25:$B$36))*(ISNUMBER(SEARCH($AB$6,Dienstplan!$BM$25:$CP$36)))))</f>
        <v>5</v>
      </c>
      <c r="G133">
        <f>SUMPRODUCT((ISNUMBER(SEARCH($Y4,Dienstplan!$B$25:$B$36))*(ISNUMBER(SEARCH($AB$7,Dienstplan!$BM$25:$CP$36)))))-H133</f>
        <v>0</v>
      </c>
      <c r="H133">
        <f>SUMPRODUCT((ISNUMBER(SEARCH($Y4,Dienstplan!$B$25:$B$36))*(ISNUMBER(SEARCH($AB$8,Dienstplan!$BM$25:$CP$36)))))</f>
        <v>0</v>
      </c>
      <c r="I133">
        <f>SUMPRODUCT((ISNUMBER(SEARCH($Y4,Dienstplan!$B$25:$B$36))*(ISNUMBER(SEARCH($AB$9,Dienstplan!$BM$25:$CP$36)))))</f>
        <v>0</v>
      </c>
      <c r="J133">
        <f>SUMPRODUCT((ISNUMBER(SEARCH($Y4,Dienstplan!$B$25:$B$36))*(ISNUMBER(SEARCH($AB$10,Dienstplan!$BM$25:$CP$36)))))</f>
        <v>0</v>
      </c>
      <c r="K133">
        <f>SUMPRODUCT((ISNUMBER(SEARCH($Y4,Dienstplan!$B$25:$B$36))*(ISNUMBER(SEARCH($AB$11,Dienstplan!$BM$25:$CP$36)))))-$Q133</f>
        <v>0</v>
      </c>
      <c r="L133">
        <f>SUMPRODUCT((ISNUMBER(SEARCH($Y4,Dienstplan!$B$25:$B$36))*(ISNUMBER(SEARCH($AB$12,Dienstplan!$BM$25:$CP$36)))))</f>
        <v>0</v>
      </c>
      <c r="M133">
        <f>SUMPRODUCT((ISNUMBER(SEARCH($Y4,Dienstplan!$B$25:$B$36))*(ISNUMBER(SEARCH($AB$13,Dienstplan!$BM$25:$CP$36)))))</f>
        <v>0</v>
      </c>
      <c r="N133">
        <f>SUMPRODUCT((ISNUMBER(SEARCH($Y4,Dienstplan!$B$25:$B$36))*(ISNUMBER(SEARCH($AB$14,Dienstplan!$BM$25:$CP$36)))))</f>
        <v>0</v>
      </c>
      <c r="O133">
        <f>SUMPRODUCT((ISNUMBER(SEARCH($Y4,Dienstplan!$B$25:$B$36))*(ISNUMBER(SEARCH($AB$15,Dienstplan!$BM$25:$CP$36)))))</f>
        <v>0</v>
      </c>
      <c r="P133">
        <f>SUMPRODUCT((ISNUMBER(SEARCH($Y4,Dienstplan!$B$25:$B$36))*(ISNUMBER(SEARCH($AB$16,Dienstplan!$BM$25:$CP$36)))))</f>
        <v>0</v>
      </c>
      <c r="Q133">
        <f>SUMPRODUCT((ISNUMBER(SEARCH($Y4,Dienstplan!$B$25:$B$36))*(ISNUMBER(SEARCH($AB$17,Dienstplan!$BM$25:$CP$36)))))</f>
        <v>0</v>
      </c>
      <c r="R133">
        <f>SUMPRODUCT((ISNUMBER(SEARCH($Y4,Dienstplan!$B$25:$B$36))*(ISNUMBER(SEARCH($AB$18,Dienstplan!$BM$25:$CP$36)))))</f>
        <v>0</v>
      </c>
      <c r="S133" s="11">
        <f>SUMPRODUCT((ISNUMBER(SEARCH($Y4,Dienstplan!$B$25:$B$36))*(ISNUMBER(SEARCH($AB$19,Dienstplan!$BM$25:$CP$36)))))</f>
        <v>1</v>
      </c>
      <c r="T133">
        <f t="shared" si="44"/>
        <v>147</v>
      </c>
      <c r="U133" s="14">
        <f>SUM($C133*Frueh_1+$D133*Spaet_1+$E133*Nacht_1+$F133*Normal_1+$I133*Sonderd_1-$J133*Brue_H+$K133*Brue_H+$L133*EH_Kurs+$M133*Koor_taet+$N133*Sekre_1+$O133*Brue_H+$R133*Brue_H+$P133*Brue_H+$Q133*Brue_H+G133*Brue_H+H133*Brue_H)</f>
        <v>37.5</v>
      </c>
      <c r="V133" s="11">
        <f t="shared" ref="V133:V142" si="46">SUM($U133-$T133)</f>
        <v>-109.5</v>
      </c>
      <c r="W133" s="20">
        <f t="shared" si="45"/>
        <v>-377.75</v>
      </c>
    </row>
    <row r="134" spans="1:23" x14ac:dyDescent="0.25">
      <c r="A134" s="11"/>
      <c r="B134" s="27" t="str">
        <f t="shared" si="43"/>
        <v>Jochim</v>
      </c>
      <c r="C134">
        <f>SUMPRODUCT((ISNUMBER(SEARCH($Y5,Dienstplan!$B$25:$B$36))*(ISNUMBER(SEARCH($AB$3,Dienstplan!$BM$25:$CP$36)))))-D134</f>
        <v>0</v>
      </c>
      <c r="D134">
        <f>SUMPRODUCT((ISNUMBER(SEARCH($Y5,Dienstplan!$B$25:$B$36))*(ISNUMBER(SEARCH($AB$4,Dienstplan!$BM$25:$CP$36)))))</f>
        <v>0</v>
      </c>
      <c r="E134">
        <f>SUMPRODUCT((ISNUMBER(SEARCH($Y5,Dienstplan!$B$25:$B$36))*(ISNUMBER(SEARCH($AB$5,Dienstplan!$BM$25:$CP$36)))))</f>
        <v>0</v>
      </c>
      <c r="F134">
        <f>SUMPRODUCT((ISNUMBER(SEARCH($Y5,Dienstplan!$B$25:$B$36))*(ISNUMBER(SEARCH($AB$6,Dienstplan!$BM$25:$CP$36)))))</f>
        <v>0</v>
      </c>
      <c r="G134">
        <f>SUMPRODUCT((ISNUMBER(SEARCH($Y5,Dienstplan!$B$25:$B$36))*(ISNUMBER(SEARCH($AB$7,Dienstplan!$BM$25:$CP$36)))))-H134</f>
        <v>0</v>
      </c>
      <c r="H134">
        <f>SUMPRODUCT((ISNUMBER(SEARCH($Y5,Dienstplan!$B$25:$B$36))*(ISNUMBER(SEARCH($AB$8,Dienstplan!$BM$25:$CP$36)))))</f>
        <v>0</v>
      </c>
      <c r="I134">
        <f>SUMPRODUCT((ISNUMBER(SEARCH($Y5,Dienstplan!$B$25:$B$36))*(ISNUMBER(SEARCH($AB$9,Dienstplan!$BM$25:$CP$36)))))</f>
        <v>0</v>
      </c>
      <c r="J134">
        <f>SUMPRODUCT((ISNUMBER(SEARCH($Y5,Dienstplan!$B$25:$B$36))*(ISNUMBER(SEARCH($AB$10,Dienstplan!$BM$25:$CP$36)))))</f>
        <v>0</v>
      </c>
      <c r="K134">
        <f>SUMPRODUCT((ISNUMBER(SEARCH($Y5,Dienstplan!$B$25:$B$36))*(ISNUMBER(SEARCH($AB$11,Dienstplan!$BM$25:$CP$36)))))-$Q134</f>
        <v>0</v>
      </c>
      <c r="L134">
        <f>SUMPRODUCT((ISNUMBER(SEARCH($Y5,Dienstplan!$B$25:$B$36))*(ISNUMBER(SEARCH($AB$12,Dienstplan!$BM$25:$CP$36)))))</f>
        <v>0</v>
      </c>
      <c r="M134">
        <f>SUMPRODUCT((ISNUMBER(SEARCH($Y5,Dienstplan!$B$25:$B$36))*(ISNUMBER(SEARCH($AB$13,Dienstplan!$BM$25:$CP$36)))))</f>
        <v>0</v>
      </c>
      <c r="N134">
        <f>SUMPRODUCT((ISNUMBER(SEARCH($Y5,Dienstplan!$B$25:$B$36))*(ISNUMBER(SEARCH($AB$14,Dienstplan!$BM$25:$CP$36)))))</f>
        <v>0</v>
      </c>
      <c r="O134">
        <f>SUMPRODUCT((ISNUMBER(SEARCH($Y5,Dienstplan!$B$25:$B$36))*(ISNUMBER(SEARCH($AB$15,Dienstplan!$BM$25:$CP$36)))))</f>
        <v>0</v>
      </c>
      <c r="P134">
        <f>SUMPRODUCT((ISNUMBER(SEARCH($Y5,Dienstplan!$B$25:$B$36))*(ISNUMBER(SEARCH($AB$16,Dienstplan!$BM$25:$CP$36)))))</f>
        <v>0</v>
      </c>
      <c r="Q134">
        <f>SUMPRODUCT((ISNUMBER(SEARCH($Y5,Dienstplan!$B$25:$B$36))*(ISNUMBER(SEARCH($AB$17,Dienstplan!$BM$25:$CP$36)))))</f>
        <v>0</v>
      </c>
      <c r="R134">
        <f>SUMPRODUCT((ISNUMBER(SEARCH($Y5,Dienstplan!$B$25:$B$36))*(ISNUMBER(SEARCH($AB$18,Dienstplan!$BM$25:$CP$36)))))</f>
        <v>0</v>
      </c>
      <c r="S134" s="11">
        <f>SUMPRODUCT((ISNUMBER(SEARCH($Y5,Dienstplan!$B$25:$B$36))*(ISNUMBER(SEARCH($AB$19,Dienstplan!$BM$25:$CP$36)))))</f>
        <v>0</v>
      </c>
      <c r="T134">
        <f t="shared" si="44"/>
        <v>147</v>
      </c>
      <c r="U134" s="14">
        <f>SUM($C134*Frueh_1+$D134*Spaet_1+$E134*Nacht_1+$F134*Normal_1+$I134*Sonderd_1-$J134*Rath_M+$K134*Rath_M+$L134*EH_Kurs+$M134*Koor_taet+$N134*Sekre_1+$O134*Rath_M+$R134*Rath_M+$P134*Rath_M+$Q134*Rath_M+G134*Rath_M+H134*Rath_M)</f>
        <v>0</v>
      </c>
      <c r="V134" s="11">
        <f t="shared" si="46"/>
        <v>-147</v>
      </c>
      <c r="W134" s="20">
        <f t="shared" si="45"/>
        <v>-1054</v>
      </c>
    </row>
    <row r="135" spans="1:23" x14ac:dyDescent="0.25">
      <c r="A135" s="11"/>
      <c r="B135" s="27" t="str">
        <f t="shared" si="43"/>
        <v>Wunsch</v>
      </c>
      <c r="C135">
        <f>SUMPRODUCT((ISNUMBER(SEARCH($Y6,Dienstplan!$B$25:$B$36))*(ISNUMBER(SEARCH($AB$3,Dienstplan!$BM$25:$CP$36)))))-D135</f>
        <v>0</v>
      </c>
      <c r="D135">
        <f>SUMPRODUCT((ISNUMBER(SEARCH($Y6,Dienstplan!$B$25:$B$36))*(ISNUMBER(SEARCH($AB$4,Dienstplan!$BM$25:$CP$36)))))</f>
        <v>0</v>
      </c>
      <c r="E135">
        <f>SUMPRODUCT((ISNUMBER(SEARCH($Y6,Dienstplan!$B$25:$B$36))*(ISNUMBER(SEARCH($AB$5,Dienstplan!$BM$25:$CP$36)))))</f>
        <v>0</v>
      </c>
      <c r="F135">
        <f>SUMPRODUCT((ISNUMBER(SEARCH($Y6,Dienstplan!$B$25:$B$36))*(ISNUMBER(SEARCH($AB$6,Dienstplan!$BM$25:$CP$36)))))</f>
        <v>3</v>
      </c>
      <c r="G135">
        <f>SUMPRODUCT((ISNUMBER(SEARCH($Y6,Dienstplan!$B$25:$B$36))*(ISNUMBER(SEARCH($AB$7,Dienstplan!$BM$25:$CP$36)))))-H135</f>
        <v>0</v>
      </c>
      <c r="H135">
        <f>SUMPRODUCT((ISNUMBER(SEARCH($Y6,Dienstplan!$B$25:$B$36))*(ISNUMBER(SEARCH($AB$8,Dienstplan!$BM$25:$CP$36)))))</f>
        <v>0</v>
      </c>
      <c r="I135">
        <f>SUMPRODUCT((ISNUMBER(SEARCH($Y6,Dienstplan!$B$25:$B$36))*(ISNUMBER(SEARCH($AB$9,Dienstplan!$BM$25:$CP$36)))))</f>
        <v>0</v>
      </c>
      <c r="J135">
        <f>SUMPRODUCT((ISNUMBER(SEARCH($Y6,Dienstplan!$B$25:$B$36))*(ISNUMBER(SEARCH($AB$10,Dienstplan!$BM$25:$CP$36)))))</f>
        <v>0</v>
      </c>
      <c r="K135">
        <f>SUMPRODUCT((ISNUMBER(SEARCH($Y6,Dienstplan!$B$25:$B$36))*(ISNUMBER(SEARCH($AB$11,Dienstplan!$BM$25:$CP$36)))))-$Q135</f>
        <v>8</v>
      </c>
      <c r="L135">
        <f>SUMPRODUCT((ISNUMBER(SEARCH($Y6,Dienstplan!$B$25:$B$36))*(ISNUMBER(SEARCH($AB$12,Dienstplan!$BM$25:$CP$36)))))</f>
        <v>0</v>
      </c>
      <c r="M135">
        <f>SUMPRODUCT((ISNUMBER(SEARCH($Y6,Dienstplan!$B$25:$B$36))*(ISNUMBER(SEARCH($AB$13,Dienstplan!$BM$25:$CP$36)))))</f>
        <v>0</v>
      </c>
      <c r="N135">
        <f>SUMPRODUCT((ISNUMBER(SEARCH($Y6,Dienstplan!$B$25:$B$36))*(ISNUMBER(SEARCH($AB$14,Dienstplan!$BM$25:$CP$36)))))</f>
        <v>0</v>
      </c>
      <c r="O135">
        <f>SUMPRODUCT((ISNUMBER(SEARCH($Y6,Dienstplan!$B$25:$B$36))*(ISNUMBER(SEARCH($AB$15,Dienstplan!$BM$25:$CP$36)))))</f>
        <v>0</v>
      </c>
      <c r="P135">
        <f>SUMPRODUCT((ISNUMBER(SEARCH($Y6,Dienstplan!$B$25:$B$36))*(ISNUMBER(SEARCH($AB$16,Dienstplan!$BM$25:$CP$36)))))</f>
        <v>0</v>
      </c>
      <c r="Q135">
        <f>SUMPRODUCT((ISNUMBER(SEARCH($Y6,Dienstplan!$B$25:$B$36))*(ISNUMBER(SEARCH($AB$17,Dienstplan!$BM$25:$CP$36)))))</f>
        <v>0</v>
      </c>
      <c r="R135">
        <f>SUMPRODUCT((ISNUMBER(SEARCH($Y6,Dienstplan!$B$25:$B$36))*(ISNUMBER(SEARCH($AB$18,Dienstplan!$BM$25:$CP$36)))))</f>
        <v>0</v>
      </c>
      <c r="S135" s="11">
        <f>SUMPRODUCT((ISNUMBER(SEARCH($Y6,Dienstplan!$B$25:$B$36))*(ISNUMBER(SEARCH($AB$19,Dienstplan!$BM$25:$CP$36)))))</f>
        <v>1</v>
      </c>
      <c r="T135">
        <f t="shared" si="44"/>
        <v>168</v>
      </c>
      <c r="U135" s="14">
        <f>SUM($C135*Frueh_1+$D135*Spaet_1+$E135*Nacht_1+$F135*Normal_1+$I135*Sonderd_1-$J135*Scho_K+$K135*Scho_K+$L135*EH_Kurs+$M135*Koor_taet+$N135*Sekre_1+$O135*Scho_K+$R135*Scho_K+$P135*Scho_K+$Q135*Scho_K+G135*Scho_K+H135*Scho_K)</f>
        <v>86.5</v>
      </c>
      <c r="V135" s="11">
        <f t="shared" si="46"/>
        <v>-81.5</v>
      </c>
      <c r="W135" s="20">
        <f t="shared" si="45"/>
        <v>-537.25</v>
      </c>
    </row>
    <row r="136" spans="1:23" x14ac:dyDescent="0.25">
      <c r="A136" s="11"/>
      <c r="B136" s="27" t="str">
        <f t="shared" si="43"/>
        <v>Göpfrich</v>
      </c>
      <c r="C136">
        <f>SUMPRODUCT((ISNUMBER(SEARCH($Y7,Dienstplan!$B$25:$B$36))*(ISNUMBER(SEARCH($AB$3,Dienstplan!$BM$25:$CP$36)))))-D136</f>
        <v>0</v>
      </c>
      <c r="D136">
        <f>SUMPRODUCT((ISNUMBER(SEARCH($Y7,Dienstplan!$B$25:$B$36))*(ISNUMBER(SEARCH($AB$4,Dienstplan!$BM$25:$CP$36)))))</f>
        <v>0</v>
      </c>
      <c r="E136">
        <f>SUMPRODUCT((ISNUMBER(SEARCH($Y7,Dienstplan!$B$25:$B$36))*(ISNUMBER(SEARCH($AB$5,Dienstplan!$BM$25:$CP$36)))))</f>
        <v>0</v>
      </c>
      <c r="F136">
        <f>SUMPRODUCT((ISNUMBER(SEARCH($Y7,Dienstplan!$B$25:$B$36))*(ISNUMBER(SEARCH($AB$6,Dienstplan!$BM$25:$CP$36)))))</f>
        <v>5</v>
      </c>
      <c r="G136">
        <f>SUMPRODUCT((ISNUMBER(SEARCH($Y7,Dienstplan!$B$25:$B$36))*(ISNUMBER(SEARCH($AB$7,Dienstplan!$BM$25:$CP$36)))))-H136</f>
        <v>0</v>
      </c>
      <c r="H136">
        <f>SUMPRODUCT((ISNUMBER(SEARCH($Y7,Dienstplan!$B$25:$B$36))*(ISNUMBER(SEARCH($AB$8,Dienstplan!$BM$25:$CP$36)))))</f>
        <v>0</v>
      </c>
      <c r="I136">
        <f>SUMPRODUCT((ISNUMBER(SEARCH($Y7,Dienstplan!$B$25:$B$36))*(ISNUMBER(SEARCH($AB$9,Dienstplan!$BM$25:$CP$36)))))</f>
        <v>0</v>
      </c>
      <c r="J136">
        <f>SUMPRODUCT((ISNUMBER(SEARCH($Y7,Dienstplan!$B$25:$B$36))*(ISNUMBER(SEARCH($AB$10,Dienstplan!$BM$25:$CP$36)))))</f>
        <v>0</v>
      </c>
      <c r="K136">
        <f>SUMPRODUCT((ISNUMBER(SEARCH($Y7,Dienstplan!$B$25:$B$36))*(ISNUMBER(SEARCH($AB$11,Dienstplan!$BM$25:$CP$36)))))-$Q136</f>
        <v>5</v>
      </c>
      <c r="L136">
        <f>SUMPRODUCT((ISNUMBER(SEARCH($Y7,Dienstplan!$B$25:$B$36))*(ISNUMBER(SEARCH($AB$12,Dienstplan!$BM$25:$CP$36)))))</f>
        <v>0</v>
      </c>
      <c r="M136">
        <f>SUMPRODUCT((ISNUMBER(SEARCH($Y7,Dienstplan!$B$25:$B$36))*(ISNUMBER(SEARCH($AB$13,Dienstplan!$BM$25:$CP$36)))))</f>
        <v>0</v>
      </c>
      <c r="N136">
        <f>SUMPRODUCT((ISNUMBER(SEARCH($Y7,Dienstplan!$B$25:$B$36))*(ISNUMBER(SEARCH($AB$14,Dienstplan!$BM$25:$CP$36)))))</f>
        <v>0</v>
      </c>
      <c r="O136">
        <f>SUMPRODUCT((ISNUMBER(SEARCH($Y7,Dienstplan!$B$25:$B$36))*(ISNUMBER(SEARCH($AB$15,Dienstplan!$BM$25:$CP$36)))))</f>
        <v>0</v>
      </c>
      <c r="P136">
        <f>SUMPRODUCT((ISNUMBER(SEARCH($Y7,Dienstplan!$B$25:$B$36))*(ISNUMBER(SEARCH($AB$16,Dienstplan!$BM$25:$CP$36)))))</f>
        <v>0</v>
      </c>
      <c r="Q136">
        <f>SUMPRODUCT((ISNUMBER(SEARCH($Y7,Dienstplan!$B$25:$B$36))*(ISNUMBER(SEARCH($AB$17,Dienstplan!$BM$25:$CP$36)))))</f>
        <v>0</v>
      </c>
      <c r="R136">
        <f>SUMPRODUCT((ISNUMBER(SEARCH($Y7,Dienstplan!$B$25:$B$36))*(ISNUMBER(SEARCH($AB$18,Dienstplan!$BM$25:$CP$36)))))</f>
        <v>0</v>
      </c>
      <c r="S136" s="11">
        <f>SUMPRODUCT((ISNUMBER(SEARCH($Y7,Dienstplan!$B$25:$B$36))*(ISNUMBER(SEARCH($AB$19,Dienstplan!$BM$25:$CP$36)))))</f>
        <v>1</v>
      </c>
      <c r="T136">
        <f t="shared" si="44"/>
        <v>147</v>
      </c>
      <c r="U136" s="14">
        <f>SUM($C136*Frueh_1+$D136*Spaet_1+$E136*Nacht_1+$F136*Normal_1+$I136*Sonderd_1-$J136*Krie_B+$K136*Krie_B+$L136*EH_Kurs+$M136*Koor_taet+$N136*Sekre_1+$O136*Krie_B+$R136*Krie_B+$P136*Krie_B+$Q136*Krie_B+G136*Krie_B+H136*Krie_B)</f>
        <v>72.5</v>
      </c>
      <c r="V136" s="11">
        <f t="shared" si="46"/>
        <v>-74.5</v>
      </c>
      <c r="W136" s="20">
        <f t="shared" si="45"/>
        <v>-425.75</v>
      </c>
    </row>
    <row r="137" spans="1:23" x14ac:dyDescent="0.25">
      <c r="A137" s="11"/>
      <c r="B137" s="27" t="str">
        <f t="shared" si="43"/>
        <v>Zeller</v>
      </c>
      <c r="C137">
        <f>SUMPRODUCT((ISNUMBER(SEARCH($Y8,Dienstplan!$B$25:$B$36))*(ISNUMBER(SEARCH($AB$3,Dienstplan!$BM$25:$CP$36)))))-D137</f>
        <v>0</v>
      </c>
      <c r="D137">
        <f>SUMPRODUCT((ISNUMBER(SEARCH($Y8,Dienstplan!$B$25:$B$36))*(ISNUMBER(SEARCH($AB$4,Dienstplan!$BM$25:$CP$36)))))</f>
        <v>0</v>
      </c>
      <c r="E137">
        <f>SUMPRODUCT((ISNUMBER(SEARCH($Y8,Dienstplan!$B$25:$B$36))*(ISNUMBER(SEARCH($AB$5,Dienstplan!$BM$25:$CP$36)))))</f>
        <v>0</v>
      </c>
      <c r="F137">
        <f>SUMPRODUCT((ISNUMBER(SEARCH($Y8,Dienstplan!$B$25:$B$36))*(ISNUMBER(SEARCH($AB$6,Dienstplan!$BM$25:$CP$36)))))</f>
        <v>0</v>
      </c>
      <c r="G137">
        <f>SUMPRODUCT((ISNUMBER(SEARCH($Y8,Dienstplan!$B$25:$B$36))*(ISNUMBER(SEARCH($AB$7,Dienstplan!$BM$25:$CP$36)))))-H137</f>
        <v>0</v>
      </c>
      <c r="H137">
        <f>SUMPRODUCT((ISNUMBER(SEARCH($Y8,Dienstplan!$B$25:$B$36))*(ISNUMBER(SEARCH($AB$8,Dienstplan!$BM$25:$CP$36)))))</f>
        <v>0</v>
      </c>
      <c r="I137">
        <f>SUMPRODUCT((ISNUMBER(SEARCH($Y8,Dienstplan!$B$25:$B$36))*(ISNUMBER(SEARCH($AB$9,Dienstplan!$BM$25:$CP$36)))))</f>
        <v>0</v>
      </c>
      <c r="J137">
        <f>SUMPRODUCT((ISNUMBER(SEARCH($Y8,Dienstplan!$B$25:$B$36))*(ISNUMBER(SEARCH($AB$10,Dienstplan!$BM$25:$CP$36)))))</f>
        <v>0</v>
      </c>
      <c r="K137">
        <f>SUMPRODUCT((ISNUMBER(SEARCH($Y8,Dienstplan!$B$25:$B$36))*(ISNUMBER(SEARCH($AB$11,Dienstplan!$BM$25:$CP$36)))))-$Q137</f>
        <v>10</v>
      </c>
      <c r="L137">
        <f>SUMPRODUCT((ISNUMBER(SEARCH($Y8,Dienstplan!$B$25:$B$36))*(ISNUMBER(SEARCH($AB$12,Dienstplan!$BM$25:$CP$36)))))</f>
        <v>0</v>
      </c>
      <c r="M137">
        <f>SUMPRODUCT((ISNUMBER(SEARCH($Y8,Dienstplan!$B$25:$B$36))*(ISNUMBER(SEARCH($AB$13,Dienstplan!$BM$25:$CP$36)))))</f>
        <v>0</v>
      </c>
      <c r="N137">
        <f>SUMPRODUCT((ISNUMBER(SEARCH($Y8,Dienstplan!$B$25:$B$36))*(ISNUMBER(SEARCH($AB$14,Dienstplan!$BM$25:$CP$36)))))</f>
        <v>0</v>
      </c>
      <c r="O137">
        <f>SUMPRODUCT((ISNUMBER(SEARCH($Y8,Dienstplan!$B$25:$B$36))*(ISNUMBER(SEARCH($AB$15,Dienstplan!$BM$25:$CP$36)))))</f>
        <v>2</v>
      </c>
      <c r="P137">
        <f>SUMPRODUCT((ISNUMBER(SEARCH($Y8,Dienstplan!$B$25:$B$36))*(ISNUMBER(SEARCH($AB$16,Dienstplan!$BM$25:$CP$36)))))</f>
        <v>0</v>
      </c>
      <c r="Q137">
        <f>SUMPRODUCT((ISNUMBER(SEARCH($Y8,Dienstplan!$B$25:$B$36))*(ISNUMBER(SEARCH($AB$17,Dienstplan!$BM$25:$CP$36)))))</f>
        <v>0</v>
      </c>
      <c r="R137">
        <f>SUMPRODUCT((ISNUMBER(SEARCH($Y8,Dienstplan!$B$25:$B$36))*(ISNUMBER(SEARCH($AB$18,Dienstplan!$BM$25:$CP$36)))))</f>
        <v>0</v>
      </c>
      <c r="S137" s="11">
        <f>SUMPRODUCT((ISNUMBER(SEARCH($Y8,Dienstplan!$B$25:$B$36))*(ISNUMBER(SEARCH($AB$19,Dienstplan!$BM$25:$CP$36)))))</f>
        <v>0</v>
      </c>
      <c r="T137">
        <f t="shared" si="44"/>
        <v>168</v>
      </c>
      <c r="U137" s="14">
        <f>SUM($C137*Frueh_1+$D137*Spaet_1+$E137*Nacht_1+$F137*Normal_1+$I137*Sonderd_1-$J137*Muster+$K137*Muster+$L137*EH_Kurs+$M137*Koor_taet+$N137*Sekre_1+$O137*Muster+$P137*Muster+$Q137*Muster+$R137*Muster+G137*Muster+H137*Muster)</f>
        <v>96</v>
      </c>
      <c r="V137" s="11">
        <f t="shared" si="46"/>
        <v>-72</v>
      </c>
      <c r="W137" s="20">
        <f t="shared" si="45"/>
        <v>-554.25</v>
      </c>
    </row>
    <row r="138" spans="1:23" x14ac:dyDescent="0.25">
      <c r="A138" s="11"/>
      <c r="B138" s="27" t="str">
        <f t="shared" si="43"/>
        <v>Behrendt</v>
      </c>
      <c r="C138">
        <f>SUMPRODUCT((ISNUMBER(SEARCH($Y9,Dienstplan!$B$25:$B$36))*(ISNUMBER(SEARCH($AB$3,Dienstplan!$BM$25:$CP$36)))))-D138</f>
        <v>0</v>
      </c>
      <c r="D138">
        <f>SUMPRODUCT((ISNUMBER(SEARCH($Y9,Dienstplan!$B$25:$B$36))*(ISNUMBER(SEARCH($AB$4,Dienstplan!$BM$25:$CP$36)))))</f>
        <v>0</v>
      </c>
      <c r="E138">
        <f>SUMPRODUCT((ISNUMBER(SEARCH($Y9,Dienstplan!$B$25:$B$36))*(ISNUMBER(SEARCH($AB$5,Dienstplan!$BM$25:$CP$36)))))</f>
        <v>0</v>
      </c>
      <c r="F138">
        <f>SUMPRODUCT((ISNUMBER(SEARCH($Y9,Dienstplan!$B$25:$B$36))*(ISNUMBER(SEARCH($AB$6,Dienstplan!$BM$25:$CP$36)))))</f>
        <v>5</v>
      </c>
      <c r="G138">
        <f>SUMPRODUCT((ISNUMBER(SEARCH($Y9,Dienstplan!$B$25:$B$36))*(ISNUMBER(SEARCH($AB$7,Dienstplan!$BM$25:$CP$36)))))-H138</f>
        <v>0</v>
      </c>
      <c r="H138">
        <f>SUMPRODUCT((ISNUMBER(SEARCH($Y9,Dienstplan!$B$25:$B$36))*(ISNUMBER(SEARCH($AB$8,Dienstplan!$BM$25:$CP$36)))))</f>
        <v>0</v>
      </c>
      <c r="I138">
        <f>SUMPRODUCT((ISNUMBER(SEARCH($Y9,Dienstplan!$B$25:$B$36))*(ISNUMBER(SEARCH($AB$9,Dienstplan!$BM$25:$CP$36)))))</f>
        <v>0</v>
      </c>
      <c r="J138">
        <f>SUMPRODUCT((ISNUMBER(SEARCH($Y9,Dienstplan!$B$25:$B$36))*(ISNUMBER(SEARCH($AB$10,Dienstplan!$BM$25:$CP$36)))))</f>
        <v>0</v>
      </c>
      <c r="K138">
        <f>SUMPRODUCT((ISNUMBER(SEARCH($Y9,Dienstplan!$B$25:$B$36))*(ISNUMBER(SEARCH($AB$11,Dienstplan!$BM$25:$CP$36)))))-$Q138</f>
        <v>0</v>
      </c>
      <c r="L138">
        <f>SUMPRODUCT((ISNUMBER(SEARCH($Y9,Dienstplan!$B$25:$B$36))*(ISNUMBER(SEARCH($AB$12,Dienstplan!$BM$25:$CP$36)))))</f>
        <v>0</v>
      </c>
      <c r="M138">
        <f>SUMPRODUCT((ISNUMBER(SEARCH($Y9,Dienstplan!$B$25:$B$36))*(ISNUMBER(SEARCH($AB$13,Dienstplan!$BM$25:$CP$36)))))</f>
        <v>0</v>
      </c>
      <c r="N138">
        <f>SUMPRODUCT((ISNUMBER(SEARCH($Y9,Dienstplan!$B$25:$B$36))*(ISNUMBER(SEARCH($AB$14,Dienstplan!$BM$25:$CP$36)))))</f>
        <v>0</v>
      </c>
      <c r="O138">
        <f>SUMPRODUCT((ISNUMBER(SEARCH($Y9,Dienstplan!$B$25:$B$36))*(ISNUMBER(SEARCH($AB$15,Dienstplan!$BM$25:$CP$36)))))</f>
        <v>2</v>
      </c>
      <c r="P138">
        <f>SUMPRODUCT((ISNUMBER(SEARCH($Y9,Dienstplan!$B$25:$B$36))*(ISNUMBER(SEARCH($AB$16,Dienstplan!$BM$25:$CP$36)))))</f>
        <v>0</v>
      </c>
      <c r="Q138">
        <f>SUMPRODUCT((ISNUMBER(SEARCH($Y9,Dienstplan!$B$25:$B$36))*(ISNUMBER(SEARCH($AB$17,Dienstplan!$BM$25:$CP$36)))))</f>
        <v>0</v>
      </c>
      <c r="R138">
        <f>SUMPRODUCT((ISNUMBER(SEARCH($Y9,Dienstplan!$B$25:$B$36))*(ISNUMBER(SEARCH($AB$18,Dienstplan!$BM$25:$CP$36)))))</f>
        <v>0</v>
      </c>
      <c r="S138" s="11">
        <f>SUMPRODUCT((ISNUMBER(SEARCH($Y9,Dienstplan!$B$25:$B$36))*(ISNUMBER(SEARCH($AB$19,Dienstplan!$BM$25:$CP$36)))))</f>
        <v>1</v>
      </c>
      <c r="T138">
        <f t="shared" si="44"/>
        <v>147</v>
      </c>
      <c r="U138" s="14">
        <f>SUM($C138*Frueh_1+$D138*Spaet_1+$E138*Nacht_1+$F138*Normal_1+$I138*Sonderd_1-$J138*Muster+$K138*Muster+$L138*EH_Kurs+$M138*Koor_taet+$N138*Sekre_1+$O138*Muster+$P138*Muster+$Q138*Muster+$R138*Muster+G138*Muster+H138*Muster)</f>
        <v>53.5</v>
      </c>
      <c r="V138" s="11">
        <f t="shared" si="46"/>
        <v>-93.5</v>
      </c>
      <c r="W138" s="20">
        <f t="shared" si="45"/>
        <v>-448.45</v>
      </c>
    </row>
    <row r="139" spans="1:23" x14ac:dyDescent="0.25">
      <c r="A139" s="11"/>
      <c r="B139" s="27" t="str">
        <f t="shared" si="43"/>
        <v>Krempl</v>
      </c>
      <c r="C139">
        <f>SUMPRODUCT((ISNUMBER(SEARCH($Y10,Dienstplan!$B$25:$B$36))*(ISNUMBER(SEARCH($AB$3,Dienstplan!$BM$25:$CP$36)))))-D139</f>
        <v>0</v>
      </c>
      <c r="D139">
        <f>SUMPRODUCT((ISNUMBER(SEARCH($Y10,Dienstplan!$B$25:$B$36))*(ISNUMBER(SEARCH($AB$4,Dienstplan!$BM$25:$CP$36)))))</f>
        <v>0</v>
      </c>
      <c r="E139">
        <f>SUMPRODUCT((ISNUMBER(SEARCH($Y10,Dienstplan!$B$25:$B$36))*(ISNUMBER(SEARCH($AB$5,Dienstplan!$BM$25:$CP$36)))))</f>
        <v>0</v>
      </c>
      <c r="F139">
        <f>SUMPRODUCT((ISNUMBER(SEARCH($Y10,Dienstplan!$B$25:$B$36))*(ISNUMBER(SEARCH($AB$6,Dienstplan!$BM$25:$CP$36)))))</f>
        <v>0</v>
      </c>
      <c r="G139">
        <f>SUMPRODUCT((ISNUMBER(SEARCH($Y10,Dienstplan!$B$25:$B$36))*(ISNUMBER(SEARCH($AB$7,Dienstplan!$BM$25:$CP$36)))))-H139</f>
        <v>0</v>
      </c>
      <c r="H139">
        <f>SUMPRODUCT((ISNUMBER(SEARCH($Y10,Dienstplan!$B$25:$B$36))*(ISNUMBER(SEARCH($AB$8,Dienstplan!$BM$25:$CP$36)))))</f>
        <v>0</v>
      </c>
      <c r="I139">
        <f>SUMPRODUCT((ISNUMBER(SEARCH($Y10,Dienstplan!$B$25:$B$36))*(ISNUMBER(SEARCH($AB$9,Dienstplan!$BM$25:$CP$36)))))</f>
        <v>0</v>
      </c>
      <c r="J139">
        <f>SUMPRODUCT((ISNUMBER(SEARCH($Y10,Dienstplan!$B$25:$B$36))*(ISNUMBER(SEARCH($AB$10,Dienstplan!$BM$25:$CP$36)))))</f>
        <v>0</v>
      </c>
      <c r="K139">
        <f>SUMPRODUCT((ISNUMBER(SEARCH($Y10,Dienstplan!$B$25:$B$36))*(ISNUMBER(SEARCH($AB$11,Dienstplan!$BM$25:$CP$36)))))-$Q139</f>
        <v>0</v>
      </c>
      <c r="L139">
        <f>SUMPRODUCT((ISNUMBER(SEARCH($Y10,Dienstplan!$B$25:$B$36))*(ISNUMBER(SEARCH($AB$12,Dienstplan!$BM$25:$CP$36)))))</f>
        <v>0</v>
      </c>
      <c r="M139">
        <f>SUMPRODUCT((ISNUMBER(SEARCH($Y10,Dienstplan!$B$25:$B$36))*(ISNUMBER(SEARCH($AB$13,Dienstplan!$BM$25:$CP$36)))))</f>
        <v>0</v>
      </c>
      <c r="N139">
        <f>SUMPRODUCT((ISNUMBER(SEARCH($Y10,Dienstplan!$B$25:$B$36))*(ISNUMBER(SEARCH($AB$14,Dienstplan!$BM$25:$CP$36)))))</f>
        <v>0</v>
      </c>
      <c r="O139">
        <f>SUMPRODUCT((ISNUMBER(SEARCH($Y10,Dienstplan!$B$25:$B$36))*(ISNUMBER(SEARCH($AB$15,Dienstplan!$BM$25:$CP$36)))))</f>
        <v>0</v>
      </c>
      <c r="P139">
        <f>SUMPRODUCT((ISNUMBER(SEARCH($Y10,Dienstplan!$B$25:$B$36))*(ISNUMBER(SEARCH($AB$16,Dienstplan!$BM$25:$CP$36)))))</f>
        <v>0</v>
      </c>
      <c r="Q139">
        <f>SUMPRODUCT((ISNUMBER(SEARCH($Y10,Dienstplan!$B$25:$B$36))*(ISNUMBER(SEARCH($AB$17,Dienstplan!$BM$25:$CP$36)))))</f>
        <v>0</v>
      </c>
      <c r="R139">
        <f>SUMPRODUCT((ISNUMBER(SEARCH($Y10,Dienstplan!$B$25:$B$36))*(ISNUMBER(SEARCH($AB$18,Dienstplan!$BM$25:$CP$36)))))</f>
        <v>0</v>
      </c>
      <c r="S139" s="11">
        <f>SUMPRODUCT((ISNUMBER(SEARCH($Y10,Dienstplan!$B$25:$B$36))*(ISNUMBER(SEARCH($AB$19,Dienstplan!$BM$25:$CP$36)))))</f>
        <v>0</v>
      </c>
      <c r="T139">
        <f t="shared" si="44"/>
        <v>67.2</v>
      </c>
      <c r="U139" s="14">
        <f>SUM($C139*Frueh_1+$D139*Spaet_1+$E139*Nacht_1+$F139*Normal_1+$I139*Sonderd_1-$J139*Krem_E+$K139*Krem_E+$L139*EH_Kurs+$M139*Koor_taet+$N139*Sekre_1+$O139*Krem_E+$R139*Krem_E+$P139*Krem_E+$Q139*Krem_E+G139*Krem_E+H139*Krem_E)</f>
        <v>0</v>
      </c>
      <c r="V139" s="11">
        <f t="shared" si="46"/>
        <v>-67.2</v>
      </c>
      <c r="W139" s="20">
        <f t="shared" si="45"/>
        <v>-442.5</v>
      </c>
    </row>
    <row r="140" spans="1:23" x14ac:dyDescent="0.25">
      <c r="A140" s="11"/>
      <c r="B140" s="27" t="str">
        <f t="shared" si="43"/>
        <v>Putschler</v>
      </c>
      <c r="C140">
        <f>SUMPRODUCT((ISNUMBER(SEARCH($Y11,Dienstplan!$B$25:$B$36))*(ISNUMBER(SEARCH($AB$3,Dienstplan!$BM$25:$CP$36)))))-D140</f>
        <v>0</v>
      </c>
      <c r="D140">
        <f>SUMPRODUCT((ISNUMBER(SEARCH($Y11,Dienstplan!$B$25:$B$36))*(ISNUMBER(SEARCH($AB$4,Dienstplan!$BM$25:$CP$36)))))</f>
        <v>0</v>
      </c>
      <c r="E140">
        <f>SUMPRODUCT((ISNUMBER(SEARCH($Y11,Dienstplan!$B$25:$B$36))*(ISNUMBER(SEARCH($AB$5,Dienstplan!$BM$25:$CP$36)))))</f>
        <v>0</v>
      </c>
      <c r="F140">
        <f>SUMPRODUCT((ISNUMBER(SEARCH($Y11,Dienstplan!$B$25:$B$36))*(ISNUMBER(SEARCH($AB$6,Dienstplan!$BM$25:$CP$36)))))</f>
        <v>0</v>
      </c>
      <c r="G140">
        <f>SUMPRODUCT((ISNUMBER(SEARCH($Y11,Dienstplan!$B$25:$B$36))*(ISNUMBER(SEARCH($AB$7,Dienstplan!$BM$25:$CP$36)))))-H140</f>
        <v>0</v>
      </c>
      <c r="H140">
        <f>SUMPRODUCT((ISNUMBER(SEARCH($Y11,Dienstplan!$B$25:$B$36))*(ISNUMBER(SEARCH($AB$8,Dienstplan!$BM$25:$CP$36)))))</f>
        <v>0</v>
      </c>
      <c r="I140">
        <f>SUMPRODUCT((ISNUMBER(SEARCH($Y11,Dienstplan!$B$25:$B$36))*(ISNUMBER(SEARCH($AB$9,Dienstplan!$BM$25:$CP$36)))))</f>
        <v>0</v>
      </c>
      <c r="J140">
        <f>SUMPRODUCT((ISNUMBER(SEARCH($Y11,Dienstplan!$B$25:$B$36))*(ISNUMBER(SEARCH($AB$10,Dienstplan!$BM$25:$CP$36)))))</f>
        <v>0</v>
      </c>
      <c r="K140">
        <f>SUMPRODUCT((ISNUMBER(SEARCH($Y11,Dienstplan!$B$25:$B$36))*(ISNUMBER(SEARCH($AB$11,Dienstplan!$BM$25:$CP$36)))))-$Q140</f>
        <v>5</v>
      </c>
      <c r="L140">
        <f>SUMPRODUCT((ISNUMBER(SEARCH($Y11,Dienstplan!$B$25:$B$36))*(ISNUMBER(SEARCH($AB$12,Dienstplan!$BM$25:$CP$36)))))</f>
        <v>0</v>
      </c>
      <c r="M140">
        <f>SUMPRODUCT((ISNUMBER(SEARCH($Y11,Dienstplan!$B$25:$B$36))*(ISNUMBER(SEARCH($AB$13,Dienstplan!$BM$25:$CP$36)))))</f>
        <v>0</v>
      </c>
      <c r="N140">
        <f>SUMPRODUCT((ISNUMBER(SEARCH($Y11,Dienstplan!$B$25:$B$36))*(ISNUMBER(SEARCH($AB$14,Dienstplan!$BM$25:$CP$36)))))</f>
        <v>0</v>
      </c>
      <c r="O140">
        <f>SUMPRODUCT((ISNUMBER(SEARCH($Y11,Dienstplan!$B$25:$B$36))*(ISNUMBER(SEARCH($AB$15,Dienstplan!$BM$25:$CP$36)))))</f>
        <v>0</v>
      </c>
      <c r="P140">
        <f>SUMPRODUCT((ISNUMBER(SEARCH($Y11,Dienstplan!$B$25:$B$36))*(ISNUMBER(SEARCH($AB$16,Dienstplan!$BM$25:$CP$36)))))</f>
        <v>0</v>
      </c>
      <c r="Q140">
        <f>SUMPRODUCT((ISNUMBER(SEARCH($Y11,Dienstplan!$B$25:$B$36))*(ISNUMBER(SEARCH($AB$17,Dienstplan!$BM$25:$CP$36)))))</f>
        <v>0</v>
      </c>
      <c r="R140">
        <f>SUMPRODUCT((ISNUMBER(SEARCH($Y11,Dienstplan!$B$25:$B$36))*(ISNUMBER(SEARCH($AB$18,Dienstplan!$BM$25:$CP$36)))))</f>
        <v>0</v>
      </c>
      <c r="S140" s="11">
        <f>SUMPRODUCT((ISNUMBER(SEARCH($Y11,Dienstplan!$B$25:$B$36))*(ISNUMBER(SEARCH($AB$19,Dienstplan!$BM$25:$CP$36)))))</f>
        <v>0</v>
      </c>
      <c r="T140">
        <f t="shared" si="44"/>
        <v>168</v>
      </c>
      <c r="U140" s="14">
        <f>SUM($C140*Frueh_1+$D140*Spaet_1+$E140*Nacht_1+$F140*Normal_1+$I140*Sonderd_1-$J140*Put_W+$K140*Put_W+$L140*EH_Kurs+$M140*Koor_taet+$N140*Sekre_1+$O140*Put_W+$R140*Put_W+$P140*Put_W+$Q140*Put_W+G140*Put_W+H140*Put_W)</f>
        <v>40</v>
      </c>
      <c r="V140" s="11">
        <f t="shared" si="46"/>
        <v>-128</v>
      </c>
      <c r="W140" s="20">
        <f t="shared" si="45"/>
        <v>-689.5</v>
      </c>
    </row>
    <row r="141" spans="1:23" x14ac:dyDescent="0.25">
      <c r="A141" s="11"/>
      <c r="B141" s="27" t="str">
        <f t="shared" si="43"/>
        <v>Schmidt</v>
      </c>
      <c r="C141">
        <f>SUMPRODUCT((ISNUMBER(SEARCH($Y12,Dienstplan!$B$25:$B$36))*(ISNUMBER(SEARCH($AB$3,Dienstplan!$BM$25:$CP$36)))))-D141</f>
        <v>0</v>
      </c>
      <c r="D141">
        <f>SUMPRODUCT((ISNUMBER(SEARCH($Y12,Dienstplan!$B$25:$B$36))*(ISNUMBER(SEARCH($AB$4,Dienstplan!$BM$25:$CP$36)))))</f>
        <v>0</v>
      </c>
      <c r="E141">
        <f>SUMPRODUCT((ISNUMBER(SEARCH($Y12,Dienstplan!$B$25:$B$36))*(ISNUMBER(SEARCH($AB$5,Dienstplan!$BM$25:$CP$36)))))</f>
        <v>0</v>
      </c>
      <c r="F141">
        <f>SUMPRODUCT((ISNUMBER(SEARCH($Y12,Dienstplan!$B$25:$B$36))*(ISNUMBER(SEARCH($AB$6,Dienstplan!$BM$25:$CP$36)))))</f>
        <v>0</v>
      </c>
      <c r="G141">
        <f>SUMPRODUCT((ISNUMBER(SEARCH($Y12,Dienstplan!$B$25:$B$36))*(ISNUMBER(SEARCH($AB$7,Dienstplan!$BM$25:$CP$36)))))-H141</f>
        <v>0</v>
      </c>
      <c r="H141">
        <f>SUMPRODUCT((ISNUMBER(SEARCH($Y12,Dienstplan!$B$25:$B$36))*(ISNUMBER(SEARCH($AB$8,Dienstplan!$BM$25:$CP$36)))))</f>
        <v>0</v>
      </c>
      <c r="I141">
        <f>SUMPRODUCT((ISNUMBER(SEARCH($Y12,Dienstplan!$B$25:$B$36))*(ISNUMBER(SEARCH($AB$9,Dienstplan!$BM$25:$CP$36)))))</f>
        <v>0</v>
      </c>
      <c r="J141">
        <f>SUMPRODUCT((ISNUMBER(SEARCH($Y12,Dienstplan!$B$25:$B$36))*(ISNUMBER(SEARCH($AB$10,Dienstplan!$BM$25:$CP$36)))))</f>
        <v>0</v>
      </c>
      <c r="K141">
        <f>SUMPRODUCT((ISNUMBER(SEARCH($Y12,Dienstplan!$B$25:$B$36))*(ISNUMBER(SEARCH($AB$11,Dienstplan!$BM$25:$CP$36)))))-$Q141</f>
        <v>8</v>
      </c>
      <c r="L141">
        <f>SUMPRODUCT((ISNUMBER(SEARCH($Y12,Dienstplan!$B$25:$B$36))*(ISNUMBER(SEARCH($AB$12,Dienstplan!$BM$25:$CP$36)))))</f>
        <v>0</v>
      </c>
      <c r="M141">
        <f>SUMPRODUCT((ISNUMBER(SEARCH($Y12,Dienstplan!$B$25:$B$36))*(ISNUMBER(SEARCH($AB$13,Dienstplan!$BM$25:$CP$36)))))</f>
        <v>0</v>
      </c>
      <c r="N141">
        <f>SUMPRODUCT((ISNUMBER(SEARCH($Y12,Dienstplan!$B$25:$B$36))*(ISNUMBER(SEARCH($AB$14,Dienstplan!$BM$25:$CP$36)))))</f>
        <v>0</v>
      </c>
      <c r="O141">
        <f>SUMPRODUCT((ISNUMBER(SEARCH($Y12,Dienstplan!$B$25:$B$36))*(ISNUMBER(SEARCH($AB$15,Dienstplan!$BM$25:$CP$36)))))</f>
        <v>0</v>
      </c>
      <c r="P141">
        <f>SUMPRODUCT((ISNUMBER(SEARCH($Y12,Dienstplan!$B$25:$B$36))*(ISNUMBER(SEARCH($AB$16,Dienstplan!$BM$25:$CP$36)))))</f>
        <v>0</v>
      </c>
      <c r="Q141">
        <f>SUMPRODUCT((ISNUMBER(SEARCH($Y12,Dienstplan!$B$25:$B$36))*(ISNUMBER(SEARCH($AB$17,Dienstplan!$BM$25:$CP$36)))))</f>
        <v>0</v>
      </c>
      <c r="R141">
        <f>SUMPRODUCT((ISNUMBER(SEARCH($Y12,Dienstplan!$B$25:$B$36))*(ISNUMBER(SEARCH($AB$18,Dienstplan!$BM$25:$CP$36)))))</f>
        <v>0</v>
      </c>
      <c r="S141" s="11">
        <f>SUMPRODUCT((ISNUMBER(SEARCH($Y12,Dienstplan!$B$25:$B$36))*(ISNUMBER(SEARCH($AB$19,Dienstplan!$BM$25:$CP$36)))))</f>
        <v>0</v>
      </c>
      <c r="T141">
        <f t="shared" si="44"/>
        <v>147</v>
      </c>
      <c r="U141" s="14">
        <f>SUM($C141*Frueh_1+$D141*Spaet_1+$E141*Nacht_1+$F141*Normal_1+$I141*Sonderd_1-$J141*Radi_L+$K141*Radi_L+$L141*EH_Kurs+$M141*Koor_taet+$N141*Sekre_1+$O141*Radi_L+$R141*Radi_L+$P141*Radi_L+$Q141*Radi_L+G141*Radi_L+H141*Radi_L)</f>
        <v>56</v>
      </c>
      <c r="V141" s="11">
        <f t="shared" si="46"/>
        <v>-91</v>
      </c>
      <c r="W141" s="20">
        <f t="shared" si="45"/>
        <v>-1092</v>
      </c>
    </row>
    <row r="142" spans="1:23" x14ac:dyDescent="0.25">
      <c r="A142" s="11"/>
      <c r="B142" s="27" t="str">
        <f t="shared" si="43"/>
        <v>Radimersky</v>
      </c>
      <c r="C142">
        <f>SUMPRODUCT((ISNUMBER(SEARCH($Y13,Dienstplan!$B$25:$B$36))*(ISNUMBER(SEARCH($AB$3,Dienstplan!$BM$25:$CP$36)))))-D142</f>
        <v>0</v>
      </c>
      <c r="D142">
        <f>SUMPRODUCT((ISNUMBER(SEARCH($Y13,Dienstplan!$B$25:$B$36))*(ISNUMBER(SEARCH($AB$4,Dienstplan!$BM$25:$CP$36)))))</f>
        <v>0</v>
      </c>
      <c r="E142">
        <f>SUMPRODUCT((ISNUMBER(SEARCH($Y13,Dienstplan!$B$25:$B$36))*(ISNUMBER(SEARCH($AB$5,Dienstplan!$BM$25:$CP$36)))))</f>
        <v>0</v>
      </c>
      <c r="F142">
        <f>SUMPRODUCT((ISNUMBER(SEARCH($Y13,Dienstplan!$B$25:$B$36))*(ISNUMBER(SEARCH($AB$6,Dienstplan!$BM$25:$CP$36)))))</f>
        <v>0</v>
      </c>
      <c r="G142">
        <f>SUMPRODUCT((ISNUMBER(SEARCH($Y13,Dienstplan!$B$25:$B$36))*(ISNUMBER(SEARCH($AB$7,Dienstplan!$BM$25:$CP$36)))))-H142</f>
        <v>0</v>
      </c>
      <c r="H142">
        <f>SUMPRODUCT((ISNUMBER(SEARCH($Y13,Dienstplan!$B$25:$B$36))*(ISNUMBER(SEARCH($AB$8,Dienstplan!$BM$25:$CP$36)))))</f>
        <v>0</v>
      </c>
      <c r="I142">
        <f>SUMPRODUCT((ISNUMBER(SEARCH($Y13,Dienstplan!$B$25:$B$36))*(ISNUMBER(SEARCH($AB$9,Dienstplan!$BM$25:$CP$36)))))</f>
        <v>0</v>
      </c>
      <c r="J142">
        <f>SUMPRODUCT((ISNUMBER(SEARCH($Y13,Dienstplan!$B$25:$B$36))*(ISNUMBER(SEARCH($AB$10,Dienstplan!$BM$25:$CP$36)))))</f>
        <v>0</v>
      </c>
      <c r="K142">
        <f>SUMPRODUCT((ISNUMBER(SEARCH($Y13,Dienstplan!$B$25:$B$36))*(ISNUMBER(SEARCH($AB$11,Dienstplan!$BM$25:$CP$36)))))-$Q142</f>
        <v>9</v>
      </c>
      <c r="L142">
        <f>SUMPRODUCT((ISNUMBER(SEARCH($Y13,Dienstplan!$B$25:$B$36))*(ISNUMBER(SEARCH($AB$12,Dienstplan!$BM$25:$CP$36)))))</f>
        <v>0</v>
      </c>
      <c r="M142">
        <f>SUMPRODUCT((ISNUMBER(SEARCH($Y13,Dienstplan!$B$25:$B$36))*(ISNUMBER(SEARCH($AB$13,Dienstplan!$BM$25:$CP$36)))))</f>
        <v>0</v>
      </c>
      <c r="N142">
        <f>SUMPRODUCT((ISNUMBER(SEARCH($Y13,Dienstplan!$B$25:$B$36))*(ISNUMBER(SEARCH($AB$14,Dienstplan!$BM$25:$CP$36)))))</f>
        <v>0</v>
      </c>
      <c r="O142">
        <f>SUMPRODUCT((ISNUMBER(SEARCH($Y13,Dienstplan!$B$25:$B$36))*(ISNUMBER(SEARCH($AB$15,Dienstplan!$BM$25:$CP$36)))))</f>
        <v>0</v>
      </c>
      <c r="P142">
        <f>SUMPRODUCT((ISNUMBER(SEARCH($Y13,Dienstplan!$B$25:$B$36))*(ISNUMBER(SEARCH($AB$16,Dienstplan!$BM$25:$CP$36)))))</f>
        <v>0</v>
      </c>
      <c r="Q142">
        <f>SUMPRODUCT((ISNUMBER(SEARCH($Y13,Dienstplan!$B$25:$B$36))*(ISNUMBER(SEARCH($AB$17,Dienstplan!$BM$25:$CP$36)))))</f>
        <v>0</v>
      </c>
      <c r="R142">
        <f>SUMPRODUCT((ISNUMBER(SEARCH($Y13,Dienstplan!$B$25:$B$36))*(ISNUMBER(SEARCH($AB$18,Dienstplan!$BM$25:$CP$36)))))</f>
        <v>0</v>
      </c>
      <c r="S142" s="11">
        <f>SUMPRODUCT((ISNUMBER(SEARCH($Y13,Dienstplan!$B$25:$B$36))*(ISNUMBER(SEARCH($AB$19,Dienstplan!$BM$25:$CP$36)))))</f>
        <v>0</v>
      </c>
      <c r="T142">
        <f t="shared" si="44"/>
        <v>63</v>
      </c>
      <c r="U142" s="14">
        <f>SUM($C142*Frueh_1+$D142*Spaet_1+$E142*Nacht_1+$F142*Normal_1+$I142*Sonderd_1-$J142*Fortenb+$K142*Fortenb+$L142*EH_Kurs+$M142*Koor_taet+$N142*Sekre_1+$O142*Fortenb+$R142*Fortenb+$P142*Fortenb+$Q142*Fortenb+G142*Fortenb+H142*Fortenb)</f>
        <v>27</v>
      </c>
      <c r="V142" s="11">
        <f t="shared" si="46"/>
        <v>-36</v>
      </c>
      <c r="W142" s="20">
        <f t="shared" si="45"/>
        <v>-456</v>
      </c>
    </row>
    <row r="143" spans="1:23" x14ac:dyDescent="0.25">
      <c r="A143" s="11"/>
      <c r="B143" s="27"/>
      <c r="S143" s="11"/>
      <c r="V143" s="11"/>
      <c r="W143" s="20"/>
    </row>
    <row r="144" spans="1:23" x14ac:dyDescent="0.25">
      <c r="A144" s="11"/>
      <c r="B144" s="27" t="s">
        <v>23</v>
      </c>
      <c r="C144" s="4">
        <f t="shared" ref="C144:S144" si="47">SUM(C132:C143)</f>
        <v>0</v>
      </c>
      <c r="D144" s="4">
        <f t="shared" si="47"/>
        <v>0</v>
      </c>
      <c r="E144" s="4">
        <f t="shared" si="47"/>
        <v>0</v>
      </c>
      <c r="F144" s="4">
        <f t="shared" si="47"/>
        <v>22</v>
      </c>
      <c r="G144" s="4">
        <f t="shared" si="47"/>
        <v>0</v>
      </c>
      <c r="H144" s="4">
        <f t="shared" si="47"/>
        <v>0</v>
      </c>
      <c r="I144" s="4">
        <f t="shared" si="47"/>
        <v>0</v>
      </c>
      <c r="J144" s="4">
        <f t="shared" si="47"/>
        <v>0</v>
      </c>
      <c r="K144" s="4">
        <f t="shared" si="47"/>
        <v>54</v>
      </c>
      <c r="L144" s="4">
        <f t="shared" si="47"/>
        <v>0</v>
      </c>
      <c r="M144" s="4">
        <f t="shared" si="47"/>
        <v>0</v>
      </c>
      <c r="N144" s="4">
        <f t="shared" si="47"/>
        <v>0</v>
      </c>
      <c r="O144" s="4">
        <f t="shared" si="47"/>
        <v>4</v>
      </c>
      <c r="P144" s="4">
        <f t="shared" si="47"/>
        <v>0</v>
      </c>
      <c r="Q144" s="4">
        <f t="shared" si="47"/>
        <v>0</v>
      </c>
      <c r="R144" s="4">
        <f t="shared" si="47"/>
        <v>0</v>
      </c>
      <c r="S144" s="13">
        <f t="shared" si="47"/>
        <v>4</v>
      </c>
      <c r="T144" s="4">
        <f>SUM(T132:T140)</f>
        <v>1327.2</v>
      </c>
      <c r="U144" s="4">
        <f>SUM(U132:U140)</f>
        <v>488</v>
      </c>
      <c r="V144" s="13"/>
      <c r="W144" s="21"/>
    </row>
    <row r="145" spans="1:23" x14ac:dyDescent="0.25">
      <c r="A145" s="11"/>
      <c r="B145" s="12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2"/>
      <c r="T145" s="1"/>
      <c r="U145" s="1"/>
      <c r="V145" s="12"/>
      <c r="W145" s="17"/>
    </row>
    <row r="146" spans="1:23" x14ac:dyDescent="0.25">
      <c r="A146" s="11"/>
      <c r="B146" s="26" t="s">
        <v>29</v>
      </c>
      <c r="D146" s="365" t="s">
        <v>34</v>
      </c>
      <c r="E146" s="366"/>
      <c r="F146" s="36">
        <v>21</v>
      </c>
      <c r="G146" s="109"/>
      <c r="H146" s="18"/>
      <c r="I146" s="365" t="s">
        <v>51</v>
      </c>
      <c r="J146" s="366"/>
      <c r="K146" s="36">
        <v>4</v>
      </c>
      <c r="S146" s="11"/>
      <c r="V146" s="11"/>
      <c r="W146" s="20"/>
    </row>
    <row r="147" spans="1:23" x14ac:dyDescent="0.25">
      <c r="A147" s="11"/>
      <c r="B147" s="11"/>
      <c r="C147" s="4" t="str">
        <f>Jahr!C3</f>
        <v>FI</v>
      </c>
      <c r="D147" s="4" t="str">
        <f>Jahr!D3</f>
        <v>FII</v>
      </c>
      <c r="E147" s="4" t="str">
        <f>Jahr!E3</f>
        <v>SI</v>
      </c>
      <c r="F147" s="4" t="str">
        <f>Jahr!F3</f>
        <v>NI</v>
      </c>
      <c r="G147" s="4" t="str">
        <f>Jahr!G3</f>
        <v>DI</v>
      </c>
      <c r="H147" s="4" t="str">
        <f>Jahr!H3</f>
        <v>DII</v>
      </c>
      <c r="I147" s="4" t="str">
        <f>Jahr!I3</f>
        <v>SD</v>
      </c>
      <c r="J147" s="4" t="str">
        <f>Jahr!J3</f>
        <v>GT</v>
      </c>
      <c r="K147" s="4" t="str">
        <f>Jahr!K3</f>
        <v>U</v>
      </c>
      <c r="L147" s="4" t="str">
        <f>Jahr!L3</f>
        <v>EH</v>
      </c>
      <c r="M147" s="4" t="str">
        <f>Jahr!M3</f>
        <v>KT</v>
      </c>
      <c r="N147" s="4" t="str">
        <f>Jahr!N3</f>
        <v>Sek</v>
      </c>
      <c r="O147" s="4" t="str">
        <f>Jahr!O3</f>
        <v>Fobi</v>
      </c>
      <c r="P147" s="4" t="str">
        <f>Jahr!P3</f>
        <v>A</v>
      </c>
      <c r="Q147" s="4" t="str">
        <f>Jahr!Q3</f>
        <v>Kur</v>
      </c>
      <c r="R147" s="4" t="str">
        <f>Jahr!R3</f>
        <v>FZC</v>
      </c>
      <c r="S147" s="4" t="str">
        <f>Jahr!S3</f>
        <v>NST</v>
      </c>
      <c r="T147" s="15" t="s">
        <v>37</v>
      </c>
      <c r="U147" s="15" t="s">
        <v>38</v>
      </c>
      <c r="V147" s="13" t="s">
        <v>39</v>
      </c>
      <c r="W147" s="21" t="s">
        <v>52</v>
      </c>
    </row>
    <row r="148" spans="1:23" x14ac:dyDescent="0.25">
      <c r="A148" s="11"/>
      <c r="B148" s="27" t="str">
        <f t="shared" ref="B148:B158" si="48">B4</f>
        <v>Breig</v>
      </c>
      <c r="C148">
        <f>SUMPRODUCT((ISNUMBER(SEARCH($Y3,Dienstplan!$B$25:$B$36))*(ISNUMBER(SEARCH($AB$3,Dienstplan!$CQ$25:$DV$36)))))-D148</f>
        <v>0</v>
      </c>
      <c r="D148">
        <f>SUMPRODUCT((ISNUMBER(SEARCH($Y3,Dienstplan!$B$25:$B$36))*(ISNUMBER(SEARCH($AB$4,Dienstplan!$CQ$25:$DV$36)))))</f>
        <v>0</v>
      </c>
      <c r="E148">
        <f>SUMPRODUCT((ISNUMBER(SEARCH($Y3,Dienstplan!$B$25:$B$36))*(ISNUMBER(SEARCH($AB$5,Dienstplan!$CQ$25:$DV$36)))))</f>
        <v>0</v>
      </c>
      <c r="F148">
        <f>SUMPRODUCT((ISNUMBER(SEARCH($Y3,Dienstplan!$B$25:$B$36))*(ISNUMBER(SEARCH($AB$6,Dienstplan!$CQ$25:$DV$36)))))</f>
        <v>1</v>
      </c>
      <c r="G148">
        <f>SUMPRODUCT((ISNUMBER(SEARCH($Y3,Dienstplan!$B$25:$B$36))*(ISNUMBER(SEARCH($AB$7,Dienstplan!$CQ$25:$DV$36)))))-H148</f>
        <v>0</v>
      </c>
      <c r="H148">
        <f>SUMPRODUCT((ISNUMBER(SEARCH($Y3,Dienstplan!$B$25:$B$36))*(ISNUMBER(SEARCH($AB$8,Dienstplan!$CQ$25:$DV$36)))))</f>
        <v>0</v>
      </c>
      <c r="I148">
        <f>SUMPRODUCT((ISNUMBER(SEARCH($Y3,Dienstplan!$B$25:$B$36))*(ISNUMBER(SEARCH($AB$9,Dienstplan!$CQ$25:$DV$36)))))</f>
        <v>0</v>
      </c>
      <c r="J148">
        <f>SUMPRODUCT((ISNUMBER(SEARCH($Y3,Dienstplan!$B$25:$B$36))*(ISNUMBER(SEARCH($AB$10,Dienstplan!$CQ$25:$DV$36)))))</f>
        <v>0</v>
      </c>
      <c r="K148">
        <f>SUMPRODUCT((ISNUMBER(SEARCH($Y3,Dienstplan!$B$25:$B$36))*(ISNUMBER(SEARCH($AB$11,Dienstplan!$CQ$25:$DV$36)))))-$Q148</f>
        <v>0</v>
      </c>
      <c r="L148">
        <f>SUMPRODUCT((ISNUMBER(SEARCH($Y3,Dienstplan!$B$25:$B$36))*(ISNUMBER(SEARCH($AB$12,Dienstplan!$CQ$25:$DV$36)))))</f>
        <v>0</v>
      </c>
      <c r="M148">
        <f>SUMPRODUCT((ISNUMBER(SEARCH($Y3,Dienstplan!$B$25:$B$36))*(ISNUMBER(SEARCH($AB$13,Dienstplan!$CQ$25:$DV$36)))))</f>
        <v>0</v>
      </c>
      <c r="N148">
        <f>SUMPRODUCT((ISNUMBER(SEARCH($Y3,Dienstplan!$B$25:$B$36))*(ISNUMBER(SEARCH($AB$14,Dienstplan!$CQ$25:$DV$36)))))</f>
        <v>0</v>
      </c>
      <c r="O148">
        <f>SUMPRODUCT((ISNUMBER(SEARCH($Y3,Dienstplan!$B$25:$B$36))*(ISNUMBER(SEARCH($AB$15,Dienstplan!$CQ$25:$DV$36)))))</f>
        <v>0</v>
      </c>
      <c r="P148">
        <f>SUMPRODUCT((ISNUMBER(SEARCH($Y3,Dienstplan!$B$25:$B$36))*(ISNUMBER(SEARCH($AB$16,Dienstplan!$CQ$25:$DV$36)))))</f>
        <v>0</v>
      </c>
      <c r="Q148">
        <f>SUMPRODUCT((ISNUMBER(SEARCH($Y3,Dienstplan!$B$25:$B$36))*(ISNUMBER(SEARCH($AB$16,Dienstplan!$CQ$25:$DV$36)))))</f>
        <v>0</v>
      </c>
      <c r="R148">
        <f>SUMPRODUCT((ISNUMBER(SEARCH($Y3,Dienstplan!$B$25:$B$36))*(ISNUMBER(SEARCH($AB$18,Dienstplan!$CQ$25:$DV$36)))))</f>
        <v>0</v>
      </c>
      <c r="S148" s="11">
        <f>SUMPRODUCT((ISNUMBER(SEARCH($Y3,Dienstplan!$B$25:$B$36))*(ISNUMBER(SEARCH($AB$19,Dienstplan!$CQ$25:$DV$36)))))</f>
        <v>1</v>
      </c>
      <c r="T148">
        <f t="shared" ref="T148:T158" si="49">SUM($F$146*$Z3)</f>
        <v>168</v>
      </c>
      <c r="U148" s="14">
        <f>SUM($C148*Frueh_1+$D148*Spaet_1+$E148*Nacht_1+$F148*Normal_1+$I148*Sonderd_1-$J148*Velten+$K148*Velten+$L148*EH_Kurs+$M148*Koor_taet+$N148*Sekre_1+$O148*Velten+$R148*Velten+$P148*Velten+$Q148*Velten+G148*Velt_M+H148*Velt_M)</f>
        <v>7.5</v>
      </c>
      <c r="V148" s="11">
        <f>SUM($U148-$T148)</f>
        <v>-160.5</v>
      </c>
      <c r="W148" s="20">
        <f t="shared" ref="W148:W158" si="50">V148+W132</f>
        <v>-621.25</v>
      </c>
    </row>
    <row r="149" spans="1:23" x14ac:dyDescent="0.25">
      <c r="A149" s="11"/>
      <c r="B149" s="27" t="str">
        <f t="shared" si="48"/>
        <v>Siebert</v>
      </c>
      <c r="C149">
        <f>SUMPRODUCT((ISNUMBER(SEARCH($Y4,Dienstplan!$B$25:$B$36))*(ISNUMBER(SEARCH($AB$3,Dienstplan!$CQ$25:$DV$36)))))-D149</f>
        <v>0</v>
      </c>
      <c r="D149">
        <f>SUMPRODUCT((ISNUMBER(SEARCH($Y4,Dienstplan!$B$25:$B$36))*(ISNUMBER(SEARCH($AB$4,Dienstplan!$CQ$25:$DV$36)))))</f>
        <v>0</v>
      </c>
      <c r="E149">
        <f>SUMPRODUCT((ISNUMBER(SEARCH($Y4,Dienstplan!$B$25:$B$36))*(ISNUMBER(SEARCH($AB$5,Dienstplan!$CQ$25:$DV$36)))))</f>
        <v>0</v>
      </c>
      <c r="F149">
        <f>SUMPRODUCT((ISNUMBER(SEARCH($Y4,Dienstplan!$B$25:$B$36))*(ISNUMBER(SEARCH($AB$6,Dienstplan!$CQ$25:$DV$36)))))</f>
        <v>0</v>
      </c>
      <c r="G149">
        <f>SUMPRODUCT((ISNUMBER(SEARCH($Y4,Dienstplan!$B$25:$B$36))*(ISNUMBER(SEARCH($AB$7,Dienstplan!$CQ$25:$DV$36)))))-H149</f>
        <v>0</v>
      </c>
      <c r="H149">
        <f>SUMPRODUCT((ISNUMBER(SEARCH($Y4,Dienstplan!$B$25:$B$36))*(ISNUMBER(SEARCH($AB$8,Dienstplan!$CQ$25:$DV$36)))))</f>
        <v>0</v>
      </c>
      <c r="I149">
        <f>SUMPRODUCT((ISNUMBER(SEARCH($Y4,Dienstplan!$B$25:$B$36))*(ISNUMBER(SEARCH($AB$9,Dienstplan!$CQ$25:$DV$36)))))</f>
        <v>0</v>
      </c>
      <c r="J149">
        <f>SUMPRODUCT((ISNUMBER(SEARCH($Y4,Dienstplan!$B$25:$B$36))*(ISNUMBER(SEARCH($AB$10,Dienstplan!$CQ$25:$DV$36)))))</f>
        <v>0</v>
      </c>
      <c r="K149">
        <f>SUMPRODUCT((ISNUMBER(SEARCH($Y4,Dienstplan!$B$25:$B$36))*(ISNUMBER(SEARCH($AB$11,Dienstplan!$CQ$25:$DV$36)))))-$Q149</f>
        <v>10</v>
      </c>
      <c r="L149">
        <f>SUMPRODUCT((ISNUMBER(SEARCH($Y4,Dienstplan!$B$25:$B$36))*(ISNUMBER(SEARCH($AB$12,Dienstplan!$CQ$25:$DV$36)))))</f>
        <v>0</v>
      </c>
      <c r="M149">
        <f>SUMPRODUCT((ISNUMBER(SEARCH($Y4,Dienstplan!$B$25:$B$36))*(ISNUMBER(SEARCH($AB$13,Dienstplan!$CQ$25:$DV$36)))))</f>
        <v>0</v>
      </c>
      <c r="N149">
        <f>SUMPRODUCT((ISNUMBER(SEARCH($Y4,Dienstplan!$B$25:$B$36))*(ISNUMBER(SEARCH($AB$14,Dienstplan!$CQ$25:$DV$36)))))</f>
        <v>0</v>
      </c>
      <c r="O149">
        <f>SUMPRODUCT((ISNUMBER(SEARCH($Y4,Dienstplan!$B$25:$B$36))*(ISNUMBER(SEARCH($AB$15,Dienstplan!$CQ$25:$DV$36)))))</f>
        <v>0</v>
      </c>
      <c r="P149">
        <f>SUMPRODUCT((ISNUMBER(SEARCH($Y4,Dienstplan!$B$25:$B$36))*(ISNUMBER(SEARCH($AB$16,Dienstplan!$CQ$25:$DV$36)))))</f>
        <v>0</v>
      </c>
      <c r="Q149">
        <f>SUMPRODUCT((ISNUMBER(SEARCH($Y4,Dienstplan!$B$25:$B$36))*(ISNUMBER(SEARCH($AB$16,Dienstplan!$CQ$25:$DV$36)))))</f>
        <v>0</v>
      </c>
      <c r="R149">
        <f>SUMPRODUCT((ISNUMBER(SEARCH($Y4,Dienstplan!$B$25:$B$36))*(ISNUMBER(SEARCH($AB$18,Dienstplan!$CQ$25:$DV$36)))))</f>
        <v>0</v>
      </c>
      <c r="S149" s="11">
        <f>SUMPRODUCT((ISNUMBER(SEARCH($Y4,Dienstplan!$B$25:$B$36))*(ISNUMBER(SEARCH($AB$19,Dienstplan!$CQ$25:$DV$36)))))</f>
        <v>0</v>
      </c>
      <c r="T149">
        <f t="shared" si="49"/>
        <v>147</v>
      </c>
      <c r="U149" s="14">
        <f>SUM($C149*Frueh_1+$D149*Spaet_1+$E149*Nacht_1+$F149*Normal_1+$I149*Sonderd_1-$J149*Brue_H+$K149*Brue_H+$L149*EH_Kurs+$M149*Koor_taet+$N149*Sekre_1+$O149*Brue_H+$R149*Brue_H+$P149*Brue_H+$Q149*Brue_H+G149*Brue_H+H149*Brue_H)</f>
        <v>70</v>
      </c>
      <c r="V149" s="11">
        <f t="shared" ref="V149:V158" si="51">SUM($U149-$T149)</f>
        <v>-77</v>
      </c>
      <c r="W149" s="20">
        <f t="shared" si="50"/>
        <v>-454.75</v>
      </c>
    </row>
    <row r="150" spans="1:23" x14ac:dyDescent="0.25">
      <c r="A150" s="11"/>
      <c r="B150" s="27" t="str">
        <f t="shared" si="48"/>
        <v>Jochim</v>
      </c>
      <c r="C150">
        <f>SUMPRODUCT((ISNUMBER(SEARCH($Y5,Dienstplan!$B$25:$B$36))*(ISNUMBER(SEARCH($AB$3,Dienstplan!$CQ$25:$DV$36)))))-D150</f>
        <v>0</v>
      </c>
      <c r="D150">
        <f>SUMPRODUCT((ISNUMBER(SEARCH($Y5,Dienstplan!$B$25:$B$36))*(ISNUMBER(SEARCH($AB$4,Dienstplan!$CQ$25:$DV$36)))))</f>
        <v>0</v>
      </c>
      <c r="E150">
        <f>SUMPRODUCT((ISNUMBER(SEARCH($Y5,Dienstplan!$B$25:$B$36))*(ISNUMBER(SEARCH($AB$5,Dienstplan!$CQ$25:$DV$36)))))</f>
        <v>0</v>
      </c>
      <c r="F150">
        <f>SUMPRODUCT((ISNUMBER(SEARCH($Y5,Dienstplan!$B$25:$B$36))*(ISNUMBER(SEARCH($AB$6,Dienstplan!$CQ$25:$DV$36)))))</f>
        <v>0</v>
      </c>
      <c r="G150">
        <f>SUMPRODUCT((ISNUMBER(SEARCH($Y5,Dienstplan!$B$25:$B$36))*(ISNUMBER(SEARCH($AB$7,Dienstplan!$CQ$25:$DV$36)))))-H150</f>
        <v>0</v>
      </c>
      <c r="H150">
        <f>SUMPRODUCT((ISNUMBER(SEARCH($Y5,Dienstplan!$B$25:$B$36))*(ISNUMBER(SEARCH($AB$8,Dienstplan!$CQ$25:$DV$36)))))</f>
        <v>0</v>
      </c>
      <c r="I150">
        <f>SUMPRODUCT((ISNUMBER(SEARCH($Y5,Dienstplan!$B$25:$B$36))*(ISNUMBER(SEARCH($AB$9,Dienstplan!$CQ$25:$DV$36)))))</f>
        <v>0</v>
      </c>
      <c r="J150">
        <f>SUMPRODUCT((ISNUMBER(SEARCH($Y5,Dienstplan!$B$25:$B$36))*(ISNUMBER(SEARCH($AB$10,Dienstplan!$CQ$25:$DV$36)))))</f>
        <v>0</v>
      </c>
      <c r="K150">
        <f>SUMPRODUCT((ISNUMBER(SEARCH($Y5,Dienstplan!$B$25:$B$36))*(ISNUMBER(SEARCH($AB$11,Dienstplan!$CQ$25:$DV$36)))))-$Q150</f>
        <v>0</v>
      </c>
      <c r="L150">
        <f>SUMPRODUCT((ISNUMBER(SEARCH($Y5,Dienstplan!$B$25:$B$36))*(ISNUMBER(SEARCH($AB$12,Dienstplan!$CQ$25:$DV$36)))))</f>
        <v>0</v>
      </c>
      <c r="M150">
        <f>SUMPRODUCT((ISNUMBER(SEARCH($Y5,Dienstplan!$B$25:$B$36))*(ISNUMBER(SEARCH($AB$13,Dienstplan!$CQ$25:$DV$36)))))</f>
        <v>0</v>
      </c>
      <c r="N150">
        <f>SUMPRODUCT((ISNUMBER(SEARCH($Y5,Dienstplan!$B$25:$B$36))*(ISNUMBER(SEARCH($AB$14,Dienstplan!$CQ$25:$DV$36)))))</f>
        <v>0</v>
      </c>
      <c r="O150">
        <f>SUMPRODUCT((ISNUMBER(SEARCH($Y5,Dienstplan!$B$25:$B$36))*(ISNUMBER(SEARCH($AB$15,Dienstplan!$CQ$25:$DV$36)))))</f>
        <v>0</v>
      </c>
      <c r="P150">
        <f>SUMPRODUCT((ISNUMBER(SEARCH($Y5,Dienstplan!$B$25:$B$36))*(ISNUMBER(SEARCH($AB$16,Dienstplan!$CQ$25:$DV$36)))))</f>
        <v>0</v>
      </c>
      <c r="Q150">
        <f>SUMPRODUCT((ISNUMBER(SEARCH($Y5,Dienstplan!$B$25:$B$36))*(ISNUMBER(SEARCH($AB$16,Dienstplan!$CQ$25:$DV$36)))))</f>
        <v>0</v>
      </c>
      <c r="R150">
        <f>SUMPRODUCT((ISNUMBER(SEARCH($Y5,Dienstplan!$B$25:$B$36))*(ISNUMBER(SEARCH($AB$18,Dienstplan!$CQ$25:$DV$36)))))</f>
        <v>0</v>
      </c>
      <c r="S150" s="11">
        <f>SUMPRODUCT((ISNUMBER(SEARCH($Y5,Dienstplan!$B$25:$B$36))*(ISNUMBER(SEARCH($AB$19,Dienstplan!$CQ$25:$DV$36)))))</f>
        <v>0</v>
      </c>
      <c r="T150">
        <f t="shared" si="49"/>
        <v>147</v>
      </c>
      <c r="U150" s="14">
        <f>SUM($C150*Frueh_1+$D150*Spaet_1+$E150*Nacht_1+$F150*Normal_1+$I150*Sonderd_1-$J150*Rath_M+$K150*Rath_M+$L150*EH_Kurs+$M150*Koor_taet+$N150*Sekre_1+$O150*Rath_M+$R150*Rath_M+$P150*Rath_M+$Q150*Rath_M+G150*Rath_M+H150*Rath_M)</f>
        <v>0</v>
      </c>
      <c r="V150" s="11">
        <f t="shared" si="51"/>
        <v>-147</v>
      </c>
      <c r="W150" s="20">
        <f t="shared" si="50"/>
        <v>-1201</v>
      </c>
    </row>
    <row r="151" spans="1:23" x14ac:dyDescent="0.25">
      <c r="A151" s="11"/>
      <c r="B151" s="27" t="str">
        <f t="shared" si="48"/>
        <v>Wunsch</v>
      </c>
      <c r="C151">
        <f>SUMPRODUCT((ISNUMBER(SEARCH($Y6,Dienstplan!$B$25:$B$36))*(ISNUMBER(SEARCH($AB$3,Dienstplan!$CQ$25:$DV$36)))))-D151</f>
        <v>0</v>
      </c>
      <c r="D151">
        <f>SUMPRODUCT((ISNUMBER(SEARCH($Y6,Dienstplan!$B$25:$B$36))*(ISNUMBER(SEARCH($AB$4,Dienstplan!$CQ$25:$DV$36)))))</f>
        <v>0</v>
      </c>
      <c r="E151">
        <f>SUMPRODUCT((ISNUMBER(SEARCH($Y6,Dienstplan!$B$25:$B$36))*(ISNUMBER(SEARCH($AB$5,Dienstplan!$CQ$25:$DV$36)))))</f>
        <v>0</v>
      </c>
      <c r="F151">
        <f>SUMPRODUCT((ISNUMBER(SEARCH($Y6,Dienstplan!$B$25:$B$36))*(ISNUMBER(SEARCH($AB$6,Dienstplan!$CQ$25:$DV$36)))))</f>
        <v>5</v>
      </c>
      <c r="G151">
        <f>SUMPRODUCT((ISNUMBER(SEARCH($Y6,Dienstplan!$B$25:$B$36))*(ISNUMBER(SEARCH($AB$7,Dienstplan!$CQ$25:$DV$36)))))-H151</f>
        <v>0</v>
      </c>
      <c r="H151">
        <f>SUMPRODUCT((ISNUMBER(SEARCH($Y6,Dienstplan!$B$25:$B$36))*(ISNUMBER(SEARCH($AB$8,Dienstplan!$CQ$25:$DV$36)))))</f>
        <v>0</v>
      </c>
      <c r="I151">
        <f>SUMPRODUCT((ISNUMBER(SEARCH($Y6,Dienstplan!$B$25:$B$36))*(ISNUMBER(SEARCH($AB$9,Dienstplan!$CQ$25:$DV$36)))))</f>
        <v>0</v>
      </c>
      <c r="J151">
        <f>SUMPRODUCT((ISNUMBER(SEARCH($Y6,Dienstplan!$B$25:$B$36))*(ISNUMBER(SEARCH($AB$10,Dienstplan!$CQ$25:$DV$36)))))</f>
        <v>0</v>
      </c>
      <c r="K151">
        <f>SUMPRODUCT((ISNUMBER(SEARCH($Y6,Dienstplan!$B$25:$B$36))*(ISNUMBER(SEARCH($AB$11,Dienstplan!$CQ$25:$DV$36)))))-$Q151</f>
        <v>4</v>
      </c>
      <c r="L151">
        <f>SUMPRODUCT((ISNUMBER(SEARCH($Y6,Dienstplan!$B$25:$B$36))*(ISNUMBER(SEARCH($AB$12,Dienstplan!$CQ$25:$DV$36)))))</f>
        <v>0</v>
      </c>
      <c r="M151">
        <f>SUMPRODUCT((ISNUMBER(SEARCH($Y6,Dienstplan!$B$25:$B$36))*(ISNUMBER(SEARCH($AB$13,Dienstplan!$CQ$25:$DV$36)))))</f>
        <v>0</v>
      </c>
      <c r="N151">
        <f>SUMPRODUCT((ISNUMBER(SEARCH($Y6,Dienstplan!$B$25:$B$36))*(ISNUMBER(SEARCH($AB$14,Dienstplan!$CQ$25:$DV$36)))))</f>
        <v>0</v>
      </c>
      <c r="O151">
        <f>SUMPRODUCT((ISNUMBER(SEARCH($Y6,Dienstplan!$B$25:$B$36))*(ISNUMBER(SEARCH($AB$15,Dienstplan!$CQ$25:$DV$36)))))</f>
        <v>0</v>
      </c>
      <c r="P151">
        <f>SUMPRODUCT((ISNUMBER(SEARCH($Y6,Dienstplan!$B$25:$B$36))*(ISNUMBER(SEARCH($AB$16,Dienstplan!$CQ$25:$DV$36)))))</f>
        <v>0</v>
      </c>
      <c r="Q151">
        <f>SUMPRODUCT((ISNUMBER(SEARCH($Y6,Dienstplan!$B$25:$B$36))*(ISNUMBER(SEARCH($AB$16,Dienstplan!$CQ$25:$DV$36)))))</f>
        <v>0</v>
      </c>
      <c r="R151">
        <f>SUMPRODUCT((ISNUMBER(SEARCH($Y6,Dienstplan!$B$25:$B$36))*(ISNUMBER(SEARCH($AB$18,Dienstplan!$CQ$25:$DV$36)))))</f>
        <v>0</v>
      </c>
      <c r="S151" s="11">
        <f>SUMPRODUCT((ISNUMBER(SEARCH($Y6,Dienstplan!$B$25:$B$36))*(ISNUMBER(SEARCH($AB$19,Dienstplan!$CQ$25:$DV$36)))))</f>
        <v>1</v>
      </c>
      <c r="T151">
        <f t="shared" si="49"/>
        <v>168</v>
      </c>
      <c r="U151" s="14">
        <f>SUM($C151*Frueh_1+$D151*Spaet_1+$E151*Nacht_1+$F151*Normal_1+$I151*Sonderd_1-$J151*Scho_K+$K151*Scho_K+$L151*EH_Kurs+$M151*Koor_taet+$N151*Sekre_1+$O151*Scho_K+$R151*Scho_K+$P151*Scho_K+$Q151*Scho_K+G151*Scho_K+H151*Scho_K)</f>
        <v>69.5</v>
      </c>
      <c r="V151" s="11">
        <f t="shared" si="51"/>
        <v>-98.5</v>
      </c>
      <c r="W151" s="20">
        <f t="shared" si="50"/>
        <v>-635.75</v>
      </c>
    </row>
    <row r="152" spans="1:23" x14ac:dyDescent="0.25">
      <c r="A152" s="11"/>
      <c r="B152" s="27" t="str">
        <f t="shared" si="48"/>
        <v>Göpfrich</v>
      </c>
      <c r="C152">
        <f>SUMPRODUCT((ISNUMBER(SEARCH($Y7,Dienstplan!$B$25:$B$36))*(ISNUMBER(SEARCH($AB$3,Dienstplan!$CQ$25:$DV$36)))))-D152</f>
        <v>0</v>
      </c>
      <c r="D152">
        <f>SUMPRODUCT((ISNUMBER(SEARCH($Y7,Dienstplan!$B$25:$B$36))*(ISNUMBER(SEARCH($AB$4,Dienstplan!$CQ$25:$DV$36)))))</f>
        <v>0</v>
      </c>
      <c r="E152">
        <f>SUMPRODUCT((ISNUMBER(SEARCH($Y7,Dienstplan!$B$25:$B$36))*(ISNUMBER(SEARCH($AB$5,Dienstplan!$CQ$25:$DV$36)))))</f>
        <v>0</v>
      </c>
      <c r="F152">
        <f>SUMPRODUCT((ISNUMBER(SEARCH($Y7,Dienstplan!$B$25:$B$36))*(ISNUMBER(SEARCH($AB$6,Dienstplan!$CQ$25:$DV$36)))))</f>
        <v>5</v>
      </c>
      <c r="G152">
        <f>SUMPRODUCT((ISNUMBER(SEARCH($Y7,Dienstplan!$B$25:$B$36))*(ISNUMBER(SEARCH($AB$7,Dienstplan!$CQ$25:$DV$36)))))-H152</f>
        <v>0</v>
      </c>
      <c r="H152">
        <f>SUMPRODUCT((ISNUMBER(SEARCH($Y7,Dienstplan!$B$25:$B$36))*(ISNUMBER(SEARCH($AB$8,Dienstplan!$CQ$25:$DV$36)))))</f>
        <v>0</v>
      </c>
      <c r="I152">
        <f>SUMPRODUCT((ISNUMBER(SEARCH($Y7,Dienstplan!$B$25:$B$36))*(ISNUMBER(SEARCH($AB$9,Dienstplan!$CQ$25:$DV$36)))))</f>
        <v>0</v>
      </c>
      <c r="J152">
        <f>SUMPRODUCT((ISNUMBER(SEARCH($Y7,Dienstplan!$B$25:$B$36))*(ISNUMBER(SEARCH($AB$10,Dienstplan!$CQ$25:$DV$36)))))</f>
        <v>0</v>
      </c>
      <c r="K152">
        <f>SUMPRODUCT((ISNUMBER(SEARCH($Y7,Dienstplan!$B$25:$B$36))*(ISNUMBER(SEARCH($AB$11,Dienstplan!$CQ$25:$DV$36)))))-$Q152</f>
        <v>0</v>
      </c>
      <c r="L152">
        <f>SUMPRODUCT((ISNUMBER(SEARCH($Y7,Dienstplan!$B$25:$B$36))*(ISNUMBER(SEARCH($AB$12,Dienstplan!$CQ$25:$DV$36)))))</f>
        <v>0</v>
      </c>
      <c r="M152">
        <f>SUMPRODUCT((ISNUMBER(SEARCH($Y7,Dienstplan!$B$25:$B$36))*(ISNUMBER(SEARCH($AB$13,Dienstplan!$CQ$25:$DV$36)))))</f>
        <v>0</v>
      </c>
      <c r="N152">
        <f>SUMPRODUCT((ISNUMBER(SEARCH($Y7,Dienstplan!$B$25:$B$36))*(ISNUMBER(SEARCH($AB$14,Dienstplan!$CQ$25:$DV$36)))))</f>
        <v>0</v>
      </c>
      <c r="O152">
        <f>SUMPRODUCT((ISNUMBER(SEARCH($Y7,Dienstplan!$B$25:$B$36))*(ISNUMBER(SEARCH($AB$15,Dienstplan!$CQ$25:$DV$36)))))</f>
        <v>0</v>
      </c>
      <c r="P152">
        <f>SUMPRODUCT((ISNUMBER(SEARCH($Y7,Dienstplan!$B$25:$B$36))*(ISNUMBER(SEARCH($AB$16,Dienstplan!$CQ$25:$DV$36)))))</f>
        <v>0</v>
      </c>
      <c r="Q152">
        <f>SUMPRODUCT((ISNUMBER(SEARCH($Y7,Dienstplan!$B$25:$B$36))*(ISNUMBER(SEARCH($AB$16,Dienstplan!$CQ$25:$DV$36)))))</f>
        <v>0</v>
      </c>
      <c r="R152">
        <f>SUMPRODUCT((ISNUMBER(SEARCH($Y7,Dienstplan!$B$25:$B$36))*(ISNUMBER(SEARCH($AB$18,Dienstplan!$CQ$25:$DV$36)))))</f>
        <v>0</v>
      </c>
      <c r="S152" s="11">
        <f>SUMPRODUCT((ISNUMBER(SEARCH($Y7,Dienstplan!$B$25:$B$36))*(ISNUMBER(SEARCH($AB$19,Dienstplan!$CQ$25:$DV$36)))))</f>
        <v>1</v>
      </c>
      <c r="T152">
        <f t="shared" si="49"/>
        <v>147</v>
      </c>
      <c r="U152" s="14">
        <f>SUM($C152*Frueh_1+$D152*Spaet_1+$E152*Nacht_1+$F152*Normal_1+$I152*Sonderd_1-$J152*Krie_B+$K152*Krie_B+$L152*EH_Kurs+$M152*Koor_taet+$N152*Sekre_1+$O152*Krie_B+$R152*Krie_B+$P152*Krie_B+$Q152*Krie_B+G152*Krie_B+H152*Krie_B)</f>
        <v>37.5</v>
      </c>
      <c r="V152" s="11">
        <f t="shared" si="51"/>
        <v>-109.5</v>
      </c>
      <c r="W152" s="20">
        <f t="shared" si="50"/>
        <v>-535.25</v>
      </c>
    </row>
    <row r="153" spans="1:23" x14ac:dyDescent="0.25">
      <c r="A153" s="11"/>
      <c r="B153" s="27" t="str">
        <f t="shared" si="48"/>
        <v>Zeller</v>
      </c>
      <c r="C153">
        <f>SUMPRODUCT((ISNUMBER(SEARCH($Y8,Dienstplan!$B$25:$B$36))*(ISNUMBER(SEARCH($AB$3,Dienstplan!$CQ$25:$DV$36)))))-D153</f>
        <v>0</v>
      </c>
      <c r="D153">
        <f>SUMPRODUCT((ISNUMBER(SEARCH($Y8,Dienstplan!$B$25:$B$36))*(ISNUMBER(SEARCH($AB$4,Dienstplan!$CQ$25:$DV$36)))))</f>
        <v>0</v>
      </c>
      <c r="E153">
        <f>SUMPRODUCT((ISNUMBER(SEARCH($Y8,Dienstplan!$B$25:$B$36))*(ISNUMBER(SEARCH($AB$5,Dienstplan!$CQ$25:$DV$36)))))</f>
        <v>0</v>
      </c>
      <c r="F153">
        <f>SUMPRODUCT((ISNUMBER(SEARCH($Y8,Dienstplan!$B$25:$B$36))*(ISNUMBER(SEARCH($AB$6,Dienstplan!$CQ$25:$DV$36)))))</f>
        <v>5</v>
      </c>
      <c r="G153">
        <f>SUMPRODUCT((ISNUMBER(SEARCH($Y8,Dienstplan!$B$25:$B$36))*(ISNUMBER(SEARCH($AB$7,Dienstplan!$CQ$25:$DV$36)))))-H153</f>
        <v>0</v>
      </c>
      <c r="H153">
        <f>SUMPRODUCT((ISNUMBER(SEARCH($Y8,Dienstplan!$B$25:$B$36))*(ISNUMBER(SEARCH($AB$8,Dienstplan!$CQ$25:$DV$36)))))</f>
        <v>0</v>
      </c>
      <c r="I153">
        <f>SUMPRODUCT((ISNUMBER(SEARCH($Y8,Dienstplan!$B$25:$B$36))*(ISNUMBER(SEARCH($AB$9,Dienstplan!$CQ$25:$DV$36)))))</f>
        <v>0</v>
      </c>
      <c r="J153">
        <f>SUMPRODUCT((ISNUMBER(SEARCH($Y8,Dienstplan!$B$25:$B$36))*(ISNUMBER(SEARCH($AB$10,Dienstplan!$CQ$25:$DV$36)))))</f>
        <v>0</v>
      </c>
      <c r="K153">
        <f>SUMPRODUCT((ISNUMBER(SEARCH($Y8,Dienstplan!$B$25:$B$36))*(ISNUMBER(SEARCH($AB$11,Dienstplan!$CQ$25:$DV$36)))))-$Q153</f>
        <v>0</v>
      </c>
      <c r="L153">
        <f>SUMPRODUCT((ISNUMBER(SEARCH($Y8,Dienstplan!$B$25:$B$36))*(ISNUMBER(SEARCH($AB$12,Dienstplan!$CQ$25:$DV$36)))))</f>
        <v>0</v>
      </c>
      <c r="M153">
        <f>SUMPRODUCT((ISNUMBER(SEARCH($Y8,Dienstplan!$B$25:$B$36))*(ISNUMBER(SEARCH($AB$13,Dienstplan!$CQ$25:$DV$36)))))</f>
        <v>0</v>
      </c>
      <c r="N153">
        <f>SUMPRODUCT((ISNUMBER(SEARCH($Y8,Dienstplan!$B$25:$B$36))*(ISNUMBER(SEARCH($AB$14,Dienstplan!$CQ$25:$DV$36)))))</f>
        <v>0</v>
      </c>
      <c r="O153">
        <f>SUMPRODUCT((ISNUMBER(SEARCH($Y8,Dienstplan!$B$25:$B$36))*(ISNUMBER(SEARCH($AB$15,Dienstplan!$CQ$25:$DV$36)))))</f>
        <v>1</v>
      </c>
      <c r="P153">
        <f>SUMPRODUCT((ISNUMBER(SEARCH($Y8,Dienstplan!$B$25:$B$36))*(ISNUMBER(SEARCH($AB$16,Dienstplan!$CQ$25:$DV$36)))))</f>
        <v>0</v>
      </c>
      <c r="Q153">
        <f>SUMPRODUCT((ISNUMBER(SEARCH($Y8,Dienstplan!$B$25:$B$36))*(ISNUMBER(SEARCH($AB$16,Dienstplan!$CQ$25:$DV$36)))))</f>
        <v>0</v>
      </c>
      <c r="R153">
        <f>SUMPRODUCT((ISNUMBER(SEARCH($Y8,Dienstplan!$B$25:$B$36))*(ISNUMBER(SEARCH($AB$18,Dienstplan!$CQ$25:$DV$36)))))</f>
        <v>0</v>
      </c>
      <c r="S153" s="11">
        <f>SUMPRODUCT((ISNUMBER(SEARCH($Y8,Dienstplan!$B$25:$B$36))*(ISNUMBER(SEARCH($AB$19,Dienstplan!$CQ$25:$DV$36)))))</f>
        <v>1</v>
      </c>
      <c r="T153">
        <f t="shared" si="49"/>
        <v>168</v>
      </c>
      <c r="U153" s="14">
        <f>SUM($C153*Frueh_1+$D153*Spaet_1+$E153*Nacht_1+$F153*Normal_1+$I153*Sonderd_1-$J153*Muster+$K153*Muster+$L153*EH_Kurs+$M153*Koor_taet+$N153*Sekre_1+$O153*Muster+$P153*Muster+$Q153*Muster+$R153*Muster+G153*Muster+H153*Muster)</f>
        <v>45.5</v>
      </c>
      <c r="V153" s="11">
        <f t="shared" si="51"/>
        <v>-122.5</v>
      </c>
      <c r="W153" s="20">
        <f t="shared" si="50"/>
        <v>-676.75</v>
      </c>
    </row>
    <row r="154" spans="1:23" x14ac:dyDescent="0.25">
      <c r="A154" s="11"/>
      <c r="B154" s="27" t="str">
        <f t="shared" si="48"/>
        <v>Behrendt</v>
      </c>
      <c r="C154">
        <f>SUMPRODUCT((ISNUMBER(SEARCH($Y9,Dienstplan!$B$25:$B$36))*(ISNUMBER(SEARCH($AB$3,Dienstplan!$CQ$25:$DV$36)))))-D154</f>
        <v>0</v>
      </c>
      <c r="D154">
        <f>SUMPRODUCT((ISNUMBER(SEARCH($Y9,Dienstplan!$B$25:$B$36))*(ISNUMBER(SEARCH($AB$4,Dienstplan!$CQ$25:$DV$36)))))</f>
        <v>0</v>
      </c>
      <c r="E154">
        <f>SUMPRODUCT((ISNUMBER(SEARCH($Y9,Dienstplan!$B$25:$B$36))*(ISNUMBER(SEARCH($AB$5,Dienstplan!$CQ$25:$DV$36)))))</f>
        <v>0</v>
      </c>
      <c r="F154">
        <f>SUMPRODUCT((ISNUMBER(SEARCH($Y9,Dienstplan!$B$25:$B$36))*(ISNUMBER(SEARCH($AB$6,Dienstplan!$CQ$25:$DV$36)))))</f>
        <v>5</v>
      </c>
      <c r="G154">
        <f>SUMPRODUCT((ISNUMBER(SEARCH($Y9,Dienstplan!$B$25:$B$36))*(ISNUMBER(SEARCH($AB$7,Dienstplan!$CQ$25:$DV$36)))))-H154</f>
        <v>0</v>
      </c>
      <c r="H154">
        <f>SUMPRODUCT((ISNUMBER(SEARCH($Y9,Dienstplan!$B$25:$B$36))*(ISNUMBER(SEARCH($AB$8,Dienstplan!$CQ$25:$DV$36)))))</f>
        <v>0</v>
      </c>
      <c r="I154">
        <f>SUMPRODUCT((ISNUMBER(SEARCH($Y9,Dienstplan!$B$25:$B$36))*(ISNUMBER(SEARCH($AB$9,Dienstplan!$CQ$25:$DV$36)))))</f>
        <v>0</v>
      </c>
      <c r="J154">
        <f>SUMPRODUCT((ISNUMBER(SEARCH($Y9,Dienstplan!$B$25:$B$36))*(ISNUMBER(SEARCH($AB$10,Dienstplan!$CQ$25:$DV$36)))))</f>
        <v>0</v>
      </c>
      <c r="K154">
        <f>SUMPRODUCT((ISNUMBER(SEARCH($Y9,Dienstplan!$B$25:$B$36))*(ISNUMBER(SEARCH($AB$11,Dienstplan!$CQ$25:$DV$36)))))-$Q154</f>
        <v>0</v>
      </c>
      <c r="L154">
        <f>SUMPRODUCT((ISNUMBER(SEARCH($Y9,Dienstplan!$B$25:$B$36))*(ISNUMBER(SEARCH($AB$12,Dienstplan!$CQ$25:$DV$36)))))</f>
        <v>0</v>
      </c>
      <c r="M154">
        <f>SUMPRODUCT((ISNUMBER(SEARCH($Y9,Dienstplan!$B$25:$B$36))*(ISNUMBER(SEARCH($AB$13,Dienstplan!$CQ$25:$DV$36)))))</f>
        <v>0</v>
      </c>
      <c r="N154">
        <f>SUMPRODUCT((ISNUMBER(SEARCH($Y9,Dienstplan!$B$25:$B$36))*(ISNUMBER(SEARCH($AB$14,Dienstplan!$CQ$25:$DV$36)))))</f>
        <v>0</v>
      </c>
      <c r="O154">
        <f>SUMPRODUCT((ISNUMBER(SEARCH($Y9,Dienstplan!$B$25:$B$36))*(ISNUMBER(SEARCH($AB$15,Dienstplan!$CQ$25:$DV$36)))))</f>
        <v>1</v>
      </c>
      <c r="P154">
        <f>SUMPRODUCT((ISNUMBER(SEARCH($Y9,Dienstplan!$B$25:$B$36))*(ISNUMBER(SEARCH($AB$16,Dienstplan!$CQ$25:$DV$36)))))</f>
        <v>0</v>
      </c>
      <c r="Q154">
        <f>SUMPRODUCT((ISNUMBER(SEARCH($Y9,Dienstplan!$B$25:$B$36))*(ISNUMBER(SEARCH($AB$16,Dienstplan!$CQ$25:$DV$36)))))</f>
        <v>0</v>
      </c>
      <c r="R154">
        <f>SUMPRODUCT((ISNUMBER(SEARCH($Y9,Dienstplan!$B$25:$B$36))*(ISNUMBER(SEARCH($AB$18,Dienstplan!$CQ$25:$DV$36)))))</f>
        <v>0</v>
      </c>
      <c r="S154" s="11">
        <f>SUMPRODUCT((ISNUMBER(SEARCH($Y9,Dienstplan!$B$25:$B$36))*(ISNUMBER(SEARCH($AB$19,Dienstplan!$CQ$25:$DV$36)))))</f>
        <v>1</v>
      </c>
      <c r="T154">
        <f t="shared" si="49"/>
        <v>147</v>
      </c>
      <c r="U154" s="14">
        <f>SUM($C154*Frueh_1+$D154*Spaet_1+$E154*Nacht_1+$F154*Normal_1+$I154*Sonderd_1-$J154*Muster+$K154*Muster+$L154*EH_Kurs+$M154*Koor_taet+$N154*Sekre_1+$O154*Muster+$P154*Muster+$Q154*Muster+$R154*Muster+G154*Muster+H154*Muster)</f>
        <v>45.5</v>
      </c>
      <c r="V154" s="11">
        <f t="shared" si="51"/>
        <v>-101.5</v>
      </c>
      <c r="W154" s="20">
        <f t="shared" si="50"/>
        <v>-549.95000000000005</v>
      </c>
    </row>
    <row r="155" spans="1:23" x14ac:dyDescent="0.25">
      <c r="A155" s="11"/>
      <c r="B155" s="27" t="str">
        <f t="shared" si="48"/>
        <v>Krempl</v>
      </c>
      <c r="C155">
        <f>SUMPRODUCT((ISNUMBER(SEARCH($Y10,Dienstplan!$B$25:$B$36))*(ISNUMBER(SEARCH($AB$3,Dienstplan!$CQ$25:$DV$36)))))-D155</f>
        <v>0</v>
      </c>
      <c r="D155">
        <f>SUMPRODUCT((ISNUMBER(SEARCH($Y10,Dienstplan!$B$25:$B$36))*(ISNUMBER(SEARCH($AB$4,Dienstplan!$CQ$25:$DV$36)))))</f>
        <v>0</v>
      </c>
      <c r="E155">
        <f>SUMPRODUCT((ISNUMBER(SEARCH($Y10,Dienstplan!$B$25:$B$36))*(ISNUMBER(SEARCH($AB$5,Dienstplan!$CQ$25:$DV$36)))))</f>
        <v>0</v>
      </c>
      <c r="F155">
        <f>SUMPRODUCT((ISNUMBER(SEARCH($Y10,Dienstplan!$B$25:$B$36))*(ISNUMBER(SEARCH($AB$6,Dienstplan!$CQ$25:$DV$36)))))</f>
        <v>0</v>
      </c>
      <c r="G155">
        <f>SUMPRODUCT((ISNUMBER(SEARCH($Y10,Dienstplan!$B$25:$B$36))*(ISNUMBER(SEARCH($AB$7,Dienstplan!$CQ$25:$DV$36)))))-H155</f>
        <v>0</v>
      </c>
      <c r="H155">
        <f>SUMPRODUCT((ISNUMBER(SEARCH($Y10,Dienstplan!$B$25:$B$36))*(ISNUMBER(SEARCH($AB$8,Dienstplan!$CQ$25:$DV$36)))))</f>
        <v>0</v>
      </c>
      <c r="I155">
        <f>SUMPRODUCT((ISNUMBER(SEARCH($Y10,Dienstplan!$B$25:$B$36))*(ISNUMBER(SEARCH($AB$9,Dienstplan!$CQ$25:$DV$36)))))</f>
        <v>0</v>
      </c>
      <c r="J155">
        <f>SUMPRODUCT((ISNUMBER(SEARCH($Y10,Dienstplan!$B$25:$B$36))*(ISNUMBER(SEARCH($AB$10,Dienstplan!$CQ$25:$DV$36)))))</f>
        <v>0</v>
      </c>
      <c r="K155">
        <f>SUMPRODUCT((ISNUMBER(SEARCH($Y10,Dienstplan!$B$25:$B$36))*(ISNUMBER(SEARCH($AB$11,Dienstplan!$CQ$25:$DV$36)))))-$Q155</f>
        <v>0</v>
      </c>
      <c r="L155">
        <f>SUMPRODUCT((ISNUMBER(SEARCH($Y10,Dienstplan!$B$25:$B$36))*(ISNUMBER(SEARCH($AB$12,Dienstplan!$CQ$25:$DV$36)))))</f>
        <v>0</v>
      </c>
      <c r="M155">
        <f>SUMPRODUCT((ISNUMBER(SEARCH($Y10,Dienstplan!$B$25:$B$36))*(ISNUMBER(SEARCH($AB$13,Dienstplan!$CQ$25:$DV$36)))))</f>
        <v>0</v>
      </c>
      <c r="N155">
        <f>SUMPRODUCT((ISNUMBER(SEARCH($Y10,Dienstplan!$B$25:$B$36))*(ISNUMBER(SEARCH($AB$14,Dienstplan!$CQ$25:$DV$36)))))</f>
        <v>0</v>
      </c>
      <c r="O155">
        <f>SUMPRODUCT((ISNUMBER(SEARCH($Y10,Dienstplan!$B$25:$B$36))*(ISNUMBER(SEARCH($AB$15,Dienstplan!$CQ$25:$DV$36)))))</f>
        <v>0</v>
      </c>
      <c r="P155">
        <f>SUMPRODUCT((ISNUMBER(SEARCH($Y10,Dienstplan!$B$25:$B$36))*(ISNUMBER(SEARCH($AB$16,Dienstplan!$CQ$25:$DV$36)))))</f>
        <v>0</v>
      </c>
      <c r="Q155">
        <f>SUMPRODUCT((ISNUMBER(SEARCH($Y10,Dienstplan!$B$25:$B$36))*(ISNUMBER(SEARCH($AB$16,Dienstplan!$CQ$25:$DV$36)))))</f>
        <v>0</v>
      </c>
      <c r="R155">
        <f>SUMPRODUCT((ISNUMBER(SEARCH($Y10,Dienstplan!$B$25:$B$36))*(ISNUMBER(SEARCH($AB$18,Dienstplan!$CQ$25:$DV$36)))))</f>
        <v>0</v>
      </c>
      <c r="S155" s="11">
        <f>SUMPRODUCT((ISNUMBER(SEARCH($Y10,Dienstplan!$B$25:$B$36))*(ISNUMBER(SEARCH($AB$19,Dienstplan!$CQ$25:$DV$36)))))</f>
        <v>0</v>
      </c>
      <c r="T155">
        <f t="shared" si="49"/>
        <v>67.2</v>
      </c>
      <c r="U155" s="14">
        <f>SUM($C155*Frueh_1+$D155*Spaet_1+$E155*Nacht_1+$F155*Normal_1+$I155*Sonderd_1-$J155*Krem_E+$K155*Krem_E+$L155*EH_Kurs+$M155*Koor_taet+$N155*Sekre_1+$O155*Krem_E+$R155*Krem_E+$P155*Krem_E+$Q155*Krem_E+G155*Krem_E+H155*Krem_E)</f>
        <v>0</v>
      </c>
      <c r="V155" s="11">
        <f t="shared" si="51"/>
        <v>-67.2</v>
      </c>
      <c r="W155" s="20">
        <f t="shared" si="50"/>
        <v>-509.7</v>
      </c>
    </row>
    <row r="156" spans="1:23" x14ac:dyDescent="0.25">
      <c r="A156" s="11"/>
      <c r="B156" s="27" t="str">
        <f t="shared" si="48"/>
        <v>Putschler</v>
      </c>
      <c r="C156">
        <f>SUMPRODUCT((ISNUMBER(SEARCH($Y11,Dienstplan!$B$25:$B$36))*(ISNUMBER(SEARCH($AB$3,Dienstplan!$CQ$25:$DV$36)))))-D156</f>
        <v>0</v>
      </c>
      <c r="D156">
        <f>SUMPRODUCT((ISNUMBER(SEARCH($Y11,Dienstplan!$B$25:$B$36))*(ISNUMBER(SEARCH($AB$4,Dienstplan!$CQ$25:$DV$36)))))</f>
        <v>0</v>
      </c>
      <c r="E156">
        <f>SUMPRODUCT((ISNUMBER(SEARCH($Y11,Dienstplan!$B$25:$B$36))*(ISNUMBER(SEARCH($AB$5,Dienstplan!$CQ$25:$DV$36)))))</f>
        <v>0</v>
      </c>
      <c r="F156">
        <f>SUMPRODUCT((ISNUMBER(SEARCH($Y11,Dienstplan!$B$25:$B$36))*(ISNUMBER(SEARCH($AB$6,Dienstplan!$CQ$25:$DV$36)))))</f>
        <v>0</v>
      </c>
      <c r="G156">
        <f>SUMPRODUCT((ISNUMBER(SEARCH($Y11,Dienstplan!$B$25:$B$36))*(ISNUMBER(SEARCH($AB$7,Dienstplan!$CQ$25:$DV$36)))))-H156</f>
        <v>0</v>
      </c>
      <c r="H156">
        <f>SUMPRODUCT((ISNUMBER(SEARCH($Y11,Dienstplan!$B$25:$B$36))*(ISNUMBER(SEARCH($AB$8,Dienstplan!$CQ$25:$DV$36)))))</f>
        <v>0</v>
      </c>
      <c r="I156">
        <f>SUMPRODUCT((ISNUMBER(SEARCH($Y11,Dienstplan!$B$25:$B$36))*(ISNUMBER(SEARCH($AB$9,Dienstplan!$CQ$25:$DV$36)))))</f>
        <v>0</v>
      </c>
      <c r="J156">
        <f>SUMPRODUCT((ISNUMBER(SEARCH($Y11,Dienstplan!$B$25:$B$36))*(ISNUMBER(SEARCH($AB$10,Dienstplan!$CQ$25:$DV$36)))))</f>
        <v>0</v>
      </c>
      <c r="K156">
        <f>SUMPRODUCT((ISNUMBER(SEARCH($Y11,Dienstplan!$B$25:$B$36))*(ISNUMBER(SEARCH($AB$11,Dienstplan!$CQ$25:$DV$36)))))-$Q156</f>
        <v>5</v>
      </c>
      <c r="L156">
        <f>SUMPRODUCT((ISNUMBER(SEARCH($Y11,Dienstplan!$B$25:$B$36))*(ISNUMBER(SEARCH($AB$12,Dienstplan!$CQ$25:$DV$36)))))</f>
        <v>0</v>
      </c>
      <c r="M156">
        <f>SUMPRODUCT((ISNUMBER(SEARCH($Y11,Dienstplan!$B$25:$B$36))*(ISNUMBER(SEARCH($AB$13,Dienstplan!$CQ$25:$DV$36)))))</f>
        <v>0</v>
      </c>
      <c r="N156">
        <f>SUMPRODUCT((ISNUMBER(SEARCH($Y11,Dienstplan!$B$25:$B$36))*(ISNUMBER(SEARCH($AB$14,Dienstplan!$CQ$25:$DV$36)))))</f>
        <v>0</v>
      </c>
      <c r="O156">
        <f>SUMPRODUCT((ISNUMBER(SEARCH($Y11,Dienstplan!$B$25:$B$36))*(ISNUMBER(SEARCH($AB$15,Dienstplan!$CQ$25:$DV$36)))))</f>
        <v>0</v>
      </c>
      <c r="P156">
        <f>SUMPRODUCT((ISNUMBER(SEARCH($Y11,Dienstplan!$B$25:$B$36))*(ISNUMBER(SEARCH($AB$16,Dienstplan!$CQ$25:$DV$36)))))</f>
        <v>0</v>
      </c>
      <c r="Q156">
        <f>SUMPRODUCT((ISNUMBER(SEARCH($Y11,Dienstplan!$B$25:$B$36))*(ISNUMBER(SEARCH($AB$16,Dienstplan!$CQ$25:$DV$36)))))</f>
        <v>0</v>
      </c>
      <c r="R156">
        <f>SUMPRODUCT((ISNUMBER(SEARCH($Y11,Dienstplan!$B$25:$B$36))*(ISNUMBER(SEARCH($AB$18,Dienstplan!$CQ$25:$DV$36)))))</f>
        <v>0</v>
      </c>
      <c r="S156" s="11">
        <f>SUMPRODUCT((ISNUMBER(SEARCH($Y11,Dienstplan!$B$25:$B$36))*(ISNUMBER(SEARCH($AB$19,Dienstplan!$CQ$25:$DV$36)))))</f>
        <v>0</v>
      </c>
      <c r="T156">
        <f t="shared" si="49"/>
        <v>168</v>
      </c>
      <c r="U156" s="14">
        <f>SUM($C156*Frueh_1+$D156*Spaet_1+$E156*Nacht_1+$F156*Normal_1+$I156*Sonderd_1-$J156*Put_W+$K156*Put_W+$L156*EH_Kurs+$M156*Koor_taet+$N156*Sekre_1+$O156*Put_W+$R156*Put_W+$P156*Put_W+$Q156*Put_W+G156*Put_W+H156*Put_W)</f>
        <v>40</v>
      </c>
      <c r="V156" s="11">
        <f t="shared" si="51"/>
        <v>-128</v>
      </c>
      <c r="W156" s="20">
        <f t="shared" si="50"/>
        <v>-817.5</v>
      </c>
    </row>
    <row r="157" spans="1:23" x14ac:dyDescent="0.25">
      <c r="A157" s="11"/>
      <c r="B157" s="27" t="str">
        <f t="shared" si="48"/>
        <v>Schmidt</v>
      </c>
      <c r="C157">
        <f>SUMPRODUCT((ISNUMBER(SEARCH($Y12,Dienstplan!$B$25:$B$36))*(ISNUMBER(SEARCH($AB$3,Dienstplan!$CQ$25:$DV$36)))))-D157</f>
        <v>0</v>
      </c>
      <c r="D157">
        <f>SUMPRODUCT((ISNUMBER(SEARCH($Y12,Dienstplan!$B$25:$B$36))*(ISNUMBER(SEARCH($AB$4,Dienstplan!$CQ$25:$DV$36)))))</f>
        <v>0</v>
      </c>
      <c r="E157">
        <f>SUMPRODUCT((ISNUMBER(SEARCH($Y12,Dienstplan!$B$25:$B$36))*(ISNUMBER(SEARCH($AB$5,Dienstplan!$CQ$25:$DV$36)))))</f>
        <v>0</v>
      </c>
      <c r="F157">
        <f>SUMPRODUCT((ISNUMBER(SEARCH($Y12,Dienstplan!$B$25:$B$36))*(ISNUMBER(SEARCH($AB$6,Dienstplan!$CQ$25:$DV$36)))))</f>
        <v>0</v>
      </c>
      <c r="G157">
        <f>SUMPRODUCT((ISNUMBER(SEARCH($Y12,Dienstplan!$B$25:$B$36))*(ISNUMBER(SEARCH($AB$7,Dienstplan!$CQ$25:$DV$36)))))-H157</f>
        <v>0</v>
      </c>
      <c r="H157">
        <f>SUMPRODUCT((ISNUMBER(SEARCH($Y12,Dienstplan!$B$25:$B$36))*(ISNUMBER(SEARCH($AB$8,Dienstplan!$CQ$25:$DV$36)))))</f>
        <v>0</v>
      </c>
      <c r="I157">
        <f>SUMPRODUCT((ISNUMBER(SEARCH($Y12,Dienstplan!$B$25:$B$36))*(ISNUMBER(SEARCH($AB$9,Dienstplan!$CQ$25:$DV$36)))))</f>
        <v>0</v>
      </c>
      <c r="J157">
        <f>SUMPRODUCT((ISNUMBER(SEARCH($Y12,Dienstplan!$B$25:$B$36))*(ISNUMBER(SEARCH($AB$10,Dienstplan!$CQ$25:$DV$36)))))</f>
        <v>0</v>
      </c>
      <c r="K157">
        <f>SUMPRODUCT((ISNUMBER(SEARCH($Y12,Dienstplan!$B$25:$B$36))*(ISNUMBER(SEARCH($AB$11,Dienstplan!$CQ$25:$DV$36)))))-$Q157</f>
        <v>4</v>
      </c>
      <c r="L157">
        <f>SUMPRODUCT((ISNUMBER(SEARCH($Y12,Dienstplan!$B$25:$B$36))*(ISNUMBER(SEARCH($AB$12,Dienstplan!$CQ$25:$DV$36)))))</f>
        <v>0</v>
      </c>
      <c r="M157">
        <f>SUMPRODUCT((ISNUMBER(SEARCH($Y12,Dienstplan!$B$25:$B$36))*(ISNUMBER(SEARCH($AB$13,Dienstplan!$CQ$25:$DV$36)))))</f>
        <v>0</v>
      </c>
      <c r="N157">
        <f>SUMPRODUCT((ISNUMBER(SEARCH($Y12,Dienstplan!$B$25:$B$36))*(ISNUMBER(SEARCH($AB$14,Dienstplan!$CQ$25:$DV$36)))))</f>
        <v>0</v>
      </c>
      <c r="O157">
        <f>SUMPRODUCT((ISNUMBER(SEARCH($Y12,Dienstplan!$B$25:$B$36))*(ISNUMBER(SEARCH($AB$15,Dienstplan!$CQ$25:$DV$36)))))</f>
        <v>0</v>
      </c>
      <c r="P157">
        <f>SUMPRODUCT((ISNUMBER(SEARCH($Y12,Dienstplan!$B$25:$B$36))*(ISNUMBER(SEARCH($AB$16,Dienstplan!$CQ$25:$DV$36)))))</f>
        <v>0</v>
      </c>
      <c r="Q157">
        <f>SUMPRODUCT((ISNUMBER(SEARCH($Y12,Dienstplan!$B$25:$B$36))*(ISNUMBER(SEARCH($AB$16,Dienstplan!$CQ$25:$DV$36)))))</f>
        <v>0</v>
      </c>
      <c r="R157">
        <f>SUMPRODUCT((ISNUMBER(SEARCH($Y12,Dienstplan!$B$25:$B$36))*(ISNUMBER(SEARCH($AB$18,Dienstplan!$CQ$25:$DV$36)))))</f>
        <v>0</v>
      </c>
      <c r="S157" s="11">
        <f>SUMPRODUCT((ISNUMBER(SEARCH($Y12,Dienstplan!$B$25:$B$36))*(ISNUMBER(SEARCH($AB$19,Dienstplan!$CQ$25:$DV$36)))))</f>
        <v>0</v>
      </c>
      <c r="T157">
        <f t="shared" si="49"/>
        <v>147</v>
      </c>
      <c r="U157" s="14">
        <f>SUM($C157*Frueh_1+$D157*Spaet_1+$E157*Nacht_1+$F157*Normal_1+$I157*Sonderd_1-$J157*Radi_L+$K157*Radi_L+$L157*EH_Kurs+$M157*Koor_taet+$N157*Sekre_1+$O157*Radi_L+$R157*Radi_L+$P157*Radi_L+$Q157*Radi_L+G157*Radi_L+H157*Radi_L)</f>
        <v>28</v>
      </c>
      <c r="V157" s="11">
        <f t="shared" si="51"/>
        <v>-119</v>
      </c>
      <c r="W157" s="20">
        <f t="shared" si="50"/>
        <v>-1211</v>
      </c>
    </row>
    <row r="158" spans="1:23" x14ac:dyDescent="0.25">
      <c r="A158" s="11"/>
      <c r="B158" s="27" t="str">
        <f t="shared" si="48"/>
        <v>Radimersky</v>
      </c>
      <c r="C158">
        <f>SUMPRODUCT((ISNUMBER(SEARCH($Y13,Dienstplan!$B$25:$B$36))*(ISNUMBER(SEARCH($AB$3,Dienstplan!$CQ$25:$DV$36)))))-D158</f>
        <v>0</v>
      </c>
      <c r="D158">
        <f>SUMPRODUCT((ISNUMBER(SEARCH($Y13,Dienstplan!$B$25:$B$36))*(ISNUMBER(SEARCH($AB$4,Dienstplan!$CQ$25:$DV$36)))))</f>
        <v>0</v>
      </c>
      <c r="E158">
        <f>SUMPRODUCT((ISNUMBER(SEARCH($Y13,Dienstplan!$B$25:$B$36))*(ISNUMBER(SEARCH($AB$5,Dienstplan!$CQ$25:$DV$36)))))</f>
        <v>0</v>
      </c>
      <c r="F158">
        <f>SUMPRODUCT((ISNUMBER(SEARCH($Y13,Dienstplan!$B$25:$B$36))*(ISNUMBER(SEARCH($AB$6,Dienstplan!$CQ$25:$DV$36)))))</f>
        <v>0</v>
      </c>
      <c r="G158">
        <f>SUMPRODUCT((ISNUMBER(SEARCH($Y13,Dienstplan!$B$25:$B$36))*(ISNUMBER(SEARCH($AB$7,Dienstplan!$CQ$25:$DV$36)))))-H158</f>
        <v>0</v>
      </c>
      <c r="H158">
        <f>SUMPRODUCT((ISNUMBER(SEARCH($Y13,Dienstplan!$B$25:$B$36))*(ISNUMBER(SEARCH($AB$8,Dienstplan!$CQ$25:$DV$36)))))</f>
        <v>0</v>
      </c>
      <c r="I158">
        <f>SUMPRODUCT((ISNUMBER(SEARCH($Y13,Dienstplan!$B$25:$B$36))*(ISNUMBER(SEARCH($AB$9,Dienstplan!$CQ$25:$DV$36)))))</f>
        <v>0</v>
      </c>
      <c r="J158">
        <f>SUMPRODUCT((ISNUMBER(SEARCH($Y13,Dienstplan!$B$25:$B$36))*(ISNUMBER(SEARCH($AB$10,Dienstplan!$CQ$25:$DV$36)))))</f>
        <v>0</v>
      </c>
      <c r="K158">
        <f>SUMPRODUCT((ISNUMBER(SEARCH($Y13,Dienstplan!$B$25:$B$36))*(ISNUMBER(SEARCH($AB$11,Dienstplan!$CQ$25:$DV$36)))))-$Q158</f>
        <v>5</v>
      </c>
      <c r="L158">
        <f>SUMPRODUCT((ISNUMBER(SEARCH($Y13,Dienstplan!$B$25:$B$36))*(ISNUMBER(SEARCH($AB$12,Dienstplan!$CQ$25:$DV$36)))))</f>
        <v>0</v>
      </c>
      <c r="M158">
        <f>SUMPRODUCT((ISNUMBER(SEARCH($Y13,Dienstplan!$B$25:$B$36))*(ISNUMBER(SEARCH($AB$13,Dienstplan!$CQ$25:$DV$36)))))</f>
        <v>0</v>
      </c>
      <c r="N158">
        <f>SUMPRODUCT((ISNUMBER(SEARCH($Y13,Dienstplan!$B$25:$B$36))*(ISNUMBER(SEARCH($AB$14,Dienstplan!$CQ$25:$DV$36)))))</f>
        <v>0</v>
      </c>
      <c r="O158">
        <f>SUMPRODUCT((ISNUMBER(SEARCH($Y13,Dienstplan!$B$25:$B$36))*(ISNUMBER(SEARCH($AB$15,Dienstplan!$CQ$25:$DV$36)))))</f>
        <v>0</v>
      </c>
      <c r="P158">
        <f>SUMPRODUCT((ISNUMBER(SEARCH($Y13,Dienstplan!$B$25:$B$36))*(ISNUMBER(SEARCH($AB$16,Dienstplan!$CQ$25:$DV$36)))))</f>
        <v>0</v>
      </c>
      <c r="Q158">
        <f>SUMPRODUCT((ISNUMBER(SEARCH($Y13,Dienstplan!$B$25:$B$36))*(ISNUMBER(SEARCH($AB$16,Dienstplan!$CQ$25:$DV$36)))))</f>
        <v>0</v>
      </c>
      <c r="R158">
        <f>SUMPRODUCT((ISNUMBER(SEARCH($Y13,Dienstplan!$B$25:$B$36))*(ISNUMBER(SEARCH($AB$18,Dienstplan!$CQ$25:$DV$36)))))</f>
        <v>0</v>
      </c>
      <c r="S158" s="11">
        <f>SUMPRODUCT((ISNUMBER(SEARCH($Y13,Dienstplan!$B$25:$B$36))*(ISNUMBER(SEARCH($AB$19,Dienstplan!$CQ$25:$DV$36)))))</f>
        <v>0</v>
      </c>
      <c r="T158">
        <f t="shared" si="49"/>
        <v>63</v>
      </c>
      <c r="U158" s="14">
        <f>SUM($C158*Frueh_1+$D158*Spaet_1+$E158*Nacht_1+$F158*Normal_1+$I158*Sonderd_1-$J158*Fortenb+$K158*Fortenb+$L158*EH_Kurs+$M158*Koor_taet+$N158*Sekre_1+$O158*Fortenb+$R158*Fortenb+$P158*Fortenb+$Q158*Fortenb+G158*Fortenb+H158*Fortenb)</f>
        <v>15</v>
      </c>
      <c r="V158" s="11">
        <f t="shared" si="51"/>
        <v>-48</v>
      </c>
      <c r="W158" s="20">
        <f t="shared" si="50"/>
        <v>-504</v>
      </c>
    </row>
    <row r="159" spans="1:23" x14ac:dyDescent="0.25">
      <c r="A159" s="11"/>
      <c r="B159" s="27"/>
      <c r="S159" s="11"/>
      <c r="V159" s="11"/>
      <c r="W159" s="20"/>
    </row>
    <row r="160" spans="1:23" x14ac:dyDescent="0.25">
      <c r="A160" s="11"/>
      <c r="B160" s="27" t="s">
        <v>23</v>
      </c>
      <c r="C160" s="4">
        <f t="shared" ref="C160:S160" si="52">SUM(C148:C159)</f>
        <v>0</v>
      </c>
      <c r="D160" s="4">
        <f t="shared" si="52"/>
        <v>0</v>
      </c>
      <c r="E160" s="4">
        <f t="shared" si="52"/>
        <v>0</v>
      </c>
      <c r="F160" s="4">
        <f t="shared" si="52"/>
        <v>21</v>
      </c>
      <c r="G160" s="4">
        <f t="shared" si="52"/>
        <v>0</v>
      </c>
      <c r="H160" s="4">
        <f t="shared" si="52"/>
        <v>0</v>
      </c>
      <c r="I160" s="4">
        <f t="shared" si="52"/>
        <v>0</v>
      </c>
      <c r="J160" s="4">
        <f t="shared" si="52"/>
        <v>0</v>
      </c>
      <c r="K160" s="4">
        <f t="shared" si="52"/>
        <v>28</v>
      </c>
      <c r="L160" s="4">
        <f t="shared" si="52"/>
        <v>0</v>
      </c>
      <c r="M160" s="4">
        <f t="shared" si="52"/>
        <v>0</v>
      </c>
      <c r="N160" s="4">
        <f t="shared" si="52"/>
        <v>0</v>
      </c>
      <c r="O160" s="4">
        <f t="shared" si="52"/>
        <v>2</v>
      </c>
      <c r="P160" s="4">
        <f t="shared" si="52"/>
        <v>0</v>
      </c>
      <c r="Q160" s="4">
        <f t="shared" si="52"/>
        <v>0</v>
      </c>
      <c r="R160" s="4">
        <f t="shared" si="52"/>
        <v>0</v>
      </c>
      <c r="S160" s="13">
        <f t="shared" si="52"/>
        <v>5</v>
      </c>
      <c r="T160" s="4">
        <f>SUM(T148:T156)</f>
        <v>1327.2</v>
      </c>
      <c r="U160" s="4">
        <f>SUM(U148:U156)</f>
        <v>315.5</v>
      </c>
      <c r="V160" s="13"/>
      <c r="W160" s="21"/>
    </row>
    <row r="161" spans="1:23" x14ac:dyDescent="0.25">
      <c r="A161" s="11"/>
      <c r="B161" s="12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2"/>
      <c r="T161" s="1"/>
      <c r="U161" s="1"/>
      <c r="V161" s="12"/>
      <c r="W161" s="17"/>
    </row>
    <row r="162" spans="1:23" x14ac:dyDescent="0.25">
      <c r="A162" s="11"/>
      <c r="B162" s="26" t="s">
        <v>11</v>
      </c>
      <c r="D162" s="365" t="s">
        <v>34</v>
      </c>
      <c r="E162" s="366"/>
      <c r="F162" s="36">
        <v>21</v>
      </c>
      <c r="G162" s="109"/>
      <c r="H162" s="18"/>
      <c r="I162" s="365" t="s">
        <v>51</v>
      </c>
      <c r="J162" s="366"/>
      <c r="K162" s="36">
        <v>4</v>
      </c>
      <c r="S162" s="11"/>
      <c r="V162" s="11"/>
      <c r="W162" s="20"/>
    </row>
    <row r="163" spans="1:23" x14ac:dyDescent="0.25">
      <c r="A163" s="11"/>
      <c r="B163" s="11"/>
      <c r="C163" s="4" t="str">
        <f>Jahr!C3</f>
        <v>FI</v>
      </c>
      <c r="D163" s="4" t="str">
        <f>Jahr!D3</f>
        <v>FII</v>
      </c>
      <c r="E163" s="4" t="str">
        <f>Jahr!E3</f>
        <v>SI</v>
      </c>
      <c r="F163" s="4" t="str">
        <f>Jahr!F3</f>
        <v>NI</v>
      </c>
      <c r="G163" s="4" t="str">
        <f>Jahr!G3</f>
        <v>DI</v>
      </c>
      <c r="H163" s="4" t="str">
        <f>Jahr!H3</f>
        <v>DII</v>
      </c>
      <c r="I163" s="4" t="str">
        <f>Jahr!I3</f>
        <v>SD</v>
      </c>
      <c r="J163" s="4" t="str">
        <f>Jahr!J3</f>
        <v>GT</v>
      </c>
      <c r="K163" s="4" t="str">
        <f>Jahr!K3</f>
        <v>U</v>
      </c>
      <c r="L163" s="4" t="str">
        <f>Jahr!L3</f>
        <v>EH</v>
      </c>
      <c r="M163" s="4" t="str">
        <f>Jahr!M3</f>
        <v>KT</v>
      </c>
      <c r="N163" s="4" t="str">
        <f>Jahr!N3</f>
        <v>Sek</v>
      </c>
      <c r="O163" s="4" t="str">
        <f>Jahr!O3</f>
        <v>Fobi</v>
      </c>
      <c r="P163" s="4" t="str">
        <f>Jahr!P3</f>
        <v>A</v>
      </c>
      <c r="Q163" s="4" t="str">
        <f>Jahr!Q3</f>
        <v>Kur</v>
      </c>
      <c r="R163" s="4" t="str">
        <f>Jahr!R3</f>
        <v>FZC</v>
      </c>
      <c r="S163" s="4" t="str">
        <f>Jahr!S3</f>
        <v>NST</v>
      </c>
      <c r="T163" s="15" t="s">
        <v>37</v>
      </c>
      <c r="U163" s="15" t="s">
        <v>38</v>
      </c>
      <c r="V163" s="13" t="s">
        <v>39</v>
      </c>
      <c r="W163" s="21" t="s">
        <v>52</v>
      </c>
    </row>
    <row r="164" spans="1:23" x14ac:dyDescent="0.25">
      <c r="A164" s="11"/>
      <c r="B164" s="27" t="str">
        <f t="shared" ref="B164:B174" si="53">B4</f>
        <v>Breig</v>
      </c>
      <c r="C164">
        <f>SUMPRODUCT((ISNUMBER(SEARCH($Y3,Dienstplan!$B$25:$B$36))*(ISNUMBER(SEARCH($AB$3,Dienstplan!$DV$25:$EY$36)))))-D164</f>
        <v>0</v>
      </c>
      <c r="D164">
        <f>SUMPRODUCT((ISNUMBER(SEARCH($Y3,Dienstplan!$B$25:$B$36))*(ISNUMBER(SEARCH($AB$4,Dienstplan!$DV$25:$EY$36)))))</f>
        <v>0</v>
      </c>
      <c r="E164">
        <f>SUMPRODUCT((ISNUMBER(SEARCH($Y3,Dienstplan!$B$25:$B$36))*(ISNUMBER(SEARCH($AB$5,Dienstplan!$DV$25:$EY$36)))))</f>
        <v>0</v>
      </c>
      <c r="F164">
        <f>SUMPRODUCT((ISNUMBER(SEARCH($Y3,Dienstplan!$B$25:$B$36))*(ISNUMBER(SEARCH($AB$6,Dienstplan!$DV$25:$EY$36)))))</f>
        <v>5</v>
      </c>
      <c r="G164">
        <f>SUMPRODUCT((ISNUMBER(SEARCH($Y3,Dienstplan!$B$25:$B$36))*(ISNUMBER(SEARCH($AB$7,Dienstplan!$DV$25:$EY$36)))))-H164</f>
        <v>0</v>
      </c>
      <c r="H164">
        <f>SUMPRODUCT((ISNUMBER(SEARCH($Y3,Dienstplan!$B$25:$B$36))*(ISNUMBER(SEARCH($AB$8,Dienstplan!$DV$25:$EY$36)))))</f>
        <v>0</v>
      </c>
      <c r="I164">
        <f>SUMPRODUCT((ISNUMBER(SEARCH($Y3,Dienstplan!$B$25:$B$36))*(ISNUMBER(SEARCH($AB$9,Dienstplan!$DV$25:$EY$36)))))</f>
        <v>0</v>
      </c>
      <c r="J164">
        <f>SUMPRODUCT((ISNUMBER(SEARCH($Y3,Dienstplan!$B$25:$B$36))*(ISNUMBER(SEARCH($AB$10,Dienstplan!$DV$25:$EY$36)))))</f>
        <v>0</v>
      </c>
      <c r="K164">
        <f>SUMPRODUCT((ISNUMBER(SEARCH($Y3,Dienstplan!$B$25:$B$36))*(ISNUMBER(SEARCH($AB$11,Dienstplan!$DV$25:$EY$36)))))-$Q164</f>
        <v>0</v>
      </c>
      <c r="L164">
        <f>SUMPRODUCT((ISNUMBER(SEARCH($Y3,Dienstplan!$B$25:$B$36))*(ISNUMBER(SEARCH($AB$12,Dienstplan!$DV$25:$EY$36)))))</f>
        <v>0</v>
      </c>
      <c r="M164">
        <f>SUMPRODUCT((ISNUMBER(SEARCH($Y3,Dienstplan!$B$25:$B$36))*(ISNUMBER(SEARCH($AB$13,Dienstplan!$DV$25:$EY$36)))))</f>
        <v>0</v>
      </c>
      <c r="N164">
        <f>SUMPRODUCT((ISNUMBER(SEARCH($Y3,Dienstplan!$B$25:$B$36))*(ISNUMBER(SEARCH($AB$14,Dienstplan!$DV$25:$EY$36)))))</f>
        <v>0</v>
      </c>
      <c r="O164">
        <f>SUMPRODUCT((ISNUMBER(SEARCH($Y3,Dienstplan!$B$25:$B$36))*(ISNUMBER(SEARCH($AB$15,Dienstplan!$DV$25:$EY$36)))))</f>
        <v>0</v>
      </c>
      <c r="P164">
        <f>SUMPRODUCT((ISNUMBER(SEARCH($Y3,Dienstplan!$B$25:$B$36))*(ISNUMBER(SEARCH($AB$16,Dienstplan!$DV$25:$EY$36)))))</f>
        <v>0</v>
      </c>
      <c r="Q164">
        <f>SUMPRODUCT((ISNUMBER(SEARCH($Y3,Dienstplan!$B$25:$B$36))*(ISNUMBER(SEARCH($AB$17,Dienstplan!$DV$25:$EY$36)))))</f>
        <v>0</v>
      </c>
      <c r="R164">
        <f>SUMPRODUCT((ISNUMBER(SEARCH($Y3,Dienstplan!$B$25:$B$36))*(ISNUMBER(SEARCH($AB$18,Dienstplan!$DV$25:$EY$36)))))</f>
        <v>0</v>
      </c>
      <c r="S164" s="11">
        <f>SUMPRODUCT((ISNUMBER(SEARCH($Y3,Dienstplan!$B$25:$B$36))*(ISNUMBER(SEARCH($AB$19,Dienstplan!$DV$25:$EY$36)))))</f>
        <v>1</v>
      </c>
      <c r="T164">
        <f t="shared" ref="T164:T174" si="54">SUM($F$162*$Z3)</f>
        <v>168</v>
      </c>
      <c r="U164" s="14">
        <f>SUM($C164*Frueh_1+$D164*Spaet_1+$E164*Nacht_1+$F164*Normal_1+$I164*Sonderd_1-$J164*Velten+$K164*Velten+$L164*EH_Kurs+$M164*Koor_taet+$N164*Sekre_1+$O164*Velten+$R164*Velten+$P164*Velten+$Q164*Velten+G164*Velt_M+H164*Velt_M)</f>
        <v>37.5</v>
      </c>
      <c r="V164" s="11">
        <f>SUM($U164-$T164)</f>
        <v>-130.5</v>
      </c>
      <c r="W164" s="20">
        <f t="shared" ref="W164:W174" si="55">V164+W148</f>
        <v>-751.75</v>
      </c>
    </row>
    <row r="165" spans="1:23" x14ac:dyDescent="0.25">
      <c r="A165" s="11"/>
      <c r="B165" s="27" t="str">
        <f t="shared" si="53"/>
        <v>Siebert</v>
      </c>
      <c r="C165">
        <f>SUMPRODUCT((ISNUMBER(SEARCH($Y4,Dienstplan!$B$25:$B$36))*(ISNUMBER(SEARCH($AB$3,Dienstplan!$DV$25:$EY$36)))))-D165</f>
        <v>0</v>
      </c>
      <c r="D165">
        <f>SUMPRODUCT((ISNUMBER(SEARCH($Y4,Dienstplan!$B$25:$B$36))*(ISNUMBER(SEARCH($AB$4,Dienstplan!$DV$25:$EY$36)))))</f>
        <v>0</v>
      </c>
      <c r="E165">
        <f>SUMPRODUCT((ISNUMBER(SEARCH($Y4,Dienstplan!$B$25:$B$36))*(ISNUMBER(SEARCH($AB$5,Dienstplan!$DV$25:$EY$36)))))</f>
        <v>0</v>
      </c>
      <c r="F165">
        <f>SUMPRODUCT((ISNUMBER(SEARCH($Y4,Dienstplan!$B$25:$B$36))*(ISNUMBER(SEARCH($AB$6,Dienstplan!$DV$25:$EY$36)))))</f>
        <v>4</v>
      </c>
      <c r="G165">
        <f>SUMPRODUCT((ISNUMBER(SEARCH($Y4,Dienstplan!$B$25:$B$36))*(ISNUMBER(SEARCH($AB$7,Dienstplan!$DV$25:$EY$36)))))-H165</f>
        <v>0</v>
      </c>
      <c r="H165">
        <f>SUMPRODUCT((ISNUMBER(SEARCH($Y4,Dienstplan!$B$25:$B$36))*(ISNUMBER(SEARCH($AB$8,Dienstplan!$DV$25:$EY$36)))))</f>
        <v>0</v>
      </c>
      <c r="I165">
        <f>SUMPRODUCT((ISNUMBER(SEARCH($Y4,Dienstplan!$B$25:$B$36))*(ISNUMBER(SEARCH($AB$9,Dienstplan!$DV$25:$EY$36)))))</f>
        <v>0</v>
      </c>
      <c r="J165">
        <f>SUMPRODUCT((ISNUMBER(SEARCH($Y4,Dienstplan!$B$25:$B$36))*(ISNUMBER(SEARCH($AB$10,Dienstplan!$DV$25:$EY$36)))))</f>
        <v>0</v>
      </c>
      <c r="K165">
        <f>SUMPRODUCT((ISNUMBER(SEARCH($Y4,Dienstplan!$B$25:$B$36))*(ISNUMBER(SEARCH($AB$11,Dienstplan!$DV$25:$EY$36)))))-$Q165</f>
        <v>0</v>
      </c>
      <c r="L165">
        <f>SUMPRODUCT((ISNUMBER(SEARCH($Y4,Dienstplan!$B$25:$B$36))*(ISNUMBER(SEARCH($AB$12,Dienstplan!$DV$25:$EY$36)))))</f>
        <v>0</v>
      </c>
      <c r="M165">
        <f>SUMPRODUCT((ISNUMBER(SEARCH($Y4,Dienstplan!$B$25:$B$36))*(ISNUMBER(SEARCH($AB$13,Dienstplan!$DV$25:$EY$36)))))</f>
        <v>0</v>
      </c>
      <c r="N165">
        <f>SUMPRODUCT((ISNUMBER(SEARCH($Y4,Dienstplan!$B$25:$B$36))*(ISNUMBER(SEARCH($AB$14,Dienstplan!$DV$25:$EY$36)))))</f>
        <v>0</v>
      </c>
      <c r="O165">
        <f>SUMPRODUCT((ISNUMBER(SEARCH($Y4,Dienstplan!$B$25:$B$36))*(ISNUMBER(SEARCH($AB$15,Dienstplan!$DV$25:$EY$36)))))</f>
        <v>0</v>
      </c>
      <c r="P165">
        <f>SUMPRODUCT((ISNUMBER(SEARCH($Y4,Dienstplan!$B$25:$B$36))*(ISNUMBER(SEARCH($AB$16,Dienstplan!$DV$25:$EY$36)))))</f>
        <v>0</v>
      </c>
      <c r="Q165">
        <f>SUMPRODUCT((ISNUMBER(SEARCH($Y4,Dienstplan!$B$25:$B$36))*(ISNUMBER(SEARCH($AB$17,Dienstplan!$DV$25:$EY$36)))))</f>
        <v>0</v>
      </c>
      <c r="R165">
        <f>SUMPRODUCT((ISNUMBER(SEARCH($Y4,Dienstplan!$B$25:$B$36))*(ISNUMBER(SEARCH($AB$18,Dienstplan!$DV$25:$EY$36)))))</f>
        <v>0</v>
      </c>
      <c r="S165" s="11">
        <f>SUMPRODUCT((ISNUMBER(SEARCH($Y4,Dienstplan!$B$25:$B$36))*(ISNUMBER(SEARCH($AB$19,Dienstplan!$DV$25:$EY$36)))))</f>
        <v>1</v>
      </c>
      <c r="T165">
        <f t="shared" si="54"/>
        <v>147</v>
      </c>
      <c r="U165" s="14">
        <f>SUM($C165*Frueh_1+$D165*Spaet_1+$E165*Nacht_1+$F165*Normal_1+$I165*Sonderd_1-$J165*Brue_H+$K165*Brue_H+$L165*EH_Kurs+$M165*Koor_taet+$N165*Sekre_1+$O165*Brue_H+$R165*Brue_H+$P165*Brue_H+$Q165*Brue_H+G165*Brue_H+H165*Brue_H)</f>
        <v>30</v>
      </c>
      <c r="V165" s="11">
        <f t="shared" ref="V165:V174" si="56">SUM($U165-$T165)</f>
        <v>-117</v>
      </c>
      <c r="W165" s="20">
        <f t="shared" si="55"/>
        <v>-571.75</v>
      </c>
    </row>
    <row r="166" spans="1:23" x14ac:dyDescent="0.25">
      <c r="A166" s="11"/>
      <c r="B166" s="27" t="str">
        <f t="shared" si="53"/>
        <v>Jochim</v>
      </c>
      <c r="C166">
        <f>SUMPRODUCT((ISNUMBER(SEARCH($Y5,Dienstplan!$B$25:$B$36))*(ISNUMBER(SEARCH($AB$3,Dienstplan!$DV$25:$EY$36)))))-D166</f>
        <v>0</v>
      </c>
      <c r="D166">
        <f>SUMPRODUCT((ISNUMBER(SEARCH($Y5,Dienstplan!$B$25:$B$36))*(ISNUMBER(SEARCH($AB$4,Dienstplan!$DV$25:$EY$36)))))</f>
        <v>0</v>
      </c>
      <c r="E166">
        <f>SUMPRODUCT((ISNUMBER(SEARCH($Y5,Dienstplan!$B$25:$B$36))*(ISNUMBER(SEARCH($AB$5,Dienstplan!$DV$25:$EY$36)))))</f>
        <v>0</v>
      </c>
      <c r="F166">
        <f>SUMPRODUCT((ISNUMBER(SEARCH($Y5,Dienstplan!$B$25:$B$36))*(ISNUMBER(SEARCH($AB$6,Dienstplan!$DV$25:$EY$36)))))</f>
        <v>0</v>
      </c>
      <c r="G166">
        <f>SUMPRODUCT((ISNUMBER(SEARCH($Y5,Dienstplan!$B$25:$B$36))*(ISNUMBER(SEARCH($AB$7,Dienstplan!$DV$25:$EY$36)))))-H166</f>
        <v>0</v>
      </c>
      <c r="H166">
        <f>SUMPRODUCT((ISNUMBER(SEARCH($Y5,Dienstplan!$B$25:$B$36))*(ISNUMBER(SEARCH($AB$8,Dienstplan!$DV$25:$EY$36)))))</f>
        <v>0</v>
      </c>
      <c r="I166">
        <f>SUMPRODUCT((ISNUMBER(SEARCH($Y5,Dienstplan!$B$25:$B$36))*(ISNUMBER(SEARCH($AB$9,Dienstplan!$DV$25:$EY$36)))))</f>
        <v>0</v>
      </c>
      <c r="J166">
        <f>SUMPRODUCT((ISNUMBER(SEARCH($Y5,Dienstplan!$B$25:$B$36))*(ISNUMBER(SEARCH($AB$10,Dienstplan!$DV$25:$EY$36)))))</f>
        <v>0</v>
      </c>
      <c r="K166">
        <f>SUMPRODUCT((ISNUMBER(SEARCH($Y5,Dienstplan!$B$25:$B$36))*(ISNUMBER(SEARCH($AB$11,Dienstplan!$DV$25:$EY$36)))))-$Q166</f>
        <v>0</v>
      </c>
      <c r="L166">
        <f>SUMPRODUCT((ISNUMBER(SEARCH($Y5,Dienstplan!$B$25:$B$36))*(ISNUMBER(SEARCH($AB$12,Dienstplan!$DV$25:$EY$36)))))</f>
        <v>0</v>
      </c>
      <c r="M166">
        <f>SUMPRODUCT((ISNUMBER(SEARCH($Y5,Dienstplan!$B$25:$B$36))*(ISNUMBER(SEARCH($AB$13,Dienstplan!$DV$25:$EY$36)))))</f>
        <v>0</v>
      </c>
      <c r="N166">
        <f>SUMPRODUCT((ISNUMBER(SEARCH($Y5,Dienstplan!$B$25:$B$36))*(ISNUMBER(SEARCH($AB$14,Dienstplan!$DV$25:$EY$36)))))</f>
        <v>0</v>
      </c>
      <c r="O166">
        <f>SUMPRODUCT((ISNUMBER(SEARCH($Y5,Dienstplan!$B$25:$B$36))*(ISNUMBER(SEARCH($AB$15,Dienstplan!$DV$25:$EY$36)))))</f>
        <v>0</v>
      </c>
      <c r="P166">
        <f>SUMPRODUCT((ISNUMBER(SEARCH($Y5,Dienstplan!$B$25:$B$36))*(ISNUMBER(SEARCH($AB$16,Dienstplan!$DV$25:$EY$36)))))</f>
        <v>0</v>
      </c>
      <c r="Q166">
        <f>SUMPRODUCT((ISNUMBER(SEARCH($Y5,Dienstplan!$B$25:$B$36))*(ISNUMBER(SEARCH($AB$17,Dienstplan!$DV$25:$EY$36)))))</f>
        <v>0</v>
      </c>
      <c r="R166">
        <f>SUMPRODUCT((ISNUMBER(SEARCH($Y5,Dienstplan!$B$25:$B$36))*(ISNUMBER(SEARCH($AB$18,Dienstplan!$DV$25:$EY$36)))))</f>
        <v>0</v>
      </c>
      <c r="S166" s="11">
        <f>SUMPRODUCT((ISNUMBER(SEARCH($Y5,Dienstplan!$B$25:$B$36))*(ISNUMBER(SEARCH($AB$19,Dienstplan!$DV$25:$EY$36)))))</f>
        <v>0</v>
      </c>
      <c r="T166">
        <f t="shared" si="54"/>
        <v>147</v>
      </c>
      <c r="U166" s="14">
        <f>SUM($C166*Frueh_1+$D166*Spaet_1+$E166*Nacht_1+$F166*Normal_1+$I166*Sonderd_1-$J166*Rath_M+$K166*Rath_M+$L166*EH_Kurs+$M166*Koor_taet+$N166*Sekre_1+$O166*Rath_M+$R166*Rath_M+$P166*Rath_M+$Q166*Rath_M+G166*Rath_M+H166*Rath_M)</f>
        <v>0</v>
      </c>
      <c r="V166" s="11">
        <f t="shared" si="56"/>
        <v>-147</v>
      </c>
      <c r="W166" s="20">
        <f t="shared" si="55"/>
        <v>-1348</v>
      </c>
    </row>
    <row r="167" spans="1:23" x14ac:dyDescent="0.25">
      <c r="A167" s="11"/>
      <c r="B167" s="27" t="str">
        <f t="shared" si="53"/>
        <v>Wunsch</v>
      </c>
      <c r="C167">
        <f>SUMPRODUCT((ISNUMBER(SEARCH($Y6,Dienstplan!$B$25:$B$36))*(ISNUMBER(SEARCH($AB$3,Dienstplan!$DV$25:$EY$36)))))-D167</f>
        <v>0</v>
      </c>
      <c r="D167">
        <f>SUMPRODUCT((ISNUMBER(SEARCH($Y6,Dienstplan!$B$25:$B$36))*(ISNUMBER(SEARCH($AB$4,Dienstplan!$DV$25:$EY$36)))))</f>
        <v>0</v>
      </c>
      <c r="E167">
        <f>SUMPRODUCT((ISNUMBER(SEARCH($Y6,Dienstplan!$B$25:$B$36))*(ISNUMBER(SEARCH($AB$5,Dienstplan!$DV$25:$EY$36)))))</f>
        <v>0</v>
      </c>
      <c r="F167">
        <f>SUMPRODUCT((ISNUMBER(SEARCH($Y6,Dienstplan!$B$25:$B$36))*(ISNUMBER(SEARCH($AB$6,Dienstplan!$DV$25:$EY$36)))))</f>
        <v>5</v>
      </c>
      <c r="G167">
        <f>SUMPRODUCT((ISNUMBER(SEARCH($Y6,Dienstplan!$B$25:$B$36))*(ISNUMBER(SEARCH($AB$7,Dienstplan!$DV$25:$EY$36)))))-H167</f>
        <v>0</v>
      </c>
      <c r="H167">
        <f>SUMPRODUCT((ISNUMBER(SEARCH($Y6,Dienstplan!$B$25:$B$36))*(ISNUMBER(SEARCH($AB$8,Dienstplan!$DV$25:$EY$36)))))</f>
        <v>0</v>
      </c>
      <c r="I167">
        <f>SUMPRODUCT((ISNUMBER(SEARCH($Y6,Dienstplan!$B$25:$B$36))*(ISNUMBER(SEARCH($AB$9,Dienstplan!$DV$25:$EY$36)))))</f>
        <v>0</v>
      </c>
      <c r="J167">
        <f>SUMPRODUCT((ISNUMBER(SEARCH($Y6,Dienstplan!$B$25:$B$36))*(ISNUMBER(SEARCH($AB$10,Dienstplan!$DV$25:$EY$36)))))</f>
        <v>0</v>
      </c>
      <c r="K167">
        <f>SUMPRODUCT((ISNUMBER(SEARCH($Y6,Dienstplan!$B$25:$B$36))*(ISNUMBER(SEARCH($AB$11,Dienstplan!$DV$25:$EY$36)))))-$Q167</f>
        <v>2</v>
      </c>
      <c r="L167">
        <f>SUMPRODUCT((ISNUMBER(SEARCH($Y6,Dienstplan!$B$25:$B$36))*(ISNUMBER(SEARCH($AB$12,Dienstplan!$DV$25:$EY$36)))))</f>
        <v>0</v>
      </c>
      <c r="M167">
        <f>SUMPRODUCT((ISNUMBER(SEARCH($Y6,Dienstplan!$B$25:$B$36))*(ISNUMBER(SEARCH($AB$13,Dienstplan!$DV$25:$EY$36)))))</f>
        <v>0</v>
      </c>
      <c r="N167">
        <f>SUMPRODUCT((ISNUMBER(SEARCH($Y6,Dienstplan!$B$25:$B$36))*(ISNUMBER(SEARCH($AB$14,Dienstplan!$DV$25:$EY$36)))))</f>
        <v>0</v>
      </c>
      <c r="O167">
        <f>SUMPRODUCT((ISNUMBER(SEARCH($Y6,Dienstplan!$B$25:$B$36))*(ISNUMBER(SEARCH($AB$15,Dienstplan!$DV$25:$EY$36)))))</f>
        <v>0</v>
      </c>
      <c r="P167">
        <f>SUMPRODUCT((ISNUMBER(SEARCH($Y6,Dienstplan!$B$25:$B$36))*(ISNUMBER(SEARCH($AB$16,Dienstplan!$DV$25:$EY$36)))))</f>
        <v>0</v>
      </c>
      <c r="Q167">
        <f>SUMPRODUCT((ISNUMBER(SEARCH($Y6,Dienstplan!$B$25:$B$36))*(ISNUMBER(SEARCH($AB$17,Dienstplan!$DV$25:$EY$36)))))</f>
        <v>0</v>
      </c>
      <c r="R167">
        <f>SUMPRODUCT((ISNUMBER(SEARCH($Y6,Dienstplan!$B$25:$B$36))*(ISNUMBER(SEARCH($AB$18,Dienstplan!$DV$25:$EY$36)))))</f>
        <v>0</v>
      </c>
      <c r="S167" s="11">
        <f>SUMPRODUCT((ISNUMBER(SEARCH($Y6,Dienstplan!$B$25:$B$36))*(ISNUMBER(SEARCH($AB$19,Dienstplan!$DV$25:$EY$36)))))</f>
        <v>1</v>
      </c>
      <c r="T167">
        <f t="shared" si="54"/>
        <v>168</v>
      </c>
      <c r="U167" s="14">
        <f>SUM($C167*Frueh_1+$D167*Spaet_1+$E167*Nacht_1+$F167*Normal_1+$I167*Sonderd_1-$J167*Scho_K+$K167*Scho_K+$L167*EH_Kurs+$M167*Koor_taet+$N167*Sekre_1+$O167*Scho_K+$R167*Scho_K+$P167*Scho_K+$Q167*Scho_K+G167*Scho_K+H167*Scho_K)</f>
        <v>53.5</v>
      </c>
      <c r="V167" s="11">
        <f t="shared" si="56"/>
        <v>-114.5</v>
      </c>
      <c r="W167" s="20">
        <f t="shared" si="55"/>
        <v>-750.25</v>
      </c>
    </row>
    <row r="168" spans="1:23" x14ac:dyDescent="0.25">
      <c r="A168" s="11"/>
      <c r="B168" s="27" t="str">
        <f t="shared" si="53"/>
        <v>Göpfrich</v>
      </c>
      <c r="C168">
        <f>SUMPRODUCT((ISNUMBER(SEARCH($Y7,Dienstplan!$B$25:$B$36))*(ISNUMBER(SEARCH($AB$3,Dienstplan!$DV$25:$EY$36)))))-D168</f>
        <v>0</v>
      </c>
      <c r="D168">
        <f>SUMPRODUCT((ISNUMBER(SEARCH($Y7,Dienstplan!$B$25:$B$36))*(ISNUMBER(SEARCH($AB$4,Dienstplan!$DV$25:$EY$36)))))</f>
        <v>0</v>
      </c>
      <c r="E168">
        <f>SUMPRODUCT((ISNUMBER(SEARCH($Y7,Dienstplan!$B$25:$B$36))*(ISNUMBER(SEARCH($AB$5,Dienstplan!$DV$25:$EY$36)))))</f>
        <v>0</v>
      </c>
      <c r="F168">
        <f>SUMPRODUCT((ISNUMBER(SEARCH($Y7,Dienstplan!$B$25:$B$36))*(ISNUMBER(SEARCH($AB$6,Dienstplan!$DV$25:$EY$36)))))</f>
        <v>2</v>
      </c>
      <c r="G168">
        <f>SUMPRODUCT((ISNUMBER(SEARCH($Y7,Dienstplan!$B$25:$B$36))*(ISNUMBER(SEARCH($AB$7,Dienstplan!$DV$25:$EY$36)))))-H168</f>
        <v>0</v>
      </c>
      <c r="H168">
        <f>SUMPRODUCT((ISNUMBER(SEARCH($Y7,Dienstplan!$B$25:$B$36))*(ISNUMBER(SEARCH($AB$8,Dienstplan!$DV$25:$EY$36)))))</f>
        <v>0</v>
      </c>
      <c r="I168">
        <f>SUMPRODUCT((ISNUMBER(SEARCH($Y7,Dienstplan!$B$25:$B$36))*(ISNUMBER(SEARCH($AB$9,Dienstplan!$DV$25:$EY$36)))))</f>
        <v>0</v>
      </c>
      <c r="J168">
        <f>SUMPRODUCT((ISNUMBER(SEARCH($Y7,Dienstplan!$B$25:$B$36))*(ISNUMBER(SEARCH($AB$10,Dienstplan!$DV$25:$EY$36)))))</f>
        <v>0</v>
      </c>
      <c r="K168">
        <f>SUMPRODUCT((ISNUMBER(SEARCH($Y7,Dienstplan!$B$25:$B$36))*(ISNUMBER(SEARCH($AB$11,Dienstplan!$DV$25:$EY$36)))))-$Q168</f>
        <v>5</v>
      </c>
      <c r="L168">
        <f>SUMPRODUCT((ISNUMBER(SEARCH($Y7,Dienstplan!$B$25:$B$36))*(ISNUMBER(SEARCH($AB$12,Dienstplan!$DV$25:$EY$36)))))</f>
        <v>0</v>
      </c>
      <c r="M168">
        <f>SUMPRODUCT((ISNUMBER(SEARCH($Y7,Dienstplan!$B$25:$B$36))*(ISNUMBER(SEARCH($AB$13,Dienstplan!$DV$25:$EY$36)))))</f>
        <v>0</v>
      </c>
      <c r="N168">
        <f>SUMPRODUCT((ISNUMBER(SEARCH($Y7,Dienstplan!$B$25:$B$36))*(ISNUMBER(SEARCH($AB$14,Dienstplan!$DV$25:$EY$36)))))</f>
        <v>0</v>
      </c>
      <c r="O168">
        <f>SUMPRODUCT((ISNUMBER(SEARCH($Y7,Dienstplan!$B$25:$B$36))*(ISNUMBER(SEARCH($AB$15,Dienstplan!$DV$25:$EY$36)))))</f>
        <v>0</v>
      </c>
      <c r="P168">
        <f>SUMPRODUCT((ISNUMBER(SEARCH($Y7,Dienstplan!$B$25:$B$36))*(ISNUMBER(SEARCH($AB$16,Dienstplan!$DV$25:$EY$36)))))</f>
        <v>0</v>
      </c>
      <c r="Q168">
        <f>SUMPRODUCT((ISNUMBER(SEARCH($Y7,Dienstplan!$B$25:$B$36))*(ISNUMBER(SEARCH($AB$17,Dienstplan!$DV$25:$EY$36)))))</f>
        <v>0</v>
      </c>
      <c r="R168">
        <f>SUMPRODUCT((ISNUMBER(SEARCH($Y7,Dienstplan!$B$25:$B$36))*(ISNUMBER(SEARCH($AB$18,Dienstplan!$DV$25:$EY$36)))))</f>
        <v>0</v>
      </c>
      <c r="S168" s="11">
        <f>SUMPRODUCT((ISNUMBER(SEARCH($Y7,Dienstplan!$B$25:$B$36))*(ISNUMBER(SEARCH($AB$19,Dienstplan!$DV$25:$EY$36)))))</f>
        <v>0</v>
      </c>
      <c r="T168">
        <f t="shared" si="54"/>
        <v>147</v>
      </c>
      <c r="U168" s="14">
        <f>SUM($C168*Frueh_1+$D168*Spaet_1+$E168*Nacht_1+$F168*Normal_1+$I168*Sonderd_1-$J168*Krie_B+$K168*Krie_B+$L168*EH_Kurs+$M168*Koor_taet+$N168*Sekre_1+$O168*Krie_B+$R168*Krie_B+$P168*Krie_B+$Q168*Krie_B+G168*Krie_B+H168*Krie_B)</f>
        <v>50</v>
      </c>
      <c r="V168" s="11">
        <f t="shared" si="56"/>
        <v>-97</v>
      </c>
      <c r="W168" s="20">
        <f t="shared" si="55"/>
        <v>-632.25</v>
      </c>
    </row>
    <row r="169" spans="1:23" x14ac:dyDescent="0.25">
      <c r="A169" s="11"/>
      <c r="B169" s="27" t="str">
        <f t="shared" si="53"/>
        <v>Zeller</v>
      </c>
      <c r="C169">
        <f>SUMPRODUCT((ISNUMBER(SEARCH($Y8,Dienstplan!$B$25:$B$36))*(ISNUMBER(SEARCH($AB$3,Dienstplan!$DV$25:$EY$36)))))-D169</f>
        <v>0</v>
      </c>
      <c r="D169">
        <f>SUMPRODUCT((ISNUMBER(SEARCH($Y8,Dienstplan!$B$25:$B$36))*(ISNUMBER(SEARCH($AB$4,Dienstplan!$DV$25:$EY$36)))))</f>
        <v>0</v>
      </c>
      <c r="E169">
        <f>SUMPRODUCT((ISNUMBER(SEARCH($Y8,Dienstplan!$B$25:$B$36))*(ISNUMBER(SEARCH($AB$5,Dienstplan!$DV$25:$EY$36)))))</f>
        <v>0</v>
      </c>
      <c r="F169">
        <f>SUMPRODUCT((ISNUMBER(SEARCH($Y8,Dienstplan!$B$25:$B$36))*(ISNUMBER(SEARCH($AB$6,Dienstplan!$DV$25:$EY$36)))))</f>
        <v>0</v>
      </c>
      <c r="G169">
        <f>SUMPRODUCT((ISNUMBER(SEARCH($Y8,Dienstplan!$B$25:$B$36))*(ISNUMBER(SEARCH($AB$7,Dienstplan!$DV$25:$EY$36)))))-H169</f>
        <v>0</v>
      </c>
      <c r="H169">
        <f>SUMPRODUCT((ISNUMBER(SEARCH($Y8,Dienstplan!$B$25:$B$36))*(ISNUMBER(SEARCH($AB$8,Dienstplan!$DV$25:$EY$36)))))</f>
        <v>0</v>
      </c>
      <c r="I169">
        <f>SUMPRODUCT((ISNUMBER(SEARCH($Y8,Dienstplan!$B$25:$B$36))*(ISNUMBER(SEARCH($AB$9,Dienstplan!$DV$25:$EY$36)))))</f>
        <v>0</v>
      </c>
      <c r="J169">
        <f>SUMPRODUCT((ISNUMBER(SEARCH($Y8,Dienstplan!$B$25:$B$36))*(ISNUMBER(SEARCH($AB$10,Dienstplan!$DV$25:$EY$36)))))</f>
        <v>0</v>
      </c>
      <c r="K169">
        <f>SUMPRODUCT((ISNUMBER(SEARCH($Y8,Dienstplan!$B$25:$B$36))*(ISNUMBER(SEARCH($AB$11,Dienstplan!$DV$25:$EY$36)))))-$Q169</f>
        <v>0</v>
      </c>
      <c r="L169">
        <f>SUMPRODUCT((ISNUMBER(SEARCH($Y8,Dienstplan!$B$25:$B$36))*(ISNUMBER(SEARCH($AB$12,Dienstplan!$DV$25:$EY$36)))))</f>
        <v>0</v>
      </c>
      <c r="M169">
        <f>SUMPRODUCT((ISNUMBER(SEARCH($Y8,Dienstplan!$B$25:$B$36))*(ISNUMBER(SEARCH($AB$13,Dienstplan!$DV$25:$EY$36)))))</f>
        <v>0</v>
      </c>
      <c r="N169">
        <f>SUMPRODUCT((ISNUMBER(SEARCH($Y8,Dienstplan!$B$25:$B$36))*(ISNUMBER(SEARCH($AB$14,Dienstplan!$DV$25:$EY$36)))))</f>
        <v>0</v>
      </c>
      <c r="O169">
        <f>SUMPRODUCT((ISNUMBER(SEARCH($Y8,Dienstplan!$B$25:$B$36))*(ISNUMBER(SEARCH($AB$15,Dienstplan!$DV$25:$EY$36)))))</f>
        <v>0</v>
      </c>
      <c r="P169">
        <f>SUMPRODUCT((ISNUMBER(SEARCH($Y8,Dienstplan!$B$25:$B$36))*(ISNUMBER(SEARCH($AB$16,Dienstplan!$DV$25:$EY$36)))))</f>
        <v>0</v>
      </c>
      <c r="Q169">
        <f>SUMPRODUCT((ISNUMBER(SEARCH($Y8,Dienstplan!$B$25:$B$36))*(ISNUMBER(SEARCH($AB$17,Dienstplan!$DV$25:$EY$36)))))</f>
        <v>0</v>
      </c>
      <c r="R169">
        <f>SUMPRODUCT((ISNUMBER(SEARCH($Y8,Dienstplan!$B$25:$B$36))*(ISNUMBER(SEARCH($AB$18,Dienstplan!$DV$25:$EY$36)))))</f>
        <v>0</v>
      </c>
      <c r="S169" s="11">
        <f>SUMPRODUCT((ISNUMBER(SEARCH($Y8,Dienstplan!$B$25:$B$36))*(ISNUMBER(SEARCH($AB$19,Dienstplan!$DV$25:$EY$36)))))</f>
        <v>0</v>
      </c>
      <c r="T169">
        <f t="shared" si="54"/>
        <v>168</v>
      </c>
      <c r="U169" s="14">
        <f>SUM($C169*Frueh_1+$D169*Spaet_1+$E169*Nacht_1+$F169*Normal_1+$I169*Sonderd_1-$J169*Muster+$K169*Muster+$L169*EH_Kurs+$M169*Koor_taet+$N169*Sekre_1+$O169*Muster+$P169*Muster+$Q169*Muster+$R169*Muster+G169*Muster+H169*Muster)</f>
        <v>0</v>
      </c>
      <c r="V169" s="11">
        <f t="shared" si="56"/>
        <v>-168</v>
      </c>
      <c r="W169" s="20">
        <f t="shared" si="55"/>
        <v>-844.75</v>
      </c>
    </row>
    <row r="170" spans="1:23" x14ac:dyDescent="0.25">
      <c r="A170" s="11"/>
      <c r="B170" s="27" t="str">
        <f t="shared" si="53"/>
        <v>Behrendt</v>
      </c>
      <c r="C170">
        <f>SUMPRODUCT((ISNUMBER(SEARCH($Y9,Dienstplan!$B$25:$B$36))*(ISNUMBER(SEARCH($AB$3,Dienstplan!$DV$25:$EY$36)))))-D170</f>
        <v>0</v>
      </c>
      <c r="D170">
        <f>SUMPRODUCT((ISNUMBER(SEARCH($Y9,Dienstplan!$B$25:$B$36))*(ISNUMBER(SEARCH($AB$4,Dienstplan!$DV$25:$EY$36)))))</f>
        <v>0</v>
      </c>
      <c r="E170">
        <f>SUMPRODUCT((ISNUMBER(SEARCH($Y9,Dienstplan!$B$25:$B$36))*(ISNUMBER(SEARCH($AB$5,Dienstplan!$DV$25:$EY$36)))))</f>
        <v>0</v>
      </c>
      <c r="F170">
        <f>SUMPRODUCT((ISNUMBER(SEARCH($Y9,Dienstplan!$B$25:$B$36))*(ISNUMBER(SEARCH($AB$6,Dienstplan!$DV$25:$EY$36)))))</f>
        <v>5</v>
      </c>
      <c r="G170">
        <f>SUMPRODUCT((ISNUMBER(SEARCH($Y9,Dienstplan!$B$25:$B$36))*(ISNUMBER(SEARCH($AB$7,Dienstplan!$DV$25:$EY$36)))))-H170</f>
        <v>0</v>
      </c>
      <c r="H170">
        <f>SUMPRODUCT((ISNUMBER(SEARCH($Y9,Dienstplan!$B$25:$B$36))*(ISNUMBER(SEARCH($AB$8,Dienstplan!$DV$25:$EY$36)))))</f>
        <v>0</v>
      </c>
      <c r="I170">
        <f>SUMPRODUCT((ISNUMBER(SEARCH($Y9,Dienstplan!$B$25:$B$36))*(ISNUMBER(SEARCH($AB$9,Dienstplan!$DV$25:$EY$36)))))</f>
        <v>0</v>
      </c>
      <c r="J170">
        <f>SUMPRODUCT((ISNUMBER(SEARCH($Y9,Dienstplan!$B$25:$B$36))*(ISNUMBER(SEARCH($AB$10,Dienstplan!$DV$25:$EY$36)))))</f>
        <v>0</v>
      </c>
      <c r="K170">
        <f>SUMPRODUCT((ISNUMBER(SEARCH($Y9,Dienstplan!$B$25:$B$36))*(ISNUMBER(SEARCH($AB$11,Dienstplan!$DV$25:$EY$36)))))-$Q170</f>
        <v>0</v>
      </c>
      <c r="L170">
        <f>SUMPRODUCT((ISNUMBER(SEARCH($Y9,Dienstplan!$B$25:$B$36))*(ISNUMBER(SEARCH($AB$12,Dienstplan!$DV$25:$EY$36)))))</f>
        <v>0</v>
      </c>
      <c r="M170">
        <f>SUMPRODUCT((ISNUMBER(SEARCH($Y9,Dienstplan!$B$25:$B$36))*(ISNUMBER(SEARCH($AB$13,Dienstplan!$DV$25:$EY$36)))))</f>
        <v>0</v>
      </c>
      <c r="N170">
        <f>SUMPRODUCT((ISNUMBER(SEARCH($Y9,Dienstplan!$B$25:$B$36))*(ISNUMBER(SEARCH($AB$14,Dienstplan!$DV$25:$EY$36)))))</f>
        <v>0</v>
      </c>
      <c r="O170">
        <f>SUMPRODUCT((ISNUMBER(SEARCH($Y9,Dienstplan!$B$25:$B$36))*(ISNUMBER(SEARCH($AB$15,Dienstplan!$DV$25:$EY$36)))))</f>
        <v>0</v>
      </c>
      <c r="P170">
        <f>SUMPRODUCT((ISNUMBER(SEARCH($Y9,Dienstplan!$B$25:$B$36))*(ISNUMBER(SEARCH($AB$16,Dienstplan!$DV$25:$EY$36)))))</f>
        <v>0</v>
      </c>
      <c r="Q170">
        <f>SUMPRODUCT((ISNUMBER(SEARCH($Y9,Dienstplan!$B$25:$B$36))*(ISNUMBER(SEARCH($AB$17,Dienstplan!$DV$25:$EY$36)))))</f>
        <v>0</v>
      </c>
      <c r="R170">
        <f>SUMPRODUCT((ISNUMBER(SEARCH($Y9,Dienstplan!$B$25:$B$36))*(ISNUMBER(SEARCH($AB$18,Dienstplan!$DV$25:$EY$36)))))</f>
        <v>0</v>
      </c>
      <c r="S170" s="11">
        <f>SUMPRODUCT((ISNUMBER(SEARCH($Y9,Dienstplan!$B$25:$B$36))*(ISNUMBER(SEARCH($AB$19,Dienstplan!$DV$25:$EY$36)))))</f>
        <v>1</v>
      </c>
      <c r="T170">
        <f t="shared" si="54"/>
        <v>147</v>
      </c>
      <c r="U170" s="14">
        <f>SUM($C170*Frueh_1+$D170*Spaet_1+$E170*Nacht_1+$F170*Normal_1+$I170*Sonderd_1-$J170*Muster+$K170*Muster+$L170*EH_Kurs+$M170*Koor_taet+$N170*Sekre_1+$O170*Muster+$P170*Muster+$Q170*Muster+$R170*Muster+G170*Muster+H170*Muster)</f>
        <v>37.5</v>
      </c>
      <c r="V170" s="11">
        <f t="shared" si="56"/>
        <v>-109.5</v>
      </c>
      <c r="W170" s="20">
        <f t="shared" si="55"/>
        <v>-659.45</v>
      </c>
    </row>
    <row r="171" spans="1:23" x14ac:dyDescent="0.25">
      <c r="A171" s="11"/>
      <c r="B171" s="27" t="str">
        <f t="shared" si="53"/>
        <v>Krempl</v>
      </c>
      <c r="C171">
        <f>SUMPRODUCT((ISNUMBER(SEARCH($Y10,Dienstplan!$B$25:$B$36))*(ISNUMBER(SEARCH($AB$3,Dienstplan!$DV$25:$EY$36)))))-D171</f>
        <v>0</v>
      </c>
      <c r="D171">
        <f>SUMPRODUCT((ISNUMBER(SEARCH($Y10,Dienstplan!$B$25:$B$36))*(ISNUMBER(SEARCH($AB$4,Dienstplan!$DV$25:$EY$36)))))</f>
        <v>0</v>
      </c>
      <c r="E171">
        <f>SUMPRODUCT((ISNUMBER(SEARCH($Y10,Dienstplan!$B$25:$B$36))*(ISNUMBER(SEARCH($AB$5,Dienstplan!$DV$25:$EY$36)))))</f>
        <v>0</v>
      </c>
      <c r="F171">
        <f>SUMPRODUCT((ISNUMBER(SEARCH($Y10,Dienstplan!$B$25:$B$36))*(ISNUMBER(SEARCH($AB$6,Dienstplan!$DV$25:$EY$36)))))</f>
        <v>0</v>
      </c>
      <c r="G171">
        <f>SUMPRODUCT((ISNUMBER(SEARCH($Y10,Dienstplan!$B$25:$B$36))*(ISNUMBER(SEARCH($AB$7,Dienstplan!$DV$25:$EY$36)))))-H171</f>
        <v>0</v>
      </c>
      <c r="H171">
        <f>SUMPRODUCT((ISNUMBER(SEARCH($Y10,Dienstplan!$B$25:$B$36))*(ISNUMBER(SEARCH($AB$8,Dienstplan!$DV$25:$EY$36)))))</f>
        <v>0</v>
      </c>
      <c r="I171">
        <f>SUMPRODUCT((ISNUMBER(SEARCH($Y10,Dienstplan!$B$25:$B$36))*(ISNUMBER(SEARCH($AB$9,Dienstplan!$DV$25:$EY$36)))))</f>
        <v>0</v>
      </c>
      <c r="J171">
        <f>SUMPRODUCT((ISNUMBER(SEARCH($Y10,Dienstplan!$B$25:$B$36))*(ISNUMBER(SEARCH($AB$10,Dienstplan!$DV$25:$EY$36)))))</f>
        <v>0</v>
      </c>
      <c r="K171">
        <f>SUMPRODUCT((ISNUMBER(SEARCH($Y10,Dienstplan!$B$25:$B$36))*(ISNUMBER(SEARCH($AB$11,Dienstplan!$DV$25:$EY$36)))))-$Q171</f>
        <v>0</v>
      </c>
      <c r="L171">
        <f>SUMPRODUCT((ISNUMBER(SEARCH($Y10,Dienstplan!$B$25:$B$36))*(ISNUMBER(SEARCH($AB$12,Dienstplan!$DV$25:$EY$36)))))</f>
        <v>0</v>
      </c>
      <c r="M171">
        <f>SUMPRODUCT((ISNUMBER(SEARCH($Y10,Dienstplan!$B$25:$B$36))*(ISNUMBER(SEARCH($AB$13,Dienstplan!$DV$25:$EY$36)))))</f>
        <v>0</v>
      </c>
      <c r="N171">
        <f>SUMPRODUCT((ISNUMBER(SEARCH($Y10,Dienstplan!$B$25:$B$36))*(ISNUMBER(SEARCH($AB$14,Dienstplan!$DV$25:$EY$36)))))</f>
        <v>0</v>
      </c>
      <c r="O171">
        <f>SUMPRODUCT((ISNUMBER(SEARCH($Y10,Dienstplan!$B$25:$B$36))*(ISNUMBER(SEARCH($AB$15,Dienstplan!$DV$25:$EY$36)))))</f>
        <v>0</v>
      </c>
      <c r="P171">
        <f>SUMPRODUCT((ISNUMBER(SEARCH($Y10,Dienstplan!$B$25:$B$36))*(ISNUMBER(SEARCH($AB$16,Dienstplan!$DV$25:$EY$36)))))</f>
        <v>0</v>
      </c>
      <c r="Q171">
        <f>SUMPRODUCT((ISNUMBER(SEARCH($Y10,Dienstplan!$B$25:$B$36))*(ISNUMBER(SEARCH($AB$17,Dienstplan!$DV$25:$EY$36)))))</f>
        <v>0</v>
      </c>
      <c r="R171">
        <f>SUMPRODUCT((ISNUMBER(SEARCH($Y10,Dienstplan!$B$25:$B$36))*(ISNUMBER(SEARCH($AB$18,Dienstplan!$DV$25:$EY$36)))))</f>
        <v>0</v>
      </c>
      <c r="S171" s="11">
        <f>SUMPRODUCT((ISNUMBER(SEARCH($Y10,Dienstplan!$B$25:$B$36))*(ISNUMBER(SEARCH($AB$19,Dienstplan!$DV$25:$EY$36)))))</f>
        <v>0</v>
      </c>
      <c r="T171">
        <f t="shared" si="54"/>
        <v>67.2</v>
      </c>
      <c r="U171" s="14">
        <f>SUM($C171*Frueh_1+$D171*Spaet_1+$E171*Nacht_1+$F171*Normal_1+$I171*Sonderd_1-$J171*Krem_E+$K171*Krem_E+$L171*EH_Kurs+$M171*Koor_taet+$N171*Sekre_1+$O171*Krem_E+$R171*Krem_E+$P171*Krem_E+$Q171*Krem_E+G171*Krem_E+H171*Krem_E)</f>
        <v>0</v>
      </c>
      <c r="V171" s="11">
        <f t="shared" si="56"/>
        <v>-67.2</v>
      </c>
      <c r="W171" s="20">
        <f t="shared" si="55"/>
        <v>-576.9</v>
      </c>
    </row>
    <row r="172" spans="1:23" x14ac:dyDescent="0.25">
      <c r="A172" s="11"/>
      <c r="B172" s="27" t="str">
        <f t="shared" si="53"/>
        <v>Putschler</v>
      </c>
      <c r="C172">
        <f>SUMPRODUCT((ISNUMBER(SEARCH($Y11,Dienstplan!$B$25:$B$36))*(ISNUMBER(SEARCH($AB$3,Dienstplan!$DV$25:$EY$36)))))-D172</f>
        <v>0</v>
      </c>
      <c r="D172">
        <f>SUMPRODUCT((ISNUMBER(SEARCH($Y11,Dienstplan!$B$25:$B$36))*(ISNUMBER(SEARCH($AB$4,Dienstplan!$DV$25:$EY$36)))))</f>
        <v>0</v>
      </c>
      <c r="E172">
        <f>SUMPRODUCT((ISNUMBER(SEARCH($Y11,Dienstplan!$B$25:$B$36))*(ISNUMBER(SEARCH($AB$5,Dienstplan!$DV$25:$EY$36)))))</f>
        <v>0</v>
      </c>
      <c r="F172">
        <f>SUMPRODUCT((ISNUMBER(SEARCH($Y11,Dienstplan!$B$25:$B$36))*(ISNUMBER(SEARCH($AB$6,Dienstplan!$DV$25:$EY$36)))))</f>
        <v>0</v>
      </c>
      <c r="G172">
        <f>SUMPRODUCT((ISNUMBER(SEARCH($Y11,Dienstplan!$B$25:$B$36))*(ISNUMBER(SEARCH($AB$7,Dienstplan!$DV$25:$EY$36)))))-H172</f>
        <v>0</v>
      </c>
      <c r="H172">
        <f>SUMPRODUCT((ISNUMBER(SEARCH($Y11,Dienstplan!$B$25:$B$36))*(ISNUMBER(SEARCH($AB$8,Dienstplan!$DV$25:$EY$36)))))</f>
        <v>0</v>
      </c>
      <c r="I172">
        <f>SUMPRODUCT((ISNUMBER(SEARCH($Y11,Dienstplan!$B$25:$B$36))*(ISNUMBER(SEARCH($AB$9,Dienstplan!$DV$25:$EY$36)))))</f>
        <v>0</v>
      </c>
      <c r="J172">
        <f>SUMPRODUCT((ISNUMBER(SEARCH($Y11,Dienstplan!$B$25:$B$36))*(ISNUMBER(SEARCH($AB$10,Dienstplan!$DV$25:$EY$36)))))</f>
        <v>0</v>
      </c>
      <c r="K172">
        <f>SUMPRODUCT((ISNUMBER(SEARCH($Y11,Dienstplan!$B$25:$B$36))*(ISNUMBER(SEARCH($AB$11,Dienstplan!$DV$25:$EY$36)))))-$Q172</f>
        <v>0</v>
      </c>
      <c r="L172">
        <f>SUMPRODUCT((ISNUMBER(SEARCH($Y11,Dienstplan!$B$25:$B$36))*(ISNUMBER(SEARCH($AB$12,Dienstplan!$DV$25:$EY$36)))))</f>
        <v>0</v>
      </c>
      <c r="M172">
        <f>SUMPRODUCT((ISNUMBER(SEARCH($Y11,Dienstplan!$B$25:$B$36))*(ISNUMBER(SEARCH($AB$13,Dienstplan!$DV$25:$EY$36)))))</f>
        <v>0</v>
      </c>
      <c r="N172">
        <f>SUMPRODUCT((ISNUMBER(SEARCH($Y11,Dienstplan!$B$25:$B$36))*(ISNUMBER(SEARCH($AB$14,Dienstplan!$DV$25:$EY$36)))))</f>
        <v>0</v>
      </c>
      <c r="O172">
        <f>SUMPRODUCT((ISNUMBER(SEARCH($Y11,Dienstplan!$B$25:$B$36))*(ISNUMBER(SEARCH($AB$15,Dienstplan!$DV$25:$EY$36)))))</f>
        <v>0</v>
      </c>
      <c r="P172">
        <f>SUMPRODUCT((ISNUMBER(SEARCH($Y11,Dienstplan!$B$25:$B$36))*(ISNUMBER(SEARCH($AB$16,Dienstplan!$DV$25:$EY$36)))))</f>
        <v>0</v>
      </c>
      <c r="Q172">
        <f>SUMPRODUCT((ISNUMBER(SEARCH($Y11,Dienstplan!$B$25:$B$36))*(ISNUMBER(SEARCH($AB$17,Dienstplan!$DV$25:$EY$36)))))</f>
        <v>0</v>
      </c>
      <c r="R172">
        <f>SUMPRODUCT((ISNUMBER(SEARCH($Y11,Dienstplan!$B$25:$B$36))*(ISNUMBER(SEARCH($AB$18,Dienstplan!$DV$25:$EY$36)))))</f>
        <v>0</v>
      </c>
      <c r="S172" s="11">
        <f>SUMPRODUCT((ISNUMBER(SEARCH($Y11,Dienstplan!$B$25:$B$36))*(ISNUMBER(SEARCH($AB$19,Dienstplan!$DV$25:$EY$36)))))</f>
        <v>0</v>
      </c>
      <c r="T172">
        <f t="shared" si="54"/>
        <v>168</v>
      </c>
      <c r="U172" s="14">
        <f>SUM($C172*Frueh_1+$D172*Spaet_1+$E172*Nacht_1+$F172*Normal_1+$I172*Sonderd_1-$J172*Put_W+$K172*Put_W+$L172*EH_Kurs+$M172*Koor_taet+$N172*Sekre_1+$O172*Put_W+$R172*Put_W+$P172*Put_W+$Q172*Put_W+G172*Put_W+H172*Put_W)</f>
        <v>0</v>
      </c>
      <c r="V172" s="11">
        <f t="shared" si="56"/>
        <v>-168</v>
      </c>
      <c r="W172" s="20">
        <f t="shared" si="55"/>
        <v>-985.5</v>
      </c>
    </row>
    <row r="173" spans="1:23" x14ac:dyDescent="0.25">
      <c r="A173" s="11"/>
      <c r="B173" s="27" t="str">
        <f t="shared" si="53"/>
        <v>Schmidt</v>
      </c>
      <c r="C173">
        <f>SUMPRODUCT((ISNUMBER(SEARCH($Y12,Dienstplan!$B$25:$B$36))*(ISNUMBER(SEARCH($AB$3,Dienstplan!$DV$25:$EY$36)))))-D173</f>
        <v>0</v>
      </c>
      <c r="D173">
        <f>SUMPRODUCT((ISNUMBER(SEARCH($Y12,Dienstplan!$B$25:$B$36))*(ISNUMBER(SEARCH($AB$4,Dienstplan!$DV$25:$EY$36)))))</f>
        <v>0</v>
      </c>
      <c r="E173">
        <f>SUMPRODUCT((ISNUMBER(SEARCH($Y12,Dienstplan!$B$25:$B$36))*(ISNUMBER(SEARCH($AB$5,Dienstplan!$DV$25:$EY$36)))))</f>
        <v>0</v>
      </c>
      <c r="F173">
        <f>SUMPRODUCT((ISNUMBER(SEARCH($Y12,Dienstplan!$B$25:$B$36))*(ISNUMBER(SEARCH($AB$6,Dienstplan!$DV$25:$EY$36)))))</f>
        <v>0</v>
      </c>
      <c r="G173">
        <f>SUMPRODUCT((ISNUMBER(SEARCH($Y12,Dienstplan!$B$25:$B$36))*(ISNUMBER(SEARCH($AB$7,Dienstplan!$DV$25:$EY$36)))))-H173</f>
        <v>0</v>
      </c>
      <c r="H173">
        <f>SUMPRODUCT((ISNUMBER(SEARCH($Y12,Dienstplan!$B$25:$B$36))*(ISNUMBER(SEARCH($AB$8,Dienstplan!$DV$25:$EY$36)))))</f>
        <v>0</v>
      </c>
      <c r="I173">
        <f>SUMPRODUCT((ISNUMBER(SEARCH($Y12,Dienstplan!$B$25:$B$36))*(ISNUMBER(SEARCH($AB$9,Dienstplan!$DV$25:$EY$36)))))</f>
        <v>0</v>
      </c>
      <c r="J173">
        <f>SUMPRODUCT((ISNUMBER(SEARCH($Y12,Dienstplan!$B$25:$B$36))*(ISNUMBER(SEARCH($AB$10,Dienstplan!$DV$25:$EY$36)))))</f>
        <v>0</v>
      </c>
      <c r="K173">
        <f>SUMPRODUCT((ISNUMBER(SEARCH($Y12,Dienstplan!$B$25:$B$36))*(ISNUMBER(SEARCH($AB$11,Dienstplan!$DV$25:$EY$36)))))-$Q173</f>
        <v>2</v>
      </c>
      <c r="L173">
        <f>SUMPRODUCT((ISNUMBER(SEARCH($Y12,Dienstplan!$B$25:$B$36))*(ISNUMBER(SEARCH($AB$12,Dienstplan!$DV$25:$EY$36)))))</f>
        <v>0</v>
      </c>
      <c r="M173">
        <f>SUMPRODUCT((ISNUMBER(SEARCH($Y12,Dienstplan!$B$25:$B$36))*(ISNUMBER(SEARCH($AB$13,Dienstplan!$DV$25:$EY$36)))))</f>
        <v>0</v>
      </c>
      <c r="N173">
        <f>SUMPRODUCT((ISNUMBER(SEARCH($Y12,Dienstplan!$B$25:$B$36))*(ISNUMBER(SEARCH($AB$14,Dienstplan!$DV$25:$EY$36)))))</f>
        <v>0</v>
      </c>
      <c r="O173">
        <f>SUMPRODUCT((ISNUMBER(SEARCH($Y12,Dienstplan!$B$25:$B$36))*(ISNUMBER(SEARCH($AB$15,Dienstplan!$DV$25:$EY$36)))))</f>
        <v>0</v>
      </c>
      <c r="P173">
        <f>SUMPRODUCT((ISNUMBER(SEARCH($Y12,Dienstplan!$B$25:$B$36))*(ISNUMBER(SEARCH($AB$16,Dienstplan!$DV$25:$EY$36)))))</f>
        <v>0</v>
      </c>
      <c r="Q173">
        <f>SUMPRODUCT((ISNUMBER(SEARCH($Y12,Dienstplan!$B$25:$B$36))*(ISNUMBER(SEARCH($AB$17,Dienstplan!$DV$25:$EY$36)))))</f>
        <v>0</v>
      </c>
      <c r="R173">
        <f>SUMPRODUCT((ISNUMBER(SEARCH($Y12,Dienstplan!$B$25:$B$36))*(ISNUMBER(SEARCH($AB$18,Dienstplan!$DV$25:$EY$36)))))</f>
        <v>0</v>
      </c>
      <c r="S173" s="11">
        <f>SUMPRODUCT((ISNUMBER(SEARCH($Y12,Dienstplan!$B$25:$B$36))*(ISNUMBER(SEARCH($AB$19,Dienstplan!$DV$25:$EY$36)))))</f>
        <v>0</v>
      </c>
      <c r="T173">
        <f t="shared" si="54"/>
        <v>147</v>
      </c>
      <c r="U173" s="14">
        <f>SUM($C173*Frueh_1+$D173*Spaet_1+$E173*Nacht_1+$F173*Normal_1+$I173*Sonderd_1-$J173*Radi_L+$K173*Radi_L+$L173*EH_Kurs+$M173*Koor_taet+$N173*Sekre_1+$O173*Radi_L+$R173*Radi_L+$P173*Radi_L+$Q173*Radi_L+G173*Radi_L+H173*Radi_L)</f>
        <v>14</v>
      </c>
      <c r="V173" s="11">
        <f t="shared" si="56"/>
        <v>-133</v>
      </c>
      <c r="W173" s="20">
        <f t="shared" si="55"/>
        <v>-1344</v>
      </c>
    </row>
    <row r="174" spans="1:23" x14ac:dyDescent="0.25">
      <c r="A174" s="11"/>
      <c r="B174" s="27" t="str">
        <f t="shared" si="53"/>
        <v>Radimersky</v>
      </c>
      <c r="C174">
        <f>SUMPRODUCT((ISNUMBER(SEARCH($Y13,Dienstplan!$B$25:$B$36))*(ISNUMBER(SEARCH($AB$3,Dienstplan!$DV$25:$EY$36)))))-D174</f>
        <v>0</v>
      </c>
      <c r="D174">
        <f>SUMPRODUCT((ISNUMBER(SEARCH($Y13,Dienstplan!$B$25:$B$36))*(ISNUMBER(SEARCH($AB$4,Dienstplan!$DV$25:$EY$36)))))</f>
        <v>0</v>
      </c>
      <c r="E174">
        <f>SUMPRODUCT((ISNUMBER(SEARCH($Y13,Dienstplan!$B$25:$B$36))*(ISNUMBER(SEARCH($AB$5,Dienstplan!$DV$25:$EY$36)))))</f>
        <v>0</v>
      </c>
      <c r="F174">
        <f>SUMPRODUCT((ISNUMBER(SEARCH($Y13,Dienstplan!$B$25:$B$36))*(ISNUMBER(SEARCH($AB$6,Dienstplan!$DV$25:$EY$36)))))</f>
        <v>0</v>
      </c>
      <c r="G174">
        <f>SUMPRODUCT((ISNUMBER(SEARCH($Y13,Dienstplan!$B$25:$B$36))*(ISNUMBER(SEARCH($AB$7,Dienstplan!$DV$25:$EY$36)))))-H174</f>
        <v>0</v>
      </c>
      <c r="H174">
        <f>SUMPRODUCT((ISNUMBER(SEARCH($Y13,Dienstplan!$B$25:$B$36))*(ISNUMBER(SEARCH($AB$8,Dienstplan!$DV$25:$EY$36)))))</f>
        <v>0</v>
      </c>
      <c r="I174">
        <f>SUMPRODUCT((ISNUMBER(SEARCH($Y13,Dienstplan!$B$25:$B$36))*(ISNUMBER(SEARCH($AB$9,Dienstplan!$DV$25:$EY$36)))))</f>
        <v>0</v>
      </c>
      <c r="J174">
        <f>SUMPRODUCT((ISNUMBER(SEARCH($Y13,Dienstplan!$B$25:$B$36))*(ISNUMBER(SEARCH($AB$10,Dienstplan!$DV$25:$EY$36)))))</f>
        <v>0</v>
      </c>
      <c r="K174">
        <f>SUMPRODUCT((ISNUMBER(SEARCH($Y13,Dienstplan!$B$25:$B$36))*(ISNUMBER(SEARCH($AB$11,Dienstplan!$DV$25:$EY$36)))))-$Q174</f>
        <v>0</v>
      </c>
      <c r="L174">
        <f>SUMPRODUCT((ISNUMBER(SEARCH($Y13,Dienstplan!$B$25:$B$36))*(ISNUMBER(SEARCH($AB$12,Dienstplan!$DV$25:$EY$36)))))</f>
        <v>0</v>
      </c>
      <c r="M174">
        <f>SUMPRODUCT((ISNUMBER(SEARCH($Y13,Dienstplan!$B$25:$B$36))*(ISNUMBER(SEARCH($AB$13,Dienstplan!$DV$25:$EY$36)))))</f>
        <v>0</v>
      </c>
      <c r="N174">
        <f>SUMPRODUCT((ISNUMBER(SEARCH($Y13,Dienstplan!$B$25:$B$36))*(ISNUMBER(SEARCH($AB$14,Dienstplan!$DV$25:$EY$36)))))</f>
        <v>0</v>
      </c>
      <c r="O174">
        <f>SUMPRODUCT((ISNUMBER(SEARCH($Y13,Dienstplan!$B$25:$B$36))*(ISNUMBER(SEARCH($AB$15,Dienstplan!$DV$25:$EY$36)))))</f>
        <v>0</v>
      </c>
      <c r="P174">
        <f>SUMPRODUCT((ISNUMBER(SEARCH($Y13,Dienstplan!$B$25:$B$36))*(ISNUMBER(SEARCH($AB$16,Dienstplan!$DV$25:$EY$36)))))</f>
        <v>0</v>
      </c>
      <c r="Q174">
        <f>SUMPRODUCT((ISNUMBER(SEARCH($Y13,Dienstplan!$B$25:$B$36))*(ISNUMBER(SEARCH($AB$17,Dienstplan!$DV$25:$EY$36)))))</f>
        <v>0</v>
      </c>
      <c r="R174">
        <f>SUMPRODUCT((ISNUMBER(SEARCH($Y13,Dienstplan!$B$25:$B$36))*(ISNUMBER(SEARCH($AB$18,Dienstplan!$DV$25:$EY$36)))))</f>
        <v>0</v>
      </c>
      <c r="S174" s="11">
        <f>SUMPRODUCT((ISNUMBER(SEARCH($Y13,Dienstplan!$B$25:$B$36))*(ISNUMBER(SEARCH($AB$19,Dienstplan!$DV$25:$EY$36)))))</f>
        <v>0</v>
      </c>
      <c r="T174">
        <f t="shared" si="54"/>
        <v>63</v>
      </c>
      <c r="U174" s="14">
        <f>SUM($C174*Frueh_1+$D174*Spaet_1+$E174*Nacht_1+$F174*Normal_1+$I174*Sonderd_1-$J174*Fortenb+$K174*Fortenb+$L174*EH_Kurs+$M174*Koor_taet+$N174*Sekre_1+$O174*Fortenb+$R174*Fortenb+$P174*Fortenb+$Q174*Fortenb+G174*Fortenb+H174*Fortenb)</f>
        <v>0</v>
      </c>
      <c r="V174" s="11">
        <f t="shared" si="56"/>
        <v>-63</v>
      </c>
      <c r="W174" s="20">
        <f t="shared" si="55"/>
        <v>-567</v>
      </c>
    </row>
    <row r="175" spans="1:23" x14ac:dyDescent="0.25">
      <c r="A175" s="11"/>
      <c r="B175" s="27"/>
      <c r="S175" s="11"/>
      <c r="V175" s="11"/>
      <c r="W175" s="20"/>
    </row>
    <row r="176" spans="1:23" x14ac:dyDescent="0.25">
      <c r="A176" s="11"/>
      <c r="B176" s="27" t="s">
        <v>23</v>
      </c>
      <c r="C176" s="4">
        <f t="shared" ref="C176:S176" si="57">SUM(C164:C175)</f>
        <v>0</v>
      </c>
      <c r="D176" s="4">
        <f t="shared" si="57"/>
        <v>0</v>
      </c>
      <c r="E176" s="4">
        <f t="shared" si="57"/>
        <v>0</v>
      </c>
      <c r="F176" s="4">
        <f t="shared" si="57"/>
        <v>21</v>
      </c>
      <c r="G176" s="4">
        <f t="shared" si="57"/>
        <v>0</v>
      </c>
      <c r="H176" s="4">
        <f t="shared" si="57"/>
        <v>0</v>
      </c>
      <c r="I176" s="4">
        <f t="shared" si="57"/>
        <v>0</v>
      </c>
      <c r="J176" s="4">
        <f t="shared" si="57"/>
        <v>0</v>
      </c>
      <c r="K176" s="4">
        <f t="shared" si="57"/>
        <v>9</v>
      </c>
      <c r="L176" s="4">
        <f t="shared" si="57"/>
        <v>0</v>
      </c>
      <c r="M176" s="4">
        <f t="shared" si="57"/>
        <v>0</v>
      </c>
      <c r="N176" s="4">
        <f t="shared" si="57"/>
        <v>0</v>
      </c>
      <c r="O176" s="4">
        <f t="shared" si="57"/>
        <v>0</v>
      </c>
      <c r="P176" s="4">
        <f t="shared" si="57"/>
        <v>0</v>
      </c>
      <c r="Q176" s="4">
        <f t="shared" si="57"/>
        <v>0</v>
      </c>
      <c r="R176" s="4">
        <f t="shared" si="57"/>
        <v>0</v>
      </c>
      <c r="S176" s="13">
        <f t="shared" si="57"/>
        <v>4</v>
      </c>
      <c r="T176" s="4">
        <f>SUM(T164:T172)</f>
        <v>1327.2</v>
      </c>
      <c r="U176" s="4">
        <f>SUM(U164:U172)</f>
        <v>208.5</v>
      </c>
      <c r="V176" s="13"/>
      <c r="W176" s="21"/>
    </row>
    <row r="177" spans="1:23" x14ac:dyDescent="0.25">
      <c r="A177" s="11"/>
      <c r="B177" s="12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2"/>
      <c r="T177" s="1"/>
      <c r="U177" s="1"/>
      <c r="V177" s="12"/>
      <c r="W177" s="17"/>
    </row>
    <row r="178" spans="1:23" x14ac:dyDescent="0.25">
      <c r="A178" s="11"/>
      <c r="B178" s="26" t="s">
        <v>30</v>
      </c>
      <c r="D178" s="365" t="s">
        <v>34</v>
      </c>
      <c r="E178" s="366"/>
      <c r="F178" s="36">
        <v>19</v>
      </c>
      <c r="G178" s="109"/>
      <c r="H178" s="18"/>
      <c r="I178" s="365" t="s">
        <v>51</v>
      </c>
      <c r="J178" s="366"/>
      <c r="K178" s="36">
        <v>5</v>
      </c>
      <c r="S178" s="11"/>
      <c r="V178" s="11"/>
      <c r="W178" s="20"/>
    </row>
    <row r="179" spans="1:23" x14ac:dyDescent="0.25">
      <c r="A179" s="11"/>
      <c r="B179" s="11"/>
      <c r="C179" s="4" t="str">
        <f>Jahr!C3</f>
        <v>FI</v>
      </c>
      <c r="D179" s="4" t="str">
        <f>Jahr!D3</f>
        <v>FII</v>
      </c>
      <c r="E179" s="4" t="str">
        <f>Jahr!E3</f>
        <v>SI</v>
      </c>
      <c r="F179" s="4" t="str">
        <f>Jahr!F3</f>
        <v>NI</v>
      </c>
      <c r="G179" s="4" t="str">
        <f>Jahr!G3</f>
        <v>DI</v>
      </c>
      <c r="H179" s="4" t="str">
        <f>Jahr!H3</f>
        <v>DII</v>
      </c>
      <c r="I179" s="4" t="str">
        <f>Jahr!I3</f>
        <v>SD</v>
      </c>
      <c r="J179" s="4" t="str">
        <f>Jahr!J3</f>
        <v>GT</v>
      </c>
      <c r="K179" s="4" t="str">
        <f>Jahr!K3</f>
        <v>U</v>
      </c>
      <c r="L179" s="4" t="str">
        <f>Jahr!L3</f>
        <v>EH</v>
      </c>
      <c r="M179" s="4" t="str">
        <f>Jahr!M3</f>
        <v>KT</v>
      </c>
      <c r="N179" s="4" t="str">
        <f>Jahr!N3</f>
        <v>Sek</v>
      </c>
      <c r="O179" s="4" t="str">
        <f>Jahr!O3</f>
        <v>Fobi</v>
      </c>
      <c r="P179" s="4" t="str">
        <f>Jahr!P3</f>
        <v>A</v>
      </c>
      <c r="Q179" s="4" t="str">
        <f>Jahr!Q3</f>
        <v>Kur</v>
      </c>
      <c r="R179" s="4" t="str">
        <f>Jahr!R3</f>
        <v>FZC</v>
      </c>
      <c r="S179" s="4" t="str">
        <f>Jahr!S3</f>
        <v>NST</v>
      </c>
      <c r="T179" s="15" t="s">
        <v>37</v>
      </c>
      <c r="U179" s="15" t="s">
        <v>38</v>
      </c>
      <c r="V179" s="13" t="s">
        <v>39</v>
      </c>
      <c r="W179" s="21" t="s">
        <v>52</v>
      </c>
    </row>
    <row r="180" spans="1:23" x14ac:dyDescent="0.25">
      <c r="A180" s="11"/>
      <c r="B180" s="27" t="str">
        <f t="shared" ref="B180:B190" si="58">B4</f>
        <v>Breig</v>
      </c>
      <c r="C180">
        <f>SUMPRODUCT((ISNUMBER(SEARCH($Y3,Dienstplan!$B$25:$B$36))*(ISNUMBER(SEARCH($AB$3,Dienstplan!$EZ$25:$GD$36)))))-D180</f>
        <v>0</v>
      </c>
      <c r="D180">
        <f>SUMPRODUCT((ISNUMBER(SEARCH($Y3,Dienstplan!$B$25:$B$36))*(ISNUMBER(SEARCH($AB$4,Dienstplan!$EZ$25:$GD$36)))))</f>
        <v>0</v>
      </c>
      <c r="E180">
        <f>SUMPRODUCT((ISNUMBER(SEARCH($Y3,Dienstplan!$B$25:$B$36))*(ISNUMBER(SEARCH($AB$5,Dienstplan!$EY$25:$GD$36)))))-2</f>
        <v>-2</v>
      </c>
      <c r="F180">
        <f>SUMPRODUCT((ISNUMBER(SEARCH($Y3,Dienstplan!$B$25:$B$36))*(ISNUMBER(SEARCH($AB$6,Dienstplan!$EZ$25:$GD$36)))))</f>
        <v>4</v>
      </c>
      <c r="G180">
        <f>SUMPRODUCT((ISNUMBER(SEARCH($Y3,Dienstplan!$B$25:$B$36))*(ISNUMBER(SEARCH($AB$7,Dienstplan!$EZ$25:$GD$36)))))-H180</f>
        <v>0</v>
      </c>
      <c r="H180">
        <f>SUMPRODUCT((ISNUMBER(SEARCH($Y3,Dienstplan!$B$25:$B$36))*(ISNUMBER(SEARCH($AB$8,Dienstplan!$EZ$25:$GD$36)))))</f>
        <v>0</v>
      </c>
      <c r="I180">
        <f>SUMPRODUCT((ISNUMBER(SEARCH($Y3,Dienstplan!$B$25:$B$36))*(ISNUMBER(SEARCH($AB$9,Dienstplan!$EZ$25:$GD$36)))))</f>
        <v>0</v>
      </c>
      <c r="J180">
        <f>SUMPRODUCT((ISNUMBER(SEARCH($Y3,Dienstplan!$B$25:$B$36))*(ISNUMBER(SEARCH($AB$10,Dienstplan!$EZ$25:$GD$36)))))</f>
        <v>0</v>
      </c>
      <c r="K180">
        <f>SUMPRODUCT((ISNUMBER(SEARCH($Y3,Dienstplan!$B$25:$B$36))*(ISNUMBER(SEARCH($AB$11,Dienstplan!$EZ$25:$GD$36)))))-$Q180</f>
        <v>0</v>
      </c>
      <c r="L180">
        <f>SUMPRODUCT((ISNUMBER(SEARCH($Y3,Dienstplan!$B$25:$B$36))*(ISNUMBER(SEARCH($AB$12,Dienstplan!$EZ$25:$GD$36)))))</f>
        <v>0</v>
      </c>
      <c r="M180">
        <f>SUMPRODUCT((ISNUMBER(SEARCH($Y3,Dienstplan!$B$25:$B$36))*(ISNUMBER(SEARCH($AB$13,Dienstplan!$EZ$25:$GD$36)))))</f>
        <v>0</v>
      </c>
      <c r="N180">
        <f>SUMPRODUCT((ISNUMBER(SEARCH($Y3,Dienstplan!$B$25:$B$36))*(ISNUMBER(SEARCH($AB$14,Dienstplan!$EZ$25:$GD$36)))))</f>
        <v>0</v>
      </c>
      <c r="O180">
        <f>SUMPRODUCT((ISNUMBER(SEARCH($Y3,Dienstplan!$B$25:$B$36))*(ISNUMBER(SEARCH($AB$15,Dienstplan!$EZ$25:$GD$36)))))</f>
        <v>0</v>
      </c>
      <c r="P180">
        <f>SUMPRODUCT((ISNUMBER(SEARCH($Y3,Dienstplan!$B$25:$B$36))*(ISNUMBER(SEARCH($AB$16,Dienstplan!$EZ$25:$GD$36)))))</f>
        <v>0</v>
      </c>
      <c r="Q180">
        <f>SUMPRODUCT((ISNUMBER(SEARCH($Y3,Dienstplan!$B$25:$B$36))*(ISNUMBER(SEARCH($AB$17,Dienstplan!$EZ$25:$GD$36)))))</f>
        <v>0</v>
      </c>
      <c r="R180">
        <f>SUMPRODUCT((ISNUMBER(SEARCH($Y3,Dienstplan!$B$25:$B$36))*(ISNUMBER(SEARCH($AB$18,Dienstplan!$EZ$25:$GD$36)))))</f>
        <v>0</v>
      </c>
      <c r="S180" s="11">
        <f>SUMPRODUCT((ISNUMBER(SEARCH($Y3,Dienstplan!$B$25:$B$36))*(ISNUMBER(SEARCH($AB$19,Dienstplan!$EZ$25:$GD$36)))))</f>
        <v>0</v>
      </c>
      <c r="T180">
        <f t="shared" ref="T180:T190" si="59">SUM($F$178*$Z3)</f>
        <v>152</v>
      </c>
      <c r="U180" s="14">
        <f>SUM($C180*Frueh_1+$D180*Spaet_1+$E180*Nacht_1+$F180*Normal_1+$I180*Sonderd_1-$J180*Velten+$K180*Velten+$L180*EH_Kurs+$M180*Koor_taet+$N180*Sekre_1+$O180*Velten+$R180*Velten+$P180*Velten+$Q180*Velten+G180*Velt_M+H180*Velt_M)</f>
        <v>15</v>
      </c>
      <c r="V180" s="11">
        <f>SUM($U180-$T180)</f>
        <v>-137</v>
      </c>
      <c r="W180" s="20">
        <f t="shared" ref="W180:W190" si="60">V180+W164</f>
        <v>-888.75</v>
      </c>
    </row>
    <row r="181" spans="1:23" x14ac:dyDescent="0.25">
      <c r="A181" s="11"/>
      <c r="B181" s="27" t="str">
        <f t="shared" si="58"/>
        <v>Siebert</v>
      </c>
      <c r="C181">
        <f>SUMPRODUCT((ISNUMBER(SEARCH($Y4,Dienstplan!$B$25:$B$36))*(ISNUMBER(SEARCH($AB$3,Dienstplan!$EZ$25:$GD$36)))))-D181</f>
        <v>0</v>
      </c>
      <c r="D181">
        <f>SUMPRODUCT((ISNUMBER(SEARCH($Y4,Dienstplan!$B$25:$B$36))*(ISNUMBER(SEARCH($AB$4,Dienstplan!$EZ$25:$GD$36)))))</f>
        <v>0</v>
      </c>
      <c r="E181">
        <f>SUMPRODUCT((ISNUMBER(SEARCH($Y4,Dienstplan!$B$25:$B$36))*(ISNUMBER(SEARCH($AB$5,Dienstplan!$EY$25:$GD$36)))))</f>
        <v>0</v>
      </c>
      <c r="F181">
        <f>SUMPRODUCT((ISNUMBER(SEARCH($Y4,Dienstplan!$B$25:$B$36))*(ISNUMBER(SEARCH($AB$6,Dienstplan!$EZ$25:$GD$36)))))</f>
        <v>5</v>
      </c>
      <c r="G181">
        <f>SUMPRODUCT((ISNUMBER(SEARCH($Y4,Dienstplan!$B$25:$B$36))*(ISNUMBER(SEARCH($AB$7,Dienstplan!$EZ$25:$GD$36)))))-H181</f>
        <v>0</v>
      </c>
      <c r="H181">
        <f>SUMPRODUCT((ISNUMBER(SEARCH($Y4,Dienstplan!$B$25:$B$36))*(ISNUMBER(SEARCH($AB$8,Dienstplan!$EZ$25:$GD$36)))))</f>
        <v>0</v>
      </c>
      <c r="I181">
        <f>SUMPRODUCT((ISNUMBER(SEARCH($Y4,Dienstplan!$B$25:$B$36))*(ISNUMBER(SEARCH($AB$9,Dienstplan!$EZ$25:$GD$36)))))</f>
        <v>0</v>
      </c>
      <c r="J181">
        <f>SUMPRODUCT((ISNUMBER(SEARCH($Y4,Dienstplan!$B$25:$B$36))*(ISNUMBER(SEARCH($AB$10,Dienstplan!$EZ$25:$GD$36)))))</f>
        <v>0</v>
      </c>
      <c r="K181">
        <f>SUMPRODUCT((ISNUMBER(SEARCH($Y4,Dienstplan!$B$25:$B$36))*(ISNUMBER(SEARCH($AB$11,Dienstplan!$EZ$25:$GD$36)))))-$Q181</f>
        <v>7</v>
      </c>
      <c r="L181">
        <f>SUMPRODUCT((ISNUMBER(SEARCH($Y4,Dienstplan!$B$25:$B$36))*(ISNUMBER(SEARCH($AB$12,Dienstplan!$EZ$25:$GD$36)))))</f>
        <v>0</v>
      </c>
      <c r="M181">
        <f>SUMPRODUCT((ISNUMBER(SEARCH($Y4,Dienstplan!$B$25:$B$36))*(ISNUMBER(SEARCH($AB$13,Dienstplan!$EZ$25:$GD$36)))))</f>
        <v>0</v>
      </c>
      <c r="N181">
        <f>SUMPRODUCT((ISNUMBER(SEARCH($Y4,Dienstplan!$B$25:$B$36))*(ISNUMBER(SEARCH($AB$14,Dienstplan!$EZ$25:$GD$36)))))</f>
        <v>0</v>
      </c>
      <c r="O181">
        <f>SUMPRODUCT((ISNUMBER(SEARCH($Y4,Dienstplan!$B$25:$B$36))*(ISNUMBER(SEARCH($AB$15,Dienstplan!$EZ$25:$GD$36)))))</f>
        <v>0</v>
      </c>
      <c r="P181">
        <f>SUMPRODUCT((ISNUMBER(SEARCH($Y4,Dienstplan!$B$25:$B$36))*(ISNUMBER(SEARCH($AB$16,Dienstplan!$EZ$25:$GD$36)))))</f>
        <v>0</v>
      </c>
      <c r="Q181">
        <f>SUMPRODUCT((ISNUMBER(SEARCH($Y4,Dienstplan!$B$25:$B$36))*(ISNUMBER(SEARCH($AB$17,Dienstplan!$EZ$25:$GD$36)))))</f>
        <v>0</v>
      </c>
      <c r="R181">
        <f>SUMPRODUCT((ISNUMBER(SEARCH($Y4,Dienstplan!$B$25:$B$36))*(ISNUMBER(SEARCH($AB$18,Dienstplan!$EZ$25:$GD$36)))))</f>
        <v>0</v>
      </c>
      <c r="S181" s="11">
        <f>SUMPRODUCT((ISNUMBER(SEARCH($Y4,Dienstplan!$B$25:$B$36))*(ISNUMBER(SEARCH($AB$19,Dienstplan!$EZ$25:$GD$36)))))</f>
        <v>1</v>
      </c>
      <c r="T181">
        <f t="shared" si="59"/>
        <v>133</v>
      </c>
      <c r="U181" s="14">
        <f>SUM($C181*Frueh_1+$D181*Spaet_1+$E181*Nacht_1+$F181*Normal_1+$I181*Sonderd_1-$J181*Brue_H+$K181*Brue_H+$L181*EH_Kurs+$M181*Koor_taet+$N181*Sekre_1+$O181*Brue_H+$R181*Brue_H+$P181*Brue_H+$Q181*Brue_H+G181*Brue_H+H181*Brue_H)</f>
        <v>86.5</v>
      </c>
      <c r="V181" s="11">
        <f t="shared" ref="V181:V190" si="61">SUM($U181-$T181)</f>
        <v>-46.5</v>
      </c>
      <c r="W181" s="20">
        <f t="shared" si="60"/>
        <v>-618.25</v>
      </c>
    </row>
    <row r="182" spans="1:23" x14ac:dyDescent="0.25">
      <c r="A182" s="11"/>
      <c r="B182" s="27" t="str">
        <f t="shared" si="58"/>
        <v>Jochim</v>
      </c>
      <c r="C182">
        <f>SUMPRODUCT((ISNUMBER(SEARCH($Y5,Dienstplan!$B$25:$B$36))*(ISNUMBER(SEARCH($AB$3,Dienstplan!$EZ$25:$GD$36)))))-D182</f>
        <v>0</v>
      </c>
      <c r="D182">
        <f>SUMPRODUCT((ISNUMBER(SEARCH($Y5,Dienstplan!$B$25:$B$36))*(ISNUMBER(SEARCH($AB$4,Dienstplan!$EZ$25:$GD$36)))))</f>
        <v>0</v>
      </c>
      <c r="E182">
        <f>SUMPRODUCT((ISNUMBER(SEARCH($Y5,Dienstplan!$B$25:$B$36))*(ISNUMBER(SEARCH($AB$5,Dienstplan!$EY$25:$GD$36)))))</f>
        <v>0</v>
      </c>
      <c r="F182">
        <f>SUMPRODUCT((ISNUMBER(SEARCH($Y5,Dienstplan!$B$25:$B$36))*(ISNUMBER(SEARCH($AB$6,Dienstplan!$EZ$25:$GD$36)))))</f>
        <v>0</v>
      </c>
      <c r="G182">
        <f>SUMPRODUCT((ISNUMBER(SEARCH($Y5,Dienstplan!$B$25:$B$36))*(ISNUMBER(SEARCH($AB$7,Dienstplan!$EZ$25:$GD$36)))))-H182</f>
        <v>0</v>
      </c>
      <c r="H182">
        <f>SUMPRODUCT((ISNUMBER(SEARCH($Y5,Dienstplan!$B$25:$B$36))*(ISNUMBER(SEARCH($AB$8,Dienstplan!$EZ$25:$GD$36)))))</f>
        <v>0</v>
      </c>
      <c r="I182">
        <f>SUMPRODUCT((ISNUMBER(SEARCH($Y5,Dienstplan!$B$25:$B$36))*(ISNUMBER(SEARCH($AB$9,Dienstplan!$EZ$25:$GD$36)))))</f>
        <v>0</v>
      </c>
      <c r="J182">
        <f>SUMPRODUCT((ISNUMBER(SEARCH($Y5,Dienstplan!$B$25:$B$36))*(ISNUMBER(SEARCH($AB$10,Dienstplan!$EZ$25:$GD$36)))))</f>
        <v>0</v>
      </c>
      <c r="K182">
        <f>SUMPRODUCT((ISNUMBER(SEARCH($Y5,Dienstplan!$B$25:$B$36))*(ISNUMBER(SEARCH($AB$11,Dienstplan!$EZ$25:$GD$36)))))-$Q182</f>
        <v>0</v>
      </c>
      <c r="L182">
        <f>SUMPRODUCT((ISNUMBER(SEARCH($Y5,Dienstplan!$B$25:$B$36))*(ISNUMBER(SEARCH($AB$12,Dienstplan!$EZ$25:$GD$36)))))</f>
        <v>0</v>
      </c>
      <c r="M182">
        <f>SUMPRODUCT((ISNUMBER(SEARCH($Y5,Dienstplan!$B$25:$B$36))*(ISNUMBER(SEARCH($AB$13,Dienstplan!$EZ$25:$GD$36)))))</f>
        <v>0</v>
      </c>
      <c r="N182">
        <f>SUMPRODUCT((ISNUMBER(SEARCH($Y5,Dienstplan!$B$25:$B$36))*(ISNUMBER(SEARCH($AB$14,Dienstplan!$EZ$25:$GD$36)))))</f>
        <v>0</v>
      </c>
      <c r="O182">
        <f>SUMPRODUCT((ISNUMBER(SEARCH($Y5,Dienstplan!$B$25:$B$36))*(ISNUMBER(SEARCH($AB$15,Dienstplan!$EZ$25:$GD$36)))))</f>
        <v>0</v>
      </c>
      <c r="P182">
        <f>SUMPRODUCT((ISNUMBER(SEARCH($Y5,Dienstplan!$B$25:$B$36))*(ISNUMBER(SEARCH($AB$16,Dienstplan!$EZ$25:$GD$36)))))</f>
        <v>0</v>
      </c>
      <c r="Q182">
        <f>SUMPRODUCT((ISNUMBER(SEARCH($Y5,Dienstplan!$B$25:$B$36))*(ISNUMBER(SEARCH($AB$17,Dienstplan!$EZ$25:$GD$36)))))</f>
        <v>0</v>
      </c>
      <c r="R182">
        <f>SUMPRODUCT((ISNUMBER(SEARCH($Y5,Dienstplan!$B$25:$B$36))*(ISNUMBER(SEARCH($AB$18,Dienstplan!$EZ$25:$GD$36)))))</f>
        <v>0</v>
      </c>
      <c r="S182" s="11">
        <f>SUMPRODUCT((ISNUMBER(SEARCH($Y5,Dienstplan!$B$25:$B$36))*(ISNUMBER(SEARCH($AB$19,Dienstplan!$EZ$25:$GD$36)))))</f>
        <v>0</v>
      </c>
      <c r="T182">
        <f t="shared" si="59"/>
        <v>133</v>
      </c>
      <c r="U182" s="14">
        <f>SUM($C182*Frueh_1+$D182*Spaet_1+$E182*Nacht_1+$F182*Normal_1+$I182*Sonderd_1-$J182*Rath_M+$K182*Rath_M+$L182*EH_Kurs+$M182*Koor_taet+$N182*Sekre_1+$O182*Rath_M+$R182*Rath_M+$P182*Rath_M+$Q182*Rath_M+G182*Rath_M+H182*Rath_M)</f>
        <v>0</v>
      </c>
      <c r="V182" s="11">
        <f t="shared" si="61"/>
        <v>-133</v>
      </c>
      <c r="W182" s="20">
        <f t="shared" si="60"/>
        <v>-1481</v>
      </c>
    </row>
    <row r="183" spans="1:23" x14ac:dyDescent="0.25">
      <c r="A183" s="11"/>
      <c r="B183" s="27" t="str">
        <f t="shared" si="58"/>
        <v>Wunsch</v>
      </c>
      <c r="C183">
        <f>SUMPRODUCT((ISNUMBER(SEARCH($Y6,Dienstplan!$B$25:$B$36))*(ISNUMBER(SEARCH($AB$3,Dienstplan!$EZ$25:$GD$36)))))-D183</f>
        <v>0</v>
      </c>
      <c r="D183">
        <f>SUMPRODUCT((ISNUMBER(SEARCH($Y6,Dienstplan!$B$25:$B$36))*(ISNUMBER(SEARCH($AB$4,Dienstplan!$EZ$25:$GD$36)))))</f>
        <v>0</v>
      </c>
      <c r="E183">
        <f>SUMPRODUCT((ISNUMBER(SEARCH($Y6,Dienstplan!$B$25:$B$36))*(ISNUMBER(SEARCH($AB$5,Dienstplan!$EY$25:$GD$36)))))</f>
        <v>0</v>
      </c>
      <c r="F183">
        <f>SUMPRODUCT((ISNUMBER(SEARCH($Y6,Dienstplan!$B$25:$B$36))*(ISNUMBER(SEARCH($AB$6,Dienstplan!$EZ$25:$GD$36)))))</f>
        <v>0</v>
      </c>
      <c r="G183">
        <f>SUMPRODUCT((ISNUMBER(SEARCH($Y6,Dienstplan!$B$25:$B$36))*(ISNUMBER(SEARCH($AB$7,Dienstplan!$EZ$25:$GD$36)))))-H183</f>
        <v>0</v>
      </c>
      <c r="H183">
        <f>SUMPRODUCT((ISNUMBER(SEARCH($Y6,Dienstplan!$B$25:$B$36))*(ISNUMBER(SEARCH($AB$8,Dienstplan!$EZ$25:$GD$36)))))</f>
        <v>0</v>
      </c>
      <c r="I183">
        <f>SUMPRODUCT((ISNUMBER(SEARCH($Y6,Dienstplan!$B$25:$B$36))*(ISNUMBER(SEARCH($AB$9,Dienstplan!$EZ$25:$GD$36)))))</f>
        <v>0</v>
      </c>
      <c r="J183">
        <f>SUMPRODUCT((ISNUMBER(SEARCH($Y6,Dienstplan!$B$25:$B$36))*(ISNUMBER(SEARCH($AB$10,Dienstplan!$EZ$25:$GD$36)))))</f>
        <v>0</v>
      </c>
      <c r="K183">
        <f>SUMPRODUCT((ISNUMBER(SEARCH($Y6,Dienstplan!$B$25:$B$36))*(ISNUMBER(SEARCH($AB$11,Dienstplan!$EZ$25:$GD$36)))))-$Q183</f>
        <v>1</v>
      </c>
      <c r="L183">
        <f>SUMPRODUCT((ISNUMBER(SEARCH($Y6,Dienstplan!$B$25:$B$36))*(ISNUMBER(SEARCH($AB$12,Dienstplan!$EZ$25:$GD$36)))))</f>
        <v>0</v>
      </c>
      <c r="M183">
        <f>SUMPRODUCT((ISNUMBER(SEARCH($Y6,Dienstplan!$B$25:$B$36))*(ISNUMBER(SEARCH($AB$13,Dienstplan!$EZ$25:$GD$36)))))</f>
        <v>0</v>
      </c>
      <c r="N183">
        <f>SUMPRODUCT((ISNUMBER(SEARCH($Y6,Dienstplan!$B$25:$B$36))*(ISNUMBER(SEARCH($AB$14,Dienstplan!$EZ$25:$GD$36)))))</f>
        <v>0</v>
      </c>
      <c r="O183">
        <f>SUMPRODUCT((ISNUMBER(SEARCH($Y6,Dienstplan!$B$25:$B$36))*(ISNUMBER(SEARCH($AB$15,Dienstplan!$EZ$25:$GD$36)))))</f>
        <v>0</v>
      </c>
      <c r="P183">
        <f>SUMPRODUCT((ISNUMBER(SEARCH($Y6,Dienstplan!$B$25:$B$36))*(ISNUMBER(SEARCH($AB$16,Dienstplan!$EZ$25:$GD$36)))))</f>
        <v>0</v>
      </c>
      <c r="Q183">
        <f>SUMPRODUCT((ISNUMBER(SEARCH($Y6,Dienstplan!$B$25:$B$36))*(ISNUMBER(SEARCH($AB$17,Dienstplan!$EZ$25:$GD$36)))))</f>
        <v>0</v>
      </c>
      <c r="R183">
        <f>SUMPRODUCT((ISNUMBER(SEARCH($Y6,Dienstplan!$B$25:$B$36))*(ISNUMBER(SEARCH($AB$18,Dienstplan!$EZ$25:$GD$36)))))</f>
        <v>0</v>
      </c>
      <c r="S183" s="11">
        <f>SUMPRODUCT((ISNUMBER(SEARCH($Y6,Dienstplan!$B$25:$B$36))*(ISNUMBER(SEARCH($AB$19,Dienstplan!$EZ$25:$GD$36)))))</f>
        <v>0</v>
      </c>
      <c r="T183">
        <f t="shared" si="59"/>
        <v>152</v>
      </c>
      <c r="U183" s="14">
        <f>SUM($C183*Frueh_1+$D183*Spaet_1+$E183*Nacht_1+$F183*Normal_1+$I183*Sonderd_1-$J183*Scho_K+$K183*Scho_K+$L183*EH_Kurs+$M183*Koor_taet+$N183*Sekre_1+$O183*Scho_K+$R183*Scho_K+$P183*Scho_K+$Q183*Scho_K*G183+Scho_K*H183+Scho_K)</f>
        <v>16</v>
      </c>
      <c r="V183" s="11">
        <f t="shared" si="61"/>
        <v>-136</v>
      </c>
      <c r="W183" s="20">
        <f t="shared" si="60"/>
        <v>-886.25</v>
      </c>
    </row>
    <row r="184" spans="1:23" x14ac:dyDescent="0.25">
      <c r="A184" s="11"/>
      <c r="B184" s="27" t="str">
        <f t="shared" si="58"/>
        <v>Göpfrich</v>
      </c>
      <c r="C184">
        <f>SUMPRODUCT((ISNUMBER(SEARCH($Y7,Dienstplan!$B$25:$B$36))*(ISNUMBER(SEARCH($AB$3,Dienstplan!$EZ$25:$GD$36)))))-D184</f>
        <v>0</v>
      </c>
      <c r="D184">
        <f>SUMPRODUCT((ISNUMBER(SEARCH($Y7,Dienstplan!$B$25:$B$36))*(ISNUMBER(SEARCH($AB$4,Dienstplan!$EZ$25:$GD$36)))))</f>
        <v>0</v>
      </c>
      <c r="E184">
        <f>SUMPRODUCT((ISNUMBER(SEARCH($Y7,Dienstplan!$B$25:$B$36))*(ISNUMBER(SEARCH($AB$5,Dienstplan!$EY$25:$GD$36)))))</f>
        <v>0</v>
      </c>
      <c r="F184">
        <f>SUMPRODUCT((ISNUMBER(SEARCH($Y7,Dienstplan!$B$25:$B$36))*(ISNUMBER(SEARCH($AB$6,Dienstplan!$EZ$25:$GD$36)))))</f>
        <v>3</v>
      </c>
      <c r="G184">
        <f>SUMPRODUCT((ISNUMBER(SEARCH($Y7,Dienstplan!$B$25:$B$36))*(ISNUMBER(SEARCH($AB$7,Dienstplan!$EZ$25:$GD$36)))))-H184</f>
        <v>0</v>
      </c>
      <c r="H184">
        <f>SUMPRODUCT((ISNUMBER(SEARCH($Y7,Dienstplan!$B$25:$B$36))*(ISNUMBER(SEARCH($AB$8,Dienstplan!$EZ$25:$GD$36)))))</f>
        <v>0</v>
      </c>
      <c r="I184">
        <f>SUMPRODUCT((ISNUMBER(SEARCH($Y7,Dienstplan!$B$25:$B$36))*(ISNUMBER(SEARCH($AB$9,Dienstplan!$EZ$25:$GD$36)))))</f>
        <v>0</v>
      </c>
      <c r="J184">
        <f>SUMPRODUCT((ISNUMBER(SEARCH($Y7,Dienstplan!$B$25:$B$36))*(ISNUMBER(SEARCH($AB$10,Dienstplan!$EZ$25:$GD$36)))))</f>
        <v>0</v>
      </c>
      <c r="K184">
        <f>SUMPRODUCT((ISNUMBER(SEARCH($Y7,Dienstplan!$B$25:$B$36))*(ISNUMBER(SEARCH($AB$11,Dienstplan!$EZ$25:$GD$36)))))-$Q184</f>
        <v>6</v>
      </c>
      <c r="L184">
        <f>SUMPRODUCT((ISNUMBER(SEARCH($Y7,Dienstplan!$B$25:$B$36))*(ISNUMBER(SEARCH($AB$12,Dienstplan!$EZ$25:$GD$36)))))</f>
        <v>0</v>
      </c>
      <c r="M184">
        <f>SUMPRODUCT((ISNUMBER(SEARCH($Y7,Dienstplan!$B$25:$B$36))*(ISNUMBER(SEARCH($AB$13,Dienstplan!$EZ$25:$GD$36)))))</f>
        <v>0</v>
      </c>
      <c r="N184">
        <f>SUMPRODUCT((ISNUMBER(SEARCH($Y7,Dienstplan!$B$25:$B$36))*(ISNUMBER(SEARCH($AB$14,Dienstplan!$EZ$25:$GD$36)))))</f>
        <v>0</v>
      </c>
      <c r="O184">
        <f>SUMPRODUCT((ISNUMBER(SEARCH($Y7,Dienstplan!$B$25:$B$36))*(ISNUMBER(SEARCH($AB$15,Dienstplan!$EZ$25:$GD$36)))))</f>
        <v>0</v>
      </c>
      <c r="P184">
        <f>SUMPRODUCT((ISNUMBER(SEARCH($Y7,Dienstplan!$B$25:$B$36))*(ISNUMBER(SEARCH($AB$16,Dienstplan!$EZ$25:$GD$36)))))</f>
        <v>0</v>
      </c>
      <c r="Q184">
        <f>SUMPRODUCT((ISNUMBER(SEARCH($Y7,Dienstplan!$B$25:$B$36))*(ISNUMBER(SEARCH($AB$17,Dienstplan!$EZ$25:$GD$36)))))</f>
        <v>0</v>
      </c>
      <c r="R184">
        <f>SUMPRODUCT((ISNUMBER(SEARCH($Y7,Dienstplan!$B$25:$B$36))*(ISNUMBER(SEARCH($AB$18,Dienstplan!$EZ$25:$GD$36)))))</f>
        <v>0</v>
      </c>
      <c r="S184" s="11">
        <f>SUMPRODUCT((ISNUMBER(SEARCH($Y7,Dienstplan!$B$25:$B$36))*(ISNUMBER(SEARCH($AB$19,Dienstplan!$EZ$25:$GD$36)))))</f>
        <v>1</v>
      </c>
      <c r="T184">
        <f t="shared" si="59"/>
        <v>133</v>
      </c>
      <c r="U184" s="14">
        <f>SUM($C184*Frueh_1+$D184*Spaet_1+$E184*Nacht_1+$F184*Normal_1+$I184*Sonderd_1-$J184*Krie_B+$K184*Krie_B+$L184*EH_Kurs+$M184*Koor_taet+$N184*Sekre_1+$O184*Krie_B+$R184*Krie_B+$P184*Krie_B+$Q184*Krie_B*G184+Krie_B*H184+Krie_B)</f>
        <v>71.5</v>
      </c>
      <c r="V184" s="11">
        <f t="shared" si="61"/>
        <v>-61.5</v>
      </c>
      <c r="W184" s="20">
        <f t="shared" si="60"/>
        <v>-693.75</v>
      </c>
    </row>
    <row r="185" spans="1:23" x14ac:dyDescent="0.25">
      <c r="A185" s="11"/>
      <c r="B185" s="27" t="str">
        <f t="shared" si="58"/>
        <v>Zeller</v>
      </c>
      <c r="C185">
        <f>SUMPRODUCT((ISNUMBER(SEARCH($Y8,Dienstplan!$B$25:$B$36))*(ISNUMBER(SEARCH($AB$3,Dienstplan!$EZ$25:$GD$36)))))-D185</f>
        <v>0</v>
      </c>
      <c r="D185">
        <f>SUMPRODUCT((ISNUMBER(SEARCH($Y8,Dienstplan!$B$25:$B$36))*(ISNUMBER(SEARCH($AB$4,Dienstplan!$EZ$25:$GD$36)))))</f>
        <v>0</v>
      </c>
      <c r="E185">
        <f>SUMPRODUCT((ISNUMBER(SEARCH($Y8,Dienstplan!$B$25:$B$36))*(ISNUMBER(SEARCH($AB$5,Dienstplan!$EY$25:$GD$36)))))</f>
        <v>0</v>
      </c>
      <c r="F185">
        <f>SUMPRODUCT((ISNUMBER(SEARCH($Y8,Dienstplan!$B$25:$B$36))*(ISNUMBER(SEARCH($AB$6,Dienstplan!$EZ$25:$GD$36)))))</f>
        <v>5</v>
      </c>
      <c r="G185">
        <f>SUMPRODUCT((ISNUMBER(SEARCH($Y8,Dienstplan!$B$25:$B$36))*(ISNUMBER(SEARCH($AB$7,Dienstplan!$EZ$25:$GD$36)))))-H185</f>
        <v>0</v>
      </c>
      <c r="H185">
        <f>SUMPRODUCT((ISNUMBER(SEARCH($Y8,Dienstplan!$B$25:$B$36))*(ISNUMBER(SEARCH($AB$8,Dienstplan!$EZ$25:$GD$36)))))</f>
        <v>0</v>
      </c>
      <c r="I185">
        <f>SUMPRODUCT((ISNUMBER(SEARCH($Y8,Dienstplan!$B$25:$B$36))*(ISNUMBER(SEARCH($AB$9,Dienstplan!$EZ$25:$GD$36)))))</f>
        <v>0</v>
      </c>
      <c r="J185">
        <f>SUMPRODUCT((ISNUMBER(SEARCH($Y8,Dienstplan!$B$25:$B$36))*(ISNUMBER(SEARCH($AB$10,Dienstplan!$EZ$25:$GD$36)))))</f>
        <v>0</v>
      </c>
      <c r="K185">
        <f>SUMPRODUCT((ISNUMBER(SEARCH($Y8,Dienstplan!$B$25:$B$36))*(ISNUMBER(SEARCH($AB$11,Dienstplan!$EZ$25:$GD$36)))))-$Q185</f>
        <v>0</v>
      </c>
      <c r="L185">
        <f>SUMPRODUCT((ISNUMBER(SEARCH($Y8,Dienstplan!$B$25:$B$36))*(ISNUMBER(SEARCH($AB$12,Dienstplan!$EZ$25:$GD$36)))))</f>
        <v>0</v>
      </c>
      <c r="M185">
        <f>SUMPRODUCT((ISNUMBER(SEARCH($Y8,Dienstplan!$B$25:$B$36))*(ISNUMBER(SEARCH($AB$13,Dienstplan!$EZ$25:$GD$36)))))</f>
        <v>0</v>
      </c>
      <c r="N185">
        <f>SUMPRODUCT((ISNUMBER(SEARCH($Y8,Dienstplan!$B$25:$B$36))*(ISNUMBER(SEARCH($AB$14,Dienstplan!$EZ$25:$GD$36)))))</f>
        <v>0</v>
      </c>
      <c r="O185">
        <f>SUMPRODUCT((ISNUMBER(SEARCH($Y8,Dienstplan!$B$25:$B$36))*(ISNUMBER(SEARCH($AB$15,Dienstplan!$EZ$25:$GD$36)))))</f>
        <v>0</v>
      </c>
      <c r="P185">
        <f>SUMPRODUCT((ISNUMBER(SEARCH($Y8,Dienstplan!$B$25:$B$36))*(ISNUMBER(SEARCH($AB$16,Dienstplan!$EZ$25:$GD$36)))))</f>
        <v>0</v>
      </c>
      <c r="Q185">
        <f>SUMPRODUCT((ISNUMBER(SEARCH($Y8,Dienstplan!$B$25:$B$36))*(ISNUMBER(SEARCH($AB$17,Dienstplan!$EZ$25:$GD$36)))))</f>
        <v>0</v>
      </c>
      <c r="R185">
        <f>SUMPRODUCT((ISNUMBER(SEARCH($Y8,Dienstplan!$B$25:$B$36))*(ISNUMBER(SEARCH($AB$18,Dienstplan!$EZ$25:$GD$36)))))</f>
        <v>0</v>
      </c>
      <c r="S185" s="11">
        <f>SUMPRODUCT((ISNUMBER(SEARCH($Y8,Dienstplan!$B$25:$B$36))*(ISNUMBER(SEARCH($AB$19,Dienstplan!$EZ$25:$GD$36)))))</f>
        <v>1</v>
      </c>
      <c r="T185">
        <f t="shared" si="59"/>
        <v>152</v>
      </c>
      <c r="U185" s="14">
        <f>SUM($C185*Frueh_1+$D185*Spaet_1+$E185*Nacht_1+$F185*Normal_1+$I185*Sonderd_1-$J185*Muster+$K185*Muster+$L185*EH_Kurs+$M185*Koor_taet+$N185*Sekre_1+$O185*Muster+$P185*Muster+$Q185*Muster+$R185*Muster+G185*Muster+H185*Muster)</f>
        <v>37.5</v>
      </c>
      <c r="V185" s="11">
        <f t="shared" si="61"/>
        <v>-114.5</v>
      </c>
      <c r="W185" s="20">
        <f t="shared" si="60"/>
        <v>-959.25</v>
      </c>
    </row>
    <row r="186" spans="1:23" x14ac:dyDescent="0.25">
      <c r="A186" s="11"/>
      <c r="B186" s="27" t="str">
        <f t="shared" si="58"/>
        <v>Behrendt</v>
      </c>
      <c r="C186">
        <f>SUMPRODUCT((ISNUMBER(SEARCH($Y9,Dienstplan!$B$25:$B$36))*(ISNUMBER(SEARCH($AB$3,Dienstplan!$EZ$25:$GD$36)))))-D186</f>
        <v>0</v>
      </c>
      <c r="D186">
        <f>SUMPRODUCT((ISNUMBER(SEARCH($Y9,Dienstplan!$B$25:$B$36))*(ISNUMBER(SEARCH($AB$4,Dienstplan!$EZ$25:$GD$36)))))</f>
        <v>0</v>
      </c>
      <c r="E186">
        <f>SUMPRODUCT((ISNUMBER(SEARCH($Y9,Dienstplan!$B$25:$B$36))*(ISNUMBER(SEARCH($AB$5,Dienstplan!$EY$25:$GD$36)))))</f>
        <v>0</v>
      </c>
      <c r="F186">
        <f>SUMPRODUCT((ISNUMBER(SEARCH($Y9,Dienstplan!$B$25:$B$36))*(ISNUMBER(SEARCH($AB$6,Dienstplan!$EZ$25:$GD$36)))))</f>
        <v>0</v>
      </c>
      <c r="G186">
        <f>SUMPRODUCT((ISNUMBER(SEARCH($Y9,Dienstplan!$B$25:$B$36))*(ISNUMBER(SEARCH($AB$7,Dienstplan!$EZ$25:$GD$36)))))-H186</f>
        <v>0</v>
      </c>
      <c r="H186">
        <f>SUMPRODUCT((ISNUMBER(SEARCH($Y9,Dienstplan!$B$25:$B$36))*(ISNUMBER(SEARCH($AB$8,Dienstplan!$EZ$25:$GD$36)))))</f>
        <v>0</v>
      </c>
      <c r="I186">
        <f>SUMPRODUCT((ISNUMBER(SEARCH($Y9,Dienstplan!$B$25:$B$36))*(ISNUMBER(SEARCH($AB$9,Dienstplan!$EZ$25:$GD$36)))))</f>
        <v>0</v>
      </c>
      <c r="J186">
        <f>SUMPRODUCT((ISNUMBER(SEARCH($Y9,Dienstplan!$B$25:$B$36))*(ISNUMBER(SEARCH($AB$10,Dienstplan!$EZ$25:$GD$36)))))</f>
        <v>0</v>
      </c>
      <c r="K186">
        <f>SUMPRODUCT((ISNUMBER(SEARCH($Y9,Dienstplan!$B$25:$B$36))*(ISNUMBER(SEARCH($AB$11,Dienstplan!$EZ$25:$GD$36)))))-$Q186</f>
        <v>0</v>
      </c>
      <c r="L186">
        <f>SUMPRODUCT((ISNUMBER(SEARCH($Y9,Dienstplan!$B$25:$B$36))*(ISNUMBER(SEARCH($AB$12,Dienstplan!$EZ$25:$GD$36)))))</f>
        <v>0</v>
      </c>
      <c r="M186">
        <f>SUMPRODUCT((ISNUMBER(SEARCH($Y9,Dienstplan!$B$25:$B$36))*(ISNUMBER(SEARCH($AB$13,Dienstplan!$EZ$25:$GD$36)))))</f>
        <v>0</v>
      </c>
      <c r="N186">
        <f>SUMPRODUCT((ISNUMBER(SEARCH($Y9,Dienstplan!$B$25:$B$36))*(ISNUMBER(SEARCH($AB$14,Dienstplan!$EZ$25:$GD$36)))))</f>
        <v>0</v>
      </c>
      <c r="O186">
        <f>SUMPRODUCT((ISNUMBER(SEARCH($Y9,Dienstplan!$B$25:$B$36))*(ISNUMBER(SEARCH($AB$15,Dienstplan!$EZ$25:$GD$36)))))</f>
        <v>0</v>
      </c>
      <c r="P186">
        <f>SUMPRODUCT((ISNUMBER(SEARCH($Y9,Dienstplan!$B$25:$B$36))*(ISNUMBER(SEARCH($AB$16,Dienstplan!$EZ$25:$GD$36)))))</f>
        <v>0</v>
      </c>
      <c r="Q186">
        <f>SUMPRODUCT((ISNUMBER(SEARCH($Y9,Dienstplan!$B$25:$B$36))*(ISNUMBER(SEARCH($AB$17,Dienstplan!$EZ$25:$GD$36)))))</f>
        <v>0</v>
      </c>
      <c r="R186">
        <f>SUMPRODUCT((ISNUMBER(SEARCH($Y9,Dienstplan!$B$25:$B$36))*(ISNUMBER(SEARCH($AB$18,Dienstplan!$EZ$25:$GD$36)))))</f>
        <v>0</v>
      </c>
      <c r="S186" s="11">
        <f>SUMPRODUCT((ISNUMBER(SEARCH($Y9,Dienstplan!$B$25:$B$36))*(ISNUMBER(SEARCH($AB$19,Dienstplan!$EZ$25:$GD$36)))))</f>
        <v>0</v>
      </c>
      <c r="T186">
        <f t="shared" si="59"/>
        <v>133</v>
      </c>
      <c r="U186" s="14">
        <f>SUM($C186*Frueh_1+$D186*Spaet_1+$E186*Nacht_1+$F186*Normal_1+$I186*Sonderd_1-$J186*Muster+$K186*Muster+$L186*EH_Kurs+$M186*Koor_taet+$N186*Sekre_1+$O186*Muster+$P186*Muster+$Q186*Muster+$R186*Muster+G186*Muster+H186*Muster)</f>
        <v>0</v>
      </c>
      <c r="V186" s="11">
        <f t="shared" si="61"/>
        <v>-133</v>
      </c>
      <c r="W186" s="20">
        <f t="shared" si="60"/>
        <v>-792.45</v>
      </c>
    </row>
    <row r="187" spans="1:23" x14ac:dyDescent="0.25">
      <c r="A187" s="11"/>
      <c r="B187" s="27" t="str">
        <f t="shared" si="58"/>
        <v>Krempl</v>
      </c>
      <c r="C187">
        <f>SUMPRODUCT((ISNUMBER(SEARCH($Y10,Dienstplan!$B$25:$B$36))*(ISNUMBER(SEARCH($AB$3,Dienstplan!$EZ$25:$GD$36)))))-D187</f>
        <v>0</v>
      </c>
      <c r="D187">
        <f>SUMPRODUCT((ISNUMBER(SEARCH($Y10,Dienstplan!$B$25:$B$36))*(ISNUMBER(SEARCH($AB$4,Dienstplan!$EZ$25:$GD$36)))))</f>
        <v>0</v>
      </c>
      <c r="E187">
        <f>SUMPRODUCT((ISNUMBER(SEARCH($Y10,Dienstplan!$B$25:$B$36))*(ISNUMBER(SEARCH($AB$5,Dienstplan!$EY$25:$GD$36)))))</f>
        <v>0</v>
      </c>
      <c r="F187">
        <f>SUMPRODUCT((ISNUMBER(SEARCH($Y10,Dienstplan!$B$25:$B$36))*(ISNUMBER(SEARCH($AB$6,Dienstplan!$EZ$25:$GD$36)))))</f>
        <v>0</v>
      </c>
      <c r="G187">
        <f>SUMPRODUCT((ISNUMBER(SEARCH($Y10,Dienstplan!$B$25:$B$36))*(ISNUMBER(SEARCH($AB$7,Dienstplan!$EZ$25:$GD$36)))))-H187</f>
        <v>0</v>
      </c>
      <c r="H187">
        <f>SUMPRODUCT((ISNUMBER(SEARCH($Y10,Dienstplan!$B$25:$B$36))*(ISNUMBER(SEARCH($AB$8,Dienstplan!$EZ$25:$GD$36)))))</f>
        <v>0</v>
      </c>
      <c r="I187">
        <f>SUMPRODUCT((ISNUMBER(SEARCH($Y10,Dienstplan!$B$25:$B$36))*(ISNUMBER(SEARCH($AB$9,Dienstplan!$EZ$25:$GD$36)))))</f>
        <v>0</v>
      </c>
      <c r="J187">
        <f>SUMPRODUCT((ISNUMBER(SEARCH($Y10,Dienstplan!$B$25:$B$36))*(ISNUMBER(SEARCH($AB$10,Dienstplan!$EZ$25:$GD$36)))))</f>
        <v>0</v>
      </c>
      <c r="K187">
        <f>SUMPRODUCT((ISNUMBER(SEARCH($Y10,Dienstplan!$B$25:$B$36))*(ISNUMBER(SEARCH($AB$11,Dienstplan!$EZ$25:$GD$36)))))-$Q187</f>
        <v>6</v>
      </c>
      <c r="L187">
        <f>SUMPRODUCT((ISNUMBER(SEARCH($Y10,Dienstplan!$B$25:$B$36))*(ISNUMBER(SEARCH($AB$12,Dienstplan!$EZ$25:$GD$36)))))</f>
        <v>0</v>
      </c>
      <c r="M187">
        <f>SUMPRODUCT((ISNUMBER(SEARCH($Y10,Dienstplan!$B$25:$B$36))*(ISNUMBER(SEARCH($AB$13,Dienstplan!$EZ$25:$GD$36)))))</f>
        <v>0</v>
      </c>
      <c r="N187">
        <f>SUMPRODUCT((ISNUMBER(SEARCH($Y10,Dienstplan!$B$25:$B$36))*(ISNUMBER(SEARCH($AB$14,Dienstplan!$EZ$25:$GD$36)))))</f>
        <v>0</v>
      </c>
      <c r="O187">
        <f>SUMPRODUCT((ISNUMBER(SEARCH($Y10,Dienstplan!$B$25:$B$36))*(ISNUMBER(SEARCH($AB$15,Dienstplan!$EZ$25:$GD$36)))))</f>
        <v>1</v>
      </c>
      <c r="P187">
        <f>SUMPRODUCT((ISNUMBER(SEARCH($Y10,Dienstplan!$B$25:$B$36))*(ISNUMBER(SEARCH($AB$16,Dienstplan!$EZ$25:$GD$36)))))</f>
        <v>0</v>
      </c>
      <c r="Q187">
        <f>SUMPRODUCT((ISNUMBER(SEARCH($Y10,Dienstplan!$B$25:$B$36))*(ISNUMBER(SEARCH($AB$17,Dienstplan!$EZ$25:$GD$36)))))</f>
        <v>0</v>
      </c>
      <c r="R187">
        <f>SUMPRODUCT((ISNUMBER(SEARCH($Y10,Dienstplan!$B$25:$B$36))*(ISNUMBER(SEARCH($AB$18,Dienstplan!$EZ$25:$GD$36)))))</f>
        <v>0</v>
      </c>
      <c r="S187" s="11">
        <f>SUMPRODUCT((ISNUMBER(SEARCH($Y10,Dienstplan!$B$25:$B$36))*(ISNUMBER(SEARCH($AB$19,Dienstplan!$EZ$25:$GD$36)))))</f>
        <v>0</v>
      </c>
      <c r="T187">
        <f t="shared" si="59"/>
        <v>60.800000000000004</v>
      </c>
      <c r="U187" s="14">
        <f>SUM($C187*Frueh_1+$D187*Spaet_1+$E187*Nacht_1+$F187*Normal_1+$I187*Sonderd_1-$J187*Krem_E+$K187*Krem_E+$L187*EH_Kurs+$M187*Koor_taet+$N187*Sekre_1+$O187*Krem_E+$R187*Krem_E+$P187*Krem_E+$Q187*Krem_E+G187*Krem_E+H187*Krem_E)</f>
        <v>22.400000000000002</v>
      </c>
      <c r="V187" s="11">
        <f t="shared" si="61"/>
        <v>-38.400000000000006</v>
      </c>
      <c r="W187" s="20">
        <f t="shared" si="60"/>
        <v>-615.29999999999995</v>
      </c>
    </row>
    <row r="188" spans="1:23" x14ac:dyDescent="0.25">
      <c r="A188" s="11"/>
      <c r="B188" s="27" t="str">
        <f t="shared" si="58"/>
        <v>Putschler</v>
      </c>
      <c r="C188">
        <f>SUMPRODUCT((ISNUMBER(SEARCH($Y11,Dienstplan!$B$25:$B$36))*(ISNUMBER(SEARCH($AB$3,Dienstplan!$EZ$25:$GD$36)))))-D188</f>
        <v>0</v>
      </c>
      <c r="D188">
        <f>SUMPRODUCT((ISNUMBER(SEARCH($Y11,Dienstplan!$B$25:$B$36))*(ISNUMBER(SEARCH($AB$4,Dienstplan!$EZ$25:$GD$36)))))</f>
        <v>0</v>
      </c>
      <c r="E188">
        <f>SUMPRODUCT((ISNUMBER(SEARCH($Y11,Dienstplan!$B$25:$B$36))*(ISNUMBER(SEARCH($AB$5,Dienstplan!$EY$25:$GD$36)))))</f>
        <v>0</v>
      </c>
      <c r="F188">
        <f>SUMPRODUCT((ISNUMBER(SEARCH($Y11,Dienstplan!$B$25:$B$36))*(ISNUMBER(SEARCH($AB$6,Dienstplan!$EZ$25:$GD$36)))))</f>
        <v>0</v>
      </c>
      <c r="G188">
        <f>SUMPRODUCT((ISNUMBER(SEARCH($Y11,Dienstplan!$B$25:$B$36))*(ISNUMBER(SEARCH($AB$7,Dienstplan!$EZ$25:$GD$36)))))-H188</f>
        <v>0</v>
      </c>
      <c r="H188">
        <f>SUMPRODUCT((ISNUMBER(SEARCH($Y11,Dienstplan!$B$25:$B$36))*(ISNUMBER(SEARCH($AB$8,Dienstplan!$EZ$25:$GD$36)))))</f>
        <v>0</v>
      </c>
      <c r="I188">
        <f>SUMPRODUCT((ISNUMBER(SEARCH($Y11,Dienstplan!$B$25:$B$36))*(ISNUMBER(SEARCH($AB$9,Dienstplan!$EZ$25:$GD$36)))))</f>
        <v>0</v>
      </c>
      <c r="J188">
        <f>SUMPRODUCT((ISNUMBER(SEARCH($Y11,Dienstplan!$B$25:$B$36))*(ISNUMBER(SEARCH($AB$10,Dienstplan!$EZ$25:$GD$36)))))</f>
        <v>0</v>
      </c>
      <c r="K188">
        <f>SUMPRODUCT((ISNUMBER(SEARCH($Y11,Dienstplan!$B$25:$B$36))*(ISNUMBER(SEARCH($AB$11,Dienstplan!$EZ$25:$GD$36)))))-$Q188</f>
        <v>6</v>
      </c>
      <c r="L188">
        <f>SUMPRODUCT((ISNUMBER(SEARCH($Y11,Dienstplan!$B$25:$B$36))*(ISNUMBER(SEARCH($AB$12,Dienstplan!$EZ$25:$GD$36)))))</f>
        <v>0</v>
      </c>
      <c r="M188">
        <f>SUMPRODUCT((ISNUMBER(SEARCH($Y11,Dienstplan!$B$25:$B$36))*(ISNUMBER(SEARCH($AB$13,Dienstplan!$EZ$25:$GD$36)))))</f>
        <v>0</v>
      </c>
      <c r="N188">
        <f>SUMPRODUCT((ISNUMBER(SEARCH($Y11,Dienstplan!$B$25:$B$36))*(ISNUMBER(SEARCH($AB$14,Dienstplan!$EZ$25:$GD$36)))))</f>
        <v>0</v>
      </c>
      <c r="O188">
        <f>SUMPRODUCT((ISNUMBER(SEARCH($Y11,Dienstplan!$B$25:$B$36))*(ISNUMBER(SEARCH($AB$15,Dienstplan!$EZ$25:$GD$36)))))</f>
        <v>0</v>
      </c>
      <c r="P188">
        <f>SUMPRODUCT((ISNUMBER(SEARCH($Y11,Dienstplan!$B$25:$B$36))*(ISNUMBER(SEARCH($AB$16,Dienstplan!$EZ$25:$GD$36)))))</f>
        <v>0</v>
      </c>
      <c r="Q188">
        <f>SUMPRODUCT((ISNUMBER(SEARCH($Y11,Dienstplan!$B$25:$B$36))*(ISNUMBER(SEARCH($AB$17,Dienstplan!$EZ$25:$GD$36)))))</f>
        <v>0</v>
      </c>
      <c r="R188">
        <f>SUMPRODUCT((ISNUMBER(SEARCH($Y11,Dienstplan!$B$25:$B$36))*(ISNUMBER(SEARCH($AB$18,Dienstplan!$EZ$25:$GD$36)))))</f>
        <v>0</v>
      </c>
      <c r="S188" s="11">
        <f>SUMPRODUCT((ISNUMBER(SEARCH($Y11,Dienstplan!$B$25:$B$36))*(ISNUMBER(SEARCH($AB$19,Dienstplan!$EZ$25:$GD$36)))))</f>
        <v>0</v>
      </c>
      <c r="T188">
        <f t="shared" si="59"/>
        <v>152</v>
      </c>
      <c r="U188" s="14">
        <f>SUM($C188*Frueh_1+$D188*Spaet_1+$E188*Nacht_1+$F188*Normal_1+$I188*Sonderd_1-$J188*Put_W+$K188*Put_W+$L188*EH_Kurs+$M188*Koor_taet+$N188*Sekre_1+$O188*Put_W+$R188*Put_W+$P188*Put_W+$Q188*Put_W+G188*Put_W+H188*Put_W)</f>
        <v>48</v>
      </c>
      <c r="V188" s="11">
        <f t="shared" si="61"/>
        <v>-104</v>
      </c>
      <c r="W188" s="20">
        <f t="shared" si="60"/>
        <v>-1089.5</v>
      </c>
    </row>
    <row r="189" spans="1:23" x14ac:dyDescent="0.25">
      <c r="A189" s="11"/>
      <c r="B189" s="27" t="str">
        <f t="shared" si="58"/>
        <v>Schmidt</v>
      </c>
      <c r="C189">
        <f>SUMPRODUCT((ISNUMBER(SEARCH($Y12,Dienstplan!$B$25:$B$36))*(ISNUMBER(SEARCH($AB$3,Dienstplan!$EZ$25:$GD$36)))))-D189</f>
        <v>0</v>
      </c>
      <c r="D189">
        <f>SUMPRODUCT((ISNUMBER(SEARCH($Y12,Dienstplan!$B$25:$B$36))*(ISNUMBER(SEARCH($AB$4,Dienstplan!$EZ$25:$GD$36)))))</f>
        <v>0</v>
      </c>
      <c r="E189">
        <f>SUMPRODUCT((ISNUMBER(SEARCH($Y12,Dienstplan!$B$25:$B$36))*(ISNUMBER(SEARCH($AB$5,Dienstplan!$EY$25:$GD$36)))))</f>
        <v>0</v>
      </c>
      <c r="F189">
        <f>SUMPRODUCT((ISNUMBER(SEARCH($Y12,Dienstplan!$B$25:$B$36))*(ISNUMBER(SEARCH($AB$6,Dienstplan!$EZ$25:$GD$36)))))</f>
        <v>0</v>
      </c>
      <c r="G189">
        <f>SUMPRODUCT((ISNUMBER(SEARCH($Y12,Dienstplan!$B$25:$B$36))*(ISNUMBER(SEARCH($AB$7,Dienstplan!$EZ$25:$GD$36)))))-H189</f>
        <v>0</v>
      </c>
      <c r="H189">
        <f>SUMPRODUCT((ISNUMBER(SEARCH($Y12,Dienstplan!$B$25:$B$36))*(ISNUMBER(SEARCH($AB$8,Dienstplan!$EZ$25:$GD$36)))))</f>
        <v>0</v>
      </c>
      <c r="I189">
        <f>SUMPRODUCT((ISNUMBER(SEARCH($Y12,Dienstplan!$B$25:$B$36))*(ISNUMBER(SEARCH($AB$9,Dienstplan!$EZ$25:$GD$36)))))</f>
        <v>0</v>
      </c>
      <c r="J189">
        <f>SUMPRODUCT((ISNUMBER(SEARCH($Y12,Dienstplan!$B$25:$B$36))*(ISNUMBER(SEARCH($AB$10,Dienstplan!$EZ$25:$GD$36)))))</f>
        <v>0</v>
      </c>
      <c r="K189">
        <f>SUMPRODUCT((ISNUMBER(SEARCH($Y12,Dienstplan!$B$25:$B$36))*(ISNUMBER(SEARCH($AB$11,Dienstplan!$EZ$25:$GD$36)))))-$Q189</f>
        <v>1</v>
      </c>
      <c r="L189">
        <f>SUMPRODUCT((ISNUMBER(SEARCH($Y12,Dienstplan!$B$25:$B$36))*(ISNUMBER(SEARCH($AB$12,Dienstplan!$EZ$25:$GD$36)))))</f>
        <v>0</v>
      </c>
      <c r="M189">
        <f>SUMPRODUCT((ISNUMBER(SEARCH($Y12,Dienstplan!$B$25:$B$36))*(ISNUMBER(SEARCH($AB$13,Dienstplan!$EZ$25:$GD$36)))))</f>
        <v>0</v>
      </c>
      <c r="N189">
        <f>SUMPRODUCT((ISNUMBER(SEARCH($Y12,Dienstplan!$B$25:$B$36))*(ISNUMBER(SEARCH($AB$14,Dienstplan!$EZ$25:$GD$36)))))</f>
        <v>0</v>
      </c>
      <c r="O189">
        <f>SUMPRODUCT((ISNUMBER(SEARCH($Y12,Dienstplan!$B$25:$B$36))*(ISNUMBER(SEARCH($AB$15,Dienstplan!$EZ$25:$GD$36)))))</f>
        <v>0</v>
      </c>
      <c r="P189">
        <f>SUMPRODUCT((ISNUMBER(SEARCH($Y12,Dienstplan!$B$25:$B$36))*(ISNUMBER(SEARCH($AB$16,Dienstplan!$EZ$25:$GD$36)))))</f>
        <v>0</v>
      </c>
      <c r="Q189">
        <f>SUMPRODUCT((ISNUMBER(SEARCH($Y12,Dienstplan!$B$25:$B$36))*(ISNUMBER(SEARCH($AB$17,Dienstplan!$EZ$25:$GD$36)))))</f>
        <v>0</v>
      </c>
      <c r="R189">
        <f>SUMPRODUCT((ISNUMBER(SEARCH($Y12,Dienstplan!$B$25:$B$36))*(ISNUMBER(SEARCH($AB$18,Dienstplan!$EZ$25:$GD$36)))))</f>
        <v>0</v>
      </c>
      <c r="S189" s="11">
        <f>SUMPRODUCT((ISNUMBER(SEARCH($Y12,Dienstplan!$B$25:$B$36))*(ISNUMBER(SEARCH($AB$19,Dienstplan!$EZ$25:$GD$36)))))</f>
        <v>0</v>
      </c>
      <c r="T189">
        <f t="shared" si="59"/>
        <v>133</v>
      </c>
      <c r="U189" s="14">
        <f>SUM($C189*Frueh_1+$D189*Spaet_1+$E189*Nacht_1+$F189*Normal_1+$I189*Sonderd_1-$J189*Radi_L+$K189*Radi_L+$L189*EH_Kurs+$M189*Koor_taet+$N189*Sekre_1+$O189*Radi_L+$R189*Radi_L+$P189*Radi_L+$Q189*Radi_L+G189*Radi_L+H189*Radi_L)</f>
        <v>7</v>
      </c>
      <c r="V189" s="11">
        <f t="shared" si="61"/>
        <v>-126</v>
      </c>
      <c r="W189" s="20">
        <f t="shared" si="60"/>
        <v>-1470</v>
      </c>
    </row>
    <row r="190" spans="1:23" x14ac:dyDescent="0.25">
      <c r="A190" s="11"/>
      <c r="B190" s="27" t="str">
        <f t="shared" si="58"/>
        <v>Radimersky</v>
      </c>
      <c r="C190">
        <f>SUMPRODUCT((ISNUMBER(SEARCH($Y13,Dienstplan!$B$25:$B$36))*(ISNUMBER(SEARCH($AB$3,Dienstplan!$EZ$25:$GD$36)))))-D190</f>
        <v>0</v>
      </c>
      <c r="D190">
        <f>SUMPRODUCT((ISNUMBER(SEARCH($Y13,Dienstplan!$B$25:$B$36))*(ISNUMBER(SEARCH($AB$4,Dienstplan!$EZ$25:$GD$36)))))</f>
        <v>0</v>
      </c>
      <c r="E190">
        <f>SUMPRODUCT((ISNUMBER(SEARCH($Y13,Dienstplan!$B$25:$B$36))*(ISNUMBER(SEARCH($AB$5,Dienstplan!$EY$25:$GD$36)))))</f>
        <v>0</v>
      </c>
      <c r="F190">
        <f>SUMPRODUCT((ISNUMBER(SEARCH($Y13,Dienstplan!$B$25:$B$36))*(ISNUMBER(SEARCH($AB$6,Dienstplan!$EZ$25:$GD$36)))))</f>
        <v>0</v>
      </c>
      <c r="G190">
        <f>SUMPRODUCT((ISNUMBER(SEARCH($Y13,Dienstplan!$B$25:$B$36))*(ISNUMBER(SEARCH($AB$7,Dienstplan!$EZ$25:$GD$36)))))-H190</f>
        <v>0</v>
      </c>
      <c r="H190">
        <f>SUMPRODUCT((ISNUMBER(SEARCH($Y13,Dienstplan!$B$25:$B$36))*(ISNUMBER(SEARCH($AB$8,Dienstplan!$EZ$25:$GD$36)))))</f>
        <v>0</v>
      </c>
      <c r="I190">
        <f>SUMPRODUCT((ISNUMBER(SEARCH($Y13,Dienstplan!$B$25:$B$36))*(ISNUMBER(SEARCH($AB$9,Dienstplan!$EZ$25:$GD$36)))))</f>
        <v>0</v>
      </c>
      <c r="J190">
        <f>SUMPRODUCT((ISNUMBER(SEARCH($Y13,Dienstplan!$B$25:$B$36))*(ISNUMBER(SEARCH($AB$10,Dienstplan!$EZ$25:$GD$36)))))</f>
        <v>0</v>
      </c>
      <c r="K190">
        <f>SUMPRODUCT((ISNUMBER(SEARCH($Y13,Dienstplan!$B$25:$B$36))*(ISNUMBER(SEARCH($AB$11,Dienstplan!$EZ$25:$GD$36)))))-$Q190</f>
        <v>0</v>
      </c>
      <c r="L190">
        <f>SUMPRODUCT((ISNUMBER(SEARCH($Y13,Dienstplan!$B$25:$B$36))*(ISNUMBER(SEARCH($AB$12,Dienstplan!$EZ$25:$GD$36)))))</f>
        <v>0</v>
      </c>
      <c r="M190">
        <f>SUMPRODUCT((ISNUMBER(SEARCH($Y13,Dienstplan!$B$25:$B$36))*(ISNUMBER(SEARCH($AB$13,Dienstplan!$EZ$25:$GD$36)))))</f>
        <v>0</v>
      </c>
      <c r="N190">
        <f>SUMPRODUCT((ISNUMBER(SEARCH($Y13,Dienstplan!$B$25:$B$36))*(ISNUMBER(SEARCH($AB$14,Dienstplan!$EZ$25:$GD$36)))))</f>
        <v>0</v>
      </c>
      <c r="O190">
        <f>SUMPRODUCT((ISNUMBER(SEARCH($Y13,Dienstplan!$B$25:$B$36))*(ISNUMBER(SEARCH($AB$15,Dienstplan!$EZ$25:$GD$36)))))</f>
        <v>0</v>
      </c>
      <c r="P190">
        <f>SUMPRODUCT((ISNUMBER(SEARCH($Y13,Dienstplan!$B$25:$B$36))*(ISNUMBER(SEARCH($AB$16,Dienstplan!$EZ$25:$GD$36)))))</f>
        <v>0</v>
      </c>
      <c r="Q190">
        <f>SUMPRODUCT((ISNUMBER(SEARCH($Y13,Dienstplan!$B$25:$B$36))*(ISNUMBER(SEARCH($AB$17,Dienstplan!$EZ$25:$GD$36)))))</f>
        <v>0</v>
      </c>
      <c r="R190">
        <f>SUMPRODUCT((ISNUMBER(SEARCH($Y13,Dienstplan!$B$25:$B$36))*(ISNUMBER(SEARCH($AB$18,Dienstplan!$EZ$25:$GD$36)))))</f>
        <v>0</v>
      </c>
      <c r="S190" s="11">
        <f>SUMPRODUCT((ISNUMBER(SEARCH($Y13,Dienstplan!$B$25:$B$36))*(ISNUMBER(SEARCH($AB$19,Dienstplan!$EZ$25:$GD$36)))))</f>
        <v>0</v>
      </c>
      <c r="T190">
        <f t="shared" si="59"/>
        <v>57</v>
      </c>
      <c r="U190" s="14">
        <f>SUM($C190*Frueh_1+$D190*Spaet_1+$E190*Nacht_1+$F190*Normal_1+$I190*Sonderd_1-$J190*Fortenb+$K190*Fortenb+$L190*EH_Kurs+$M190*Koor_taet+$N190*Sekre_1+$O190*Fortenb+$R190*Fortenb+$P190*Fortenb+$Q190*Fortenb+G190*Fortenb+H190*Fortenb)</f>
        <v>0</v>
      </c>
      <c r="V190" s="11">
        <f t="shared" si="61"/>
        <v>-57</v>
      </c>
      <c r="W190" s="20">
        <f t="shared" si="60"/>
        <v>-624</v>
      </c>
    </row>
    <row r="191" spans="1:23" x14ac:dyDescent="0.25">
      <c r="A191" s="11"/>
      <c r="B191" s="27"/>
      <c r="S191" s="11"/>
      <c r="V191" s="11"/>
      <c r="W191" s="20"/>
    </row>
    <row r="192" spans="1:23" x14ac:dyDescent="0.25">
      <c r="A192" s="11"/>
      <c r="B192" s="27" t="s">
        <v>23</v>
      </c>
      <c r="C192" s="4">
        <f t="shared" ref="C192:S192" si="62">SUM(C180:C191)</f>
        <v>0</v>
      </c>
      <c r="D192" s="4">
        <f t="shared" si="62"/>
        <v>0</v>
      </c>
      <c r="E192" s="4">
        <f t="shared" si="62"/>
        <v>-2</v>
      </c>
      <c r="F192" s="4">
        <f t="shared" si="62"/>
        <v>17</v>
      </c>
      <c r="G192" s="4">
        <f t="shared" si="62"/>
        <v>0</v>
      </c>
      <c r="H192" s="4">
        <f t="shared" si="62"/>
        <v>0</v>
      </c>
      <c r="I192" s="4">
        <f t="shared" si="62"/>
        <v>0</v>
      </c>
      <c r="J192" s="4">
        <f t="shared" si="62"/>
        <v>0</v>
      </c>
      <c r="K192" s="4">
        <f t="shared" si="62"/>
        <v>27</v>
      </c>
      <c r="L192" s="4">
        <f t="shared" si="62"/>
        <v>0</v>
      </c>
      <c r="M192" s="4">
        <f t="shared" si="62"/>
        <v>0</v>
      </c>
      <c r="N192" s="4">
        <f t="shared" si="62"/>
        <v>0</v>
      </c>
      <c r="O192" s="4">
        <f t="shared" si="62"/>
        <v>1</v>
      </c>
      <c r="P192" s="4">
        <f t="shared" si="62"/>
        <v>0</v>
      </c>
      <c r="Q192" s="4">
        <f t="shared" si="62"/>
        <v>0</v>
      </c>
      <c r="R192" s="4">
        <f t="shared" si="62"/>
        <v>0</v>
      </c>
      <c r="S192" s="13">
        <f t="shared" si="62"/>
        <v>3</v>
      </c>
      <c r="T192" s="4">
        <f>SUM(T180:T188)</f>
        <v>1200.8</v>
      </c>
      <c r="U192" s="4">
        <f>SUM(U180:U188)</f>
        <v>296.89999999999998</v>
      </c>
      <c r="V192" s="13"/>
      <c r="W192" s="21"/>
    </row>
    <row r="193" spans="1:23" x14ac:dyDescent="0.25">
      <c r="A193" s="11"/>
      <c r="B193" s="12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2"/>
      <c r="T193" s="1"/>
      <c r="U193" s="1"/>
      <c r="V193" s="12"/>
      <c r="W193" s="17"/>
    </row>
  </sheetData>
  <sheetProtection selectLockedCells="1"/>
  <mergeCells count="33">
    <mergeCell ref="D114:E114"/>
    <mergeCell ref="I114:J114"/>
    <mergeCell ref="D130:E130"/>
    <mergeCell ref="D66:E66"/>
    <mergeCell ref="I66:J66"/>
    <mergeCell ref="I130:J130"/>
    <mergeCell ref="D82:E82"/>
    <mergeCell ref="I82:J82"/>
    <mergeCell ref="D178:E178"/>
    <mergeCell ref="I178:J178"/>
    <mergeCell ref="D146:E146"/>
    <mergeCell ref="I146:J146"/>
    <mergeCell ref="D162:E162"/>
    <mergeCell ref="I162:J162"/>
    <mergeCell ref="AA25:AB25"/>
    <mergeCell ref="AA24:AB24"/>
    <mergeCell ref="AA23:AB23"/>
    <mergeCell ref="AA22:AB22"/>
    <mergeCell ref="Y21:AB21"/>
    <mergeCell ref="Y25:Z25"/>
    <mergeCell ref="Y24:Z24"/>
    <mergeCell ref="Y22:Z22"/>
    <mergeCell ref="Y23:Z23"/>
    <mergeCell ref="D34:E34"/>
    <mergeCell ref="D98:E98"/>
    <mergeCell ref="D50:E50"/>
    <mergeCell ref="I50:J50"/>
    <mergeCell ref="I2:J2"/>
    <mergeCell ref="D2:E2"/>
    <mergeCell ref="D18:E18"/>
    <mergeCell ref="I18:J18"/>
    <mergeCell ref="I98:J98"/>
    <mergeCell ref="I34:J34"/>
  </mergeCells>
  <phoneticPr fontId="21" type="noConversion"/>
  <conditionalFormatting sqref="N16 F16:H16">
    <cfRule type="cellIs" dxfId="92" priority="31" stopIfTrue="1" operator="lessThan">
      <formula>$F$2</formula>
    </cfRule>
    <cfRule type="cellIs" dxfId="91" priority="32" stopIfTrue="1" operator="equal">
      <formula>$F$2</formula>
    </cfRule>
    <cfRule type="cellIs" dxfId="90" priority="33" stopIfTrue="1" operator="greaterThan">
      <formula>$F$2</formula>
    </cfRule>
  </conditionalFormatting>
  <conditionalFormatting sqref="N32 F32:H32">
    <cfRule type="cellIs" dxfId="89" priority="34" stopIfTrue="1" operator="lessThan">
      <formula>$F$18</formula>
    </cfRule>
    <cfRule type="cellIs" dxfId="88" priority="35" stopIfTrue="1" operator="equal">
      <formula>$F$18</formula>
    </cfRule>
    <cfRule type="cellIs" dxfId="87" priority="36" stopIfTrue="1" operator="greaterThan">
      <formula>$F$18</formula>
    </cfRule>
  </conditionalFormatting>
  <conditionalFormatting sqref="N48 F48:H48">
    <cfRule type="cellIs" dxfId="86" priority="37" stopIfTrue="1" operator="lessThan">
      <formula>$F$34</formula>
    </cfRule>
    <cfRule type="cellIs" dxfId="85" priority="38" stopIfTrue="1" operator="equal">
      <formula>$F$34</formula>
    </cfRule>
    <cfRule type="cellIs" dxfId="84" priority="39" stopIfTrue="1" operator="greaterThan">
      <formula>$F$34</formula>
    </cfRule>
  </conditionalFormatting>
  <conditionalFormatting sqref="N80 F80:H80 F64:H64">
    <cfRule type="cellIs" dxfId="83" priority="43" stopIfTrue="1" operator="lessThan">
      <formula>$F$66</formula>
    </cfRule>
    <cfRule type="cellIs" dxfId="82" priority="44" stopIfTrue="1" operator="equal">
      <formula>$F$66</formula>
    </cfRule>
    <cfRule type="cellIs" dxfId="81" priority="45" stopIfTrue="1" operator="greaterThan">
      <formula>$F$66</formula>
    </cfRule>
  </conditionalFormatting>
  <conditionalFormatting sqref="N96 F96:H96">
    <cfRule type="cellIs" dxfId="80" priority="46" stopIfTrue="1" operator="lessThan">
      <formula>$F$82</formula>
    </cfRule>
    <cfRule type="cellIs" dxfId="79" priority="47" stopIfTrue="1" operator="equal">
      <formula>$F$82</formula>
    </cfRule>
    <cfRule type="cellIs" dxfId="78" priority="48" stopIfTrue="1" operator="greaterThan">
      <formula>$F$82</formula>
    </cfRule>
  </conditionalFormatting>
  <conditionalFormatting sqref="N112 F112:H112">
    <cfRule type="cellIs" dxfId="77" priority="49" stopIfTrue="1" operator="lessThan">
      <formula>$F$98</formula>
    </cfRule>
    <cfRule type="cellIs" dxfId="76" priority="50" stopIfTrue="1" operator="equal">
      <formula>$F$98</formula>
    </cfRule>
    <cfRule type="cellIs" dxfId="75" priority="51" stopIfTrue="1" operator="greaterThan">
      <formula>$F$98</formula>
    </cfRule>
  </conditionalFormatting>
  <conditionalFormatting sqref="N144 F144:H144">
    <cfRule type="cellIs" dxfId="74" priority="55" stopIfTrue="1" operator="lessThan">
      <formula>$F$130</formula>
    </cfRule>
    <cfRule type="cellIs" dxfId="73" priority="56" stopIfTrue="1" operator="equal">
      <formula>$F$130</formula>
    </cfRule>
    <cfRule type="cellIs" dxfId="72" priority="57" stopIfTrue="1" operator="greaterThan">
      <formula>$F$130</formula>
    </cfRule>
  </conditionalFormatting>
  <conditionalFormatting sqref="N160 F160:H160">
    <cfRule type="cellIs" dxfId="71" priority="58" stopIfTrue="1" operator="lessThan">
      <formula>$F$146</formula>
    </cfRule>
    <cfRule type="cellIs" dxfId="70" priority="59" stopIfTrue="1" operator="equal">
      <formula>$F$146</formula>
    </cfRule>
    <cfRule type="cellIs" dxfId="69" priority="60" stopIfTrue="1" operator="greaterThan">
      <formula>$F$146</formula>
    </cfRule>
  </conditionalFormatting>
  <conditionalFormatting sqref="N176 F176:H176">
    <cfRule type="cellIs" dxfId="68" priority="61" stopIfTrue="1" operator="lessThan">
      <formula>$F$162</formula>
    </cfRule>
    <cfRule type="cellIs" dxfId="67" priority="62" stopIfTrue="1" operator="equal">
      <formula>$F$162</formula>
    </cfRule>
    <cfRule type="cellIs" dxfId="66" priority="63" stopIfTrue="1" operator="greaterThan">
      <formula>$F$162</formula>
    </cfRule>
  </conditionalFormatting>
  <conditionalFormatting sqref="N192 F192:H192">
    <cfRule type="cellIs" dxfId="65" priority="64" stopIfTrue="1" operator="lessThan">
      <formula>$F$178</formula>
    </cfRule>
    <cfRule type="cellIs" dxfId="64" priority="65" stopIfTrue="1" operator="equal">
      <formula>$F$178</formula>
    </cfRule>
    <cfRule type="cellIs" dxfId="63" priority="66" stopIfTrue="1" operator="greaterThan">
      <formula>$F$178</formula>
    </cfRule>
  </conditionalFormatting>
  <conditionalFormatting sqref="C16:E16">
    <cfRule type="cellIs" dxfId="62" priority="67" stopIfTrue="1" operator="lessThan">
      <formula>$F$2+$K$2</formula>
    </cfRule>
    <cfRule type="cellIs" dxfId="61" priority="68" stopIfTrue="1" operator="equal">
      <formula>$F$2+$K$2</formula>
    </cfRule>
    <cfRule type="cellIs" dxfId="60" priority="69" stopIfTrue="1" operator="greaterThan">
      <formula>$F$2+$K$2</formula>
    </cfRule>
  </conditionalFormatting>
  <conditionalFormatting sqref="C32:E32">
    <cfRule type="cellIs" dxfId="59" priority="70" stopIfTrue="1" operator="lessThan">
      <formula>$F$18+$K$18</formula>
    </cfRule>
    <cfRule type="cellIs" dxfId="58" priority="71" stopIfTrue="1" operator="equal">
      <formula>$F$18+$K$18</formula>
    </cfRule>
    <cfRule type="cellIs" dxfId="57" priority="72" stopIfTrue="1" operator="greaterThan">
      <formula>$F$18+$K$18</formula>
    </cfRule>
  </conditionalFormatting>
  <conditionalFormatting sqref="C48:E48">
    <cfRule type="cellIs" dxfId="56" priority="73" stopIfTrue="1" operator="lessThan">
      <formula>$F$34+$K$34</formula>
    </cfRule>
    <cfRule type="cellIs" dxfId="55" priority="74" stopIfTrue="1" operator="equal">
      <formula>$F$34+$K$34</formula>
    </cfRule>
    <cfRule type="cellIs" dxfId="54" priority="75" stopIfTrue="1" operator="greaterThan">
      <formula>$F$34+$K$34</formula>
    </cfRule>
  </conditionalFormatting>
  <conditionalFormatting sqref="C80:E80">
    <cfRule type="cellIs" dxfId="53" priority="79" stopIfTrue="1" operator="lessThan">
      <formula>$F$66+$K$66</formula>
    </cfRule>
    <cfRule type="cellIs" dxfId="52" priority="80" stopIfTrue="1" operator="equal">
      <formula>$F$66+$K$66</formula>
    </cfRule>
    <cfRule type="cellIs" dxfId="51" priority="81" stopIfTrue="1" operator="greaterThan">
      <formula>$F$66+$K$66</formula>
    </cfRule>
  </conditionalFormatting>
  <conditionalFormatting sqref="C96:E96">
    <cfRule type="cellIs" dxfId="50" priority="82" stopIfTrue="1" operator="lessThan">
      <formula>$F$82+$K$82</formula>
    </cfRule>
    <cfRule type="cellIs" dxfId="49" priority="83" stopIfTrue="1" operator="equal">
      <formula>$F$82+$K$82</formula>
    </cfRule>
    <cfRule type="cellIs" dxfId="48" priority="84" stopIfTrue="1" operator="greaterThan">
      <formula>$F$82+$K$82</formula>
    </cfRule>
  </conditionalFormatting>
  <conditionalFormatting sqref="C112:E112">
    <cfRule type="cellIs" dxfId="47" priority="85" stopIfTrue="1" operator="lessThan">
      <formula>$F$98+$K$98</formula>
    </cfRule>
    <cfRule type="cellIs" dxfId="46" priority="86" stopIfTrue="1" operator="equal">
      <formula>$F$98+$K$98</formula>
    </cfRule>
    <cfRule type="cellIs" dxfId="45" priority="87" stopIfTrue="1" operator="greaterThan">
      <formula>$F$98+$K$98</formula>
    </cfRule>
  </conditionalFormatting>
  <conditionalFormatting sqref="C128:S128">
    <cfRule type="cellIs" dxfId="44" priority="88" stopIfTrue="1" operator="lessThan">
      <formula>$F$114+$K$114</formula>
    </cfRule>
    <cfRule type="cellIs" dxfId="43" priority="89" stopIfTrue="1" operator="equal">
      <formula>$F$114+$K$114</formula>
    </cfRule>
    <cfRule type="cellIs" dxfId="42" priority="90" stopIfTrue="1" operator="greaterThan">
      <formula>$F$114+$K$114</formula>
    </cfRule>
  </conditionalFormatting>
  <conditionalFormatting sqref="C144:E144">
    <cfRule type="cellIs" dxfId="41" priority="91" stopIfTrue="1" operator="lessThan">
      <formula>$F$130+$K$130</formula>
    </cfRule>
    <cfRule type="cellIs" dxfId="40" priority="92" stopIfTrue="1" operator="equal">
      <formula>$F$130+$K$130</formula>
    </cfRule>
    <cfRule type="cellIs" dxfId="39" priority="93" stopIfTrue="1" operator="greaterThan">
      <formula>$F$130+$K$130</formula>
    </cfRule>
  </conditionalFormatting>
  <conditionalFormatting sqref="C160:E160">
    <cfRule type="cellIs" dxfId="38" priority="94" stopIfTrue="1" operator="lessThan">
      <formula>$F$146+$K$146</formula>
    </cfRule>
    <cfRule type="cellIs" dxfId="37" priority="95" stopIfTrue="1" operator="equal">
      <formula>$F$146+$K$146</formula>
    </cfRule>
    <cfRule type="cellIs" dxfId="36" priority="96" stopIfTrue="1" operator="greaterThan">
      <formula>$F$146+$K$146</formula>
    </cfRule>
  </conditionalFormatting>
  <conditionalFormatting sqref="C176:E176">
    <cfRule type="cellIs" dxfId="35" priority="97" stopIfTrue="1" operator="lessThan">
      <formula>$F$162+$K$162</formula>
    </cfRule>
    <cfRule type="cellIs" dxfId="34" priority="98" stopIfTrue="1" operator="equal">
      <formula>$F$162+$K$162</formula>
    </cfRule>
    <cfRule type="cellIs" dxfId="33" priority="99" stopIfTrue="1" operator="greaterThan">
      <formula>$F$162+$K$162</formula>
    </cfRule>
  </conditionalFormatting>
  <conditionalFormatting sqref="C192:E192">
    <cfRule type="cellIs" dxfId="32" priority="100" stopIfTrue="1" operator="lessThan">
      <formula>$F$178+$K$178</formula>
    </cfRule>
    <cfRule type="cellIs" dxfId="31" priority="101" stopIfTrue="1" operator="equal">
      <formula>$F$178+$K$178</formula>
    </cfRule>
    <cfRule type="cellIs" dxfId="30" priority="102" stopIfTrue="1" operator="greaterThan">
      <formula>$F$178+$K$178</formula>
    </cfRule>
  </conditionalFormatting>
  <conditionalFormatting sqref="N64">
    <cfRule type="cellIs" dxfId="29" priority="1" stopIfTrue="1" operator="lessThan">
      <formula>$F$66</formula>
    </cfRule>
    <cfRule type="cellIs" dxfId="28" priority="2" stopIfTrue="1" operator="equal">
      <formula>$F$66</formula>
    </cfRule>
    <cfRule type="cellIs" dxfId="27" priority="3" stopIfTrue="1" operator="greaterThan">
      <formula>$F$66</formula>
    </cfRule>
  </conditionalFormatting>
  <conditionalFormatting sqref="C64:E64">
    <cfRule type="cellIs" dxfId="26" priority="4" stopIfTrue="1" operator="lessThan">
      <formula>$F$66+$K$66</formula>
    </cfRule>
    <cfRule type="cellIs" dxfId="25" priority="5" stopIfTrue="1" operator="equal">
      <formula>$F$66+$K$66</formula>
    </cfRule>
    <cfRule type="cellIs" dxfId="24" priority="6" stopIfTrue="1" operator="greaterThan">
      <formula>$F$66+$K$66</formula>
    </cfRule>
  </conditionalFormatting>
  <conditionalFormatting sqref="U4:U5 U20 U36 U52 U68 U84 U100 U116 U132 U148 U164 U180">
    <cfRule type="cellIs" dxfId="23" priority="1363" stopIfTrue="1" operator="between">
      <formula>$T4-$Z$3</formula>
      <formula>$T4+$Z$3</formula>
    </cfRule>
    <cfRule type="cellIs" dxfId="22" priority="1364" stopIfTrue="1" operator="greaterThan">
      <formula>$T4+$Z$3</formula>
    </cfRule>
    <cfRule type="cellIs" dxfId="21" priority="1365" stopIfTrue="1" operator="lessThan">
      <formula>$T4-$Z$3</formula>
    </cfRule>
  </conditionalFormatting>
  <conditionalFormatting sqref="U21 U37 U53 U69 U85 U101 U117 U133 U149 U165 U181">
    <cfRule type="cellIs" dxfId="20" priority="1399" stopIfTrue="1" operator="between">
      <formula>$T21-$Z$4</formula>
      <formula>$T21+$Z$4</formula>
    </cfRule>
    <cfRule type="cellIs" dxfId="19" priority="1400" stopIfTrue="1" operator="greaterThan">
      <formula>$T21+$Z$4</formula>
    </cfRule>
    <cfRule type="cellIs" dxfId="18" priority="1401" stopIfTrue="1" operator="lessThan">
      <formula>$T21-$Z$4</formula>
    </cfRule>
  </conditionalFormatting>
  <conditionalFormatting sqref="U6 U22 U38 U54 U70 U86 U102 U118 U134 U150 U166 U182">
    <cfRule type="cellIs" dxfId="17" priority="1432" stopIfTrue="1" operator="between">
      <formula>$T6-$Z$5</formula>
      <formula>$T6+$Z$5</formula>
    </cfRule>
    <cfRule type="cellIs" dxfId="16" priority="1433" stopIfTrue="1" operator="greaterThan">
      <formula>$T6+$Z$5</formula>
    </cfRule>
    <cfRule type="cellIs" dxfId="15" priority="1434" stopIfTrue="1" operator="lessThan">
      <formula>$T6-$Z$5</formula>
    </cfRule>
  </conditionalFormatting>
  <conditionalFormatting sqref="U7 U23 U39 U55 U71 U87 U103 U119 U135 U151 U167 U183">
    <cfRule type="cellIs" dxfId="14" priority="1468" stopIfTrue="1" operator="between">
      <formula>$T7-$Z$6</formula>
      <formula>$T7+$Z$6</formula>
    </cfRule>
    <cfRule type="cellIs" dxfId="13" priority="1469" stopIfTrue="1" operator="greaterThan">
      <formula>$T7+$Z$6</formula>
    </cfRule>
    <cfRule type="cellIs" dxfId="12" priority="1470" stopIfTrue="1" operator="lessThan">
      <formula>$T7-$Z$6</formula>
    </cfRule>
  </conditionalFormatting>
  <conditionalFormatting sqref="U8 U24 U40 U56 U72 U88 U104 U120 U136 U152 U168 U184">
    <cfRule type="cellIs" dxfId="11" priority="1504" stopIfTrue="1" operator="between">
      <formula>$T8-$Z$7</formula>
      <formula>$T8+$Z$7</formula>
    </cfRule>
    <cfRule type="cellIs" dxfId="10" priority="1505" stopIfTrue="1" operator="greaterThan">
      <formula>$T8+$Z$7</formula>
    </cfRule>
    <cfRule type="cellIs" dxfId="9" priority="1506" stopIfTrue="1" operator="lessThan">
      <formula>$T8-$Z$7</formula>
    </cfRule>
  </conditionalFormatting>
  <conditionalFormatting sqref="U9:U10 U25:U26 U41:U42 U57:U58 U73:U74 U89:U90 U105:U106 U121:U122 U137:U138 U153:U154 U169:U170 U185:U186">
    <cfRule type="cellIs" dxfId="8" priority="1540" stopIfTrue="1" operator="between">
      <formula>$T9-$Z$8</formula>
      <formula>$T9+$Z$8</formula>
    </cfRule>
    <cfRule type="cellIs" dxfId="7" priority="1541" stopIfTrue="1" operator="greaterThan">
      <formula>$T9+$Z$8</formula>
    </cfRule>
    <cfRule type="cellIs" dxfId="6" priority="1542" stopIfTrue="1" operator="lessThan">
      <formula>$T9-$Z$8</formula>
    </cfRule>
  </conditionalFormatting>
  <conditionalFormatting sqref="U11:U12 U27:U28 U43:U44 U59:U60 U75:U76 U91:U92 U107:U108 U123:U124 U139:U140 U155:U156 U171:U172 U187:U188">
    <cfRule type="cellIs" dxfId="5" priority="1612" stopIfTrue="1" operator="between">
      <formula>$T11-$Z$10</formula>
      <formula>$T11+$Z$10</formula>
    </cfRule>
    <cfRule type="cellIs" dxfId="4" priority="1613" stopIfTrue="1" operator="greaterThan">
      <formula>$T11+$Z$10</formula>
    </cfRule>
    <cfRule type="cellIs" dxfId="3" priority="1614" stopIfTrue="1" operator="lessThan">
      <formula>$T11-$Z$10</formula>
    </cfRule>
  </conditionalFormatting>
  <conditionalFormatting sqref="U13:U15 U29:U31 U45:U47 U61:U63 U77:U79 U93:U95 U109:U111 U125:U127 U141:U143 U157:U159 U173:U175 U189:U191">
    <cfRule type="cellIs" dxfId="2" priority="1852" stopIfTrue="1" operator="between">
      <formula>$T13-$Z$11</formula>
      <formula>$T13+$Z$11</formula>
    </cfRule>
    <cfRule type="cellIs" dxfId="1" priority="1853" stopIfTrue="1" operator="greaterThan">
      <formula>$T13+$Z$11</formula>
    </cfRule>
    <cfRule type="cellIs" dxfId="0" priority="1854" stopIfTrue="1" operator="lessThan">
      <formula>$T13-$Z$11</formula>
    </cfRule>
  </conditionalFormatting>
  <printOptions horizontalCentered="1" gridLines="1"/>
  <pageMargins left="0.78740157480314965" right="0.78740157480314965" top="0.98425196850393704" bottom="0.98425196850393704" header="0.51181102362204722" footer="0.51181102362204722"/>
  <pageSetup paperSize="9" scale="88" orientation="landscape" r:id="rId1"/>
  <headerFooter alignWithMargins="0">
    <oddHeader>&amp;S&amp;"Arial,Fett"&amp;28Stundenübersicht Dienstplan&amp;R&amp;O</oddHeader>
    <oddFooter>&amp;LDaimler AG
Werksärztlicher Dienst Rastatt
PER/HSW
&amp;CErstellt am:07.10.2010
von: Manfred Velten
&amp;RVerantwortlich:
Dr.Frei
Druckdatum: &amp;D</oddFooter>
  </headerFooter>
  <rowBreaks count="3" manualBreakCount="3">
    <brk id="48" min="1" max="20" man="1"/>
    <brk id="96" min="1" max="20" man="1"/>
    <brk id="144" min="1" max="20" man="1"/>
  </row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6A16B626BCA58429A46BEA2C289D1B0" ma:contentTypeVersion="0" ma:contentTypeDescription="Ein neues Dokument erstellen." ma:contentTypeScope="" ma:versionID="a1eb20d97fb4dc5ee60830eab7eaa95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35c4de4bcb64ae800213f3c2e72936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A121929-2B62-4A9D-8699-2BC0B0526CE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DF28B66-8950-42F9-B9EE-12BD658C90F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8EE3BD6-8064-4135-B543-96408F7150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32</vt:i4>
      </vt:variant>
    </vt:vector>
  </HeadingPairs>
  <TitlesOfParts>
    <vt:vector size="35" baseType="lpstr">
      <vt:lpstr>Dienstplan</vt:lpstr>
      <vt:lpstr>Jahr</vt:lpstr>
      <vt:lpstr>Monat</vt:lpstr>
      <vt:lpstr>Brue_H</vt:lpstr>
      <vt:lpstr>Dienstplan!Druckbereich</vt:lpstr>
      <vt:lpstr>Jahr!Druckbereich</vt:lpstr>
      <vt:lpstr>Monat!Druckbereich</vt:lpstr>
      <vt:lpstr>Dienstplan!Drucktitel</vt:lpstr>
      <vt:lpstr>EH_Kurs</vt:lpstr>
      <vt:lpstr>Fort_b</vt:lpstr>
      <vt:lpstr>Fortenb</vt:lpstr>
      <vt:lpstr>Frueh_1</vt:lpstr>
      <vt:lpstr>FZC_1</vt:lpstr>
      <vt:lpstr>Gleit_Tag</vt:lpstr>
      <vt:lpstr>Koor_taet</vt:lpstr>
      <vt:lpstr>Krem_E</vt:lpstr>
      <vt:lpstr>Krie_B</vt:lpstr>
      <vt:lpstr>Muster</vt:lpstr>
      <vt:lpstr>Nacht_1</vt:lpstr>
      <vt:lpstr>Normal_1</vt:lpstr>
      <vt:lpstr>NST_1</vt:lpstr>
      <vt:lpstr>Put_W</vt:lpstr>
      <vt:lpstr>Radi_L</vt:lpstr>
      <vt:lpstr>Rath_M</vt:lpstr>
      <vt:lpstr>Scho_K</vt:lpstr>
      <vt:lpstr>Sekre_1</vt:lpstr>
      <vt:lpstr>Sonderd_1</vt:lpstr>
      <vt:lpstr>Spaet_1</vt:lpstr>
      <vt:lpstr>Unt_I</vt:lpstr>
      <vt:lpstr>Unt_II</vt:lpstr>
      <vt:lpstr>Urlaub_1</vt:lpstr>
      <vt:lpstr>Velt_M</vt:lpstr>
      <vt:lpstr>Velten</vt:lpstr>
      <vt:lpstr>Velten_M</vt:lpstr>
      <vt:lpstr>Wuert_A</vt:lpstr>
    </vt:vector>
  </TitlesOfParts>
  <Company>DaimlerChrysler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Velten, Manfred (054)</dc:creator>
  <cp:lastModifiedBy>Putschler, Walter (054)</cp:lastModifiedBy>
  <cp:lastPrinted>2023-01-25T08:12:43Z</cp:lastPrinted>
  <dcterms:created xsi:type="dcterms:W3CDTF">2007-11-23T12:51:49Z</dcterms:created>
  <dcterms:modified xsi:type="dcterms:W3CDTF">2026-02-12T14:16:24Z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0x010100F6A16B626BCA58429A46BEA2C289D1B0</vt:lpwstr>
  </property>
  <property fmtid="{D5CDD505-2E9C-101B-9397-08002B2CF9AE}" pid="3" name="MSIP_Label_924dbb1d-991d-4bbd-aad5-33bac1d8ffaf_ActionId">
    <vt:lpwstr>095ad5d1-5064-464b-af4c-ffb854d6bcc8</vt:lpwstr>
  </property>
  <property fmtid="{D5CDD505-2E9C-101B-9397-08002B2CF9AE}" pid="4" name="MSIP_Label_924dbb1d-991d-4bbd-aad5-33bac1d8ffaf_ContentBits">
    <vt:lpwstr>0</vt:lpwstr>
  </property>
  <property fmtid="{D5CDD505-2E9C-101B-9397-08002B2CF9AE}" pid="5" name="MSIP_Label_924dbb1d-991d-4bbd-aad5-33bac1d8ffaf_Enabled">
    <vt:lpwstr>true</vt:lpwstr>
  </property>
  <property fmtid="{D5CDD505-2E9C-101B-9397-08002B2CF9AE}" pid="6" name="MSIP_Label_924dbb1d-991d-4bbd-aad5-33bac1d8ffaf_Method">
    <vt:lpwstr>Privileged</vt:lpwstr>
  </property>
  <property fmtid="{D5CDD505-2E9C-101B-9397-08002B2CF9AE}" pid="7" name="MSIP_Label_924dbb1d-991d-4bbd-aad5-33bac1d8ffaf_Name">
    <vt:lpwstr>924dbb1d-991d-4bbd-aad5-33bac1d8ffaf</vt:lpwstr>
  </property>
  <property fmtid="{D5CDD505-2E9C-101B-9397-08002B2CF9AE}" pid="8" name="MSIP_Label_924dbb1d-991d-4bbd-aad5-33bac1d8ffaf_SetDate">
    <vt:lpwstr>2024-01-23T07:33:41Z</vt:lpwstr>
  </property>
  <property fmtid="{D5CDD505-2E9C-101B-9397-08002B2CF9AE}" pid="9" name="MSIP_Label_924dbb1d-991d-4bbd-aad5-33bac1d8ffaf_SiteId">
    <vt:lpwstr>9652d7c2-1ccf-4940-8151-4a92bd474ed0</vt:lpwstr>
  </property>
</Properties>
</file>